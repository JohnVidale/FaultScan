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b47633cbb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80cf8e1b3d4361"/>
    <x:sheet xmlns:r="http://schemas.openxmlformats.org/officeDocument/2006/relationships" name="Sources" sheetId="2" r:id="Rc4448b06440a4ade"/>
    <x:sheet xmlns:r="http://schemas.openxmlformats.org/officeDocument/2006/relationships" name="Raw Stations" sheetId="3" r:id="R7ec8949adbaa4d75"/>
    <x:sheet xmlns:r="http://schemas.openxmlformats.org/officeDocument/2006/relationships" name="Raw Z" sheetId="4" r:id="Rc8ad661eb7e84e20"/>
    <x:sheet xmlns:r="http://schemas.openxmlformats.org/officeDocument/2006/relationships" name="Z Analysis" sheetId="5" r:id="R0d110b6e807f4237"/>
    <x:sheet xmlns:r="http://schemas.openxmlformats.org/officeDocument/2006/relationships" name="Raw R" sheetId="6" r:id="R1d1a8549efba4e31"/>
    <x:sheet xmlns:r="http://schemas.openxmlformats.org/officeDocument/2006/relationships" name="R Analysis" sheetId="7" r:id="R546807e79fe34edc"/>
    <x:sheet xmlns:r="http://schemas.openxmlformats.org/officeDocument/2006/relationships" name="Raw T" sheetId="8" r:id="R762b6c7b67764fc6"/>
    <x:sheet xmlns:r="http://schemas.openxmlformats.org/officeDocument/2006/relationships" name="T Analysis" sheetId="9" r:id="Raa6afbcadaf240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0"/>
    <x:numFmt numFmtId="202" formatCode="0.00"/>
    <x:numFmt numFmtId="203" formatCode="0.0%"/>
    <x:numFmt numFmtId="204" formatCode="0.0"/>
    <x:numFmt numFmtId="205" formatCode="00000"/>
    <x:numFmt numFmtId="206" formatCode="0.000000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25466"/>
      <x:name val="Carlito"/>
    </x:font>
    <x:font>
      <x:b/>
      <x:sz val="11"/>
      <x:color rgb="FF163A5F"/>
      <x:name val="Carlito"/>
    </x:font>
    <x:font>
      <x:b/>
      <x:sz val="11"/>
      <x:color rgb="FF174A4A"/>
      <x:name val="Carlito"/>
    </x:font>
    <x:font>
      <x:sz val="11"/>
      <x:color rgb="FF243B53"/>
      <x:name val="Carlito"/>
    </x:font>
    <x:font>
      <x:sz val="11"/>
      <x:color rgb="FF5B4636"/>
      <x:name val="Carlito"/>
    </x:font>
    <x:font>
      <x:b/>
      <x:sz val="11"/>
      <x:color rgb="FF365A7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8F1F2"/>
      </x:patternFill>
    </x:fill>
    <x:fill>
      <x:patternFill patternType="solid">
        <x:fgColor rgb="FFF4F7FA"/>
      </x:patternFill>
    </x:fill>
    <x:fill>
      <x:patternFill patternType="solid">
        <x:fgColor rgb="FFFFF8E7"/>
      </x:patternFill>
    </x:fill>
  </x:fills>
  <x:borders count="32">
    <x:border/>
    <x:border>
      <x:left style="thin">
        <x:color rgb="FF9FB3C8"/>
      </x:left>
      <x:top style="thin">
        <x:color rgb="FF9FB3C8"/>
      </x:top>
      <x:bottom style="thin">
        <x:color rgb="FF9FB3C8"/>
      </x:bottom>
    </x:border>
    <x:border>
      <x:top style="thin">
        <x:color rgb="FF9FB3C8"/>
      </x:top>
      <x:bottom style="thin">
        <x:color rgb="FF9FB3C8"/>
      </x:bottom>
    </x:border>
    <x:border>
      <x:right style="thin">
        <x:color rgb="FF9FB3C8"/>
      </x:right>
      <x:top style="thin">
        <x:color rgb="FF9FB3C8"/>
      </x:top>
      <x:bottom style="thin">
        <x:color rgb="FF9FB3C8"/>
      </x:bottom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9FB3C8"/>
      </x:bottom>
    </x:border>
    <x:border>
      <x:left style="thin">
        <x:color rgb="FF9BB8B8"/>
      </x:left>
      <x:top style="thin">
        <x:color rgb="FF9BB8B8"/>
      </x:top>
      <x:bottom style="thin">
        <x:color rgb="FF9BB8B8"/>
      </x:bottom>
    </x:border>
    <x:border>
      <x:top style="thin">
        <x:color rgb="FF9BB8B8"/>
      </x:top>
      <x:bottom style="thin">
        <x:color rgb="FF9BB8B8"/>
      </x:bottom>
    </x:border>
    <x:border>
      <x:right style="thin">
        <x:color rgb="FF9BB8B8"/>
      </x:right>
      <x:top style="thin">
        <x:color rgb="FF9BB8B8"/>
      </x:top>
      <x:bottom style="thin">
        <x:color rgb="FF9BB8B8"/>
      </x:bottom>
    </x:border>
    <x:border>
      <x:left style="thin">
        <x:color rgb="FFC5D2DF"/>
      </x:left>
      <x:top style="thin">
        <x:color rgb="FFC5D2DF"/>
      </x:top>
    </x:border>
    <x:border>
      <x:top style="thin">
        <x:color rgb="FFC5D2DF"/>
      </x:top>
    </x:border>
    <x:border>
      <x:right style="thin">
        <x:color rgb="FFC5D2DF"/>
      </x:right>
      <x:top style="thin">
        <x:color rgb="FFC5D2DF"/>
      </x:top>
    </x:border>
    <x:border>
      <x:left style="thin">
        <x:color rgb="FFC5D2DF"/>
      </x:left>
    </x:border>
    <x:border>
      <x:right style="thin">
        <x:color rgb="FFC5D2DF"/>
      </x:right>
    </x:border>
    <x:border>
      <x:left style="thin">
        <x:color rgb="FFC5D2DF"/>
      </x:left>
      <x:bottom style="thin">
        <x:color rgb="FFC5D2DF"/>
      </x:bottom>
    </x:border>
    <x:border>
      <x:bottom style="thin">
        <x:color rgb="FFC5D2DF"/>
      </x:bottom>
    </x:border>
    <x:border>
      <x:right style="thin">
        <x:color rgb="FFC5D2DF"/>
      </x:right>
      <x:bottom style="thin">
        <x:color rgb="FFC5D2DF"/>
      </x:bottom>
    </x:border>
    <x:border>
      <x:left style="thin">
        <x:color rgb="FFD9C79E"/>
      </x:left>
      <x:top style="thin">
        <x:color rgb="FFD9C79E"/>
      </x:top>
    </x:border>
    <x:border>
      <x:top style="thin">
        <x:color rgb="FFD9C79E"/>
      </x:top>
    </x:border>
    <x:border>
      <x:right style="thin">
        <x:color rgb="FFD9C79E"/>
      </x:right>
      <x:top style="thin">
        <x:color rgb="FFD9C79E"/>
      </x:top>
    </x:border>
    <x:border>
      <x:left style="thin">
        <x:color rgb="FFD9C79E"/>
      </x:left>
    </x:border>
    <x:border>
      <x:right style="thin">
        <x:color rgb="FFD9C79E"/>
      </x:right>
    </x:border>
    <x:border>
      <x:left style="thin">
        <x:color rgb="FFD9C79E"/>
      </x:left>
      <x:bottom style="thin">
        <x:color rgb="FFD9C79E"/>
      </x:bottom>
    </x:border>
    <x:border>
      <x:bottom style="thin">
        <x:color rgb="FFD9C79E"/>
      </x:bottom>
    </x:border>
    <x:border>
      <x:right style="thin">
        <x:color rgb="FFD9C79E"/>
      </x:right>
      <x:bottom style="thin">
        <x:color rgb="FFD9C79E"/>
      </x:bottom>
    </x:border>
    <x:border>
      <x:left style="thin">
        <x:color rgb="FFAFC1D2"/>
      </x:left>
      <x:top style="thin">
        <x:color rgb="FFAFC1D2"/>
      </x:top>
    </x:border>
    <x:border>
      <x:top style="thin">
        <x:color rgb="FFAFC1D2"/>
      </x:top>
    </x:border>
    <x:border>
      <x:right style="thin">
        <x:color rgb="FFAFC1D2"/>
      </x:right>
      <x:top style="thin">
        <x:color rgb="FFAFC1D2"/>
      </x:top>
    </x:border>
    <x:border>
      <x:left style="thin">
        <x:color rgb="FFAFC1D2"/>
      </x:left>
      <x:bottom style="thin">
        <x:color rgb="FFAFC1D2"/>
      </x:bottom>
    </x:border>
    <x:border>
      <x:bottom style="thin">
        <x:color rgb="FFAFC1D2"/>
      </x:bottom>
    </x:border>
    <x:border>
      <x:right style="thin">
        <x:color rgb="FFAFC1D2"/>
      </x:right>
      <x:bottom style="thin">
        <x:color rgb="FFAFC1D2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4" xfId="0" applyNumberFormat="1" applyFont="1" applyFill="1" applyBorder="1"/>
    <x:xf numFmtId="203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203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/>
    <x:xf numFmtId="203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5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5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4" xfId="0" applyNumberFormat="1" applyFont="1" applyFill="1" applyBorder="1"/>
    <x:xf numFmtId="0" fontId="6" fillId="6" borderId="25" xfId="0" applyNumberFormat="1" applyFont="1" applyFill="1" applyBorder="1"/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24" xfId="0" applyNumberFormat="1" applyFont="1" applyFill="1" applyBorder="1" applyAlignment="1">
      <x:alignment wrapText="1"/>
    </x:xf>
    <x:xf numFmtId="0" fontId="6" fillId="6" borderId="25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  <x:xf numFmtId="0" fontId="6" fillId="6" borderId="2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22" xfId="0" applyNumberFormat="1" applyFont="1" applyFill="1" applyBorder="1" applyAlignment="1">
      <x:alignment vertical="top" wrapText="1"/>
    </x:xf>
    <x:xf numFmtId="0" fontId="6" fillId="6" borderId="23" xfId="0" applyNumberFormat="1" applyFont="1" applyFill="1" applyBorder="1" applyAlignment="1">
      <x:alignment vertical="top" wrapText="1"/>
    </x:xf>
    <x:xf numFmtId="0" fontId="6" fillId="6" borderId="24" xfId="0" applyNumberFormat="1" applyFont="1" applyFill="1" applyBorder="1" applyAlignment="1">
      <x:alignment vertical="top" wrapText="1"/>
    </x:xf>
    <x:xf numFmtId="0" fontId="6" fillId="6" borderId="2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7" fillId="0" borderId="26" xfId="0" applyNumberFormat="1" applyFont="1" applyFill="1" applyBorder="1"/>
    <x:xf numFmtId="0" fontId="7" fillId="0" borderId="29" xfId="0" applyNumberFormat="1" applyFont="1" applyFill="1" applyBorder="1"/>
    <x:xf numFmtId="0" fontId="7" fillId="0" borderId="27" xfId="0" applyNumberFormat="1" applyFont="1" applyFill="1" applyBorder="1"/>
    <x:xf numFmtId="0" fontId="7" fillId="0" borderId="30" xfId="0" applyNumberFormat="1" applyFont="1" applyFill="1" applyBorder="1"/>
    <x:xf numFmtId="206" fontId="0" fillId="0" borderId="27" xfId="0" applyNumberFormat="1" applyFont="1" applyFill="1" applyBorder="1"/>
    <x:xf numFmtId="200" fontId="0" fillId="0" borderId="27" xfId="0" applyNumberFormat="1" applyFont="1" applyFill="1" applyBorder="1"/>
    <x:xf numFmtId="200" fontId="0" fillId="0" borderId="30" xfId="0" applyNumberFormat="1" applyFont="1" applyFill="1" applyBorder="1"/>
    <x:xf numFmtId="206" fontId="7" fillId="0" borderId="27" xfId="0" applyNumberFormat="1" applyFont="1" applyFill="1" applyBorder="1"/>
    <x:xf numFmtId="206" fontId="0" fillId="0" borderId="28" xfId="0" applyNumberFormat="1" applyFont="1" applyFill="1" applyBorder="1"/>
    <x:xf numFmtId="206" fontId="0" fillId="0" borderId="30" xfId="0" applyNumberFormat="1" applyFont="1" applyFill="1" applyBorder="1"/>
    <x:xf numFmtId="206" fontId="7" fillId="0" borderId="30" xfId="0" applyNumberFormat="1" applyFont="1" applyFill="1" applyBorder="1"/>
    <x:xf numFmtId="200" fontId="0" fillId="0" borderId="31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13e41226a4dd4" /><Relationship Type="http://schemas.openxmlformats.org/officeDocument/2006/relationships/theme" Target="/xl/theme/theme1.xml" Id="Rd4328537fea24b32" /><Relationship Type="http://schemas.microsoft.com/office/2022/11/relationships/FeaturePropertyBag" Target="/xl/featurePropertyBag/featurePropertyBag.xml" Id="Rafe7f53c97eb43a3" /><Relationship Type="http://schemas.openxmlformats.org/officeDocument/2006/relationships/sharedStrings" Target="/xl/sharedStrings.xml" Id="R2cc666840db9479e" /><Relationship Type="http://schemas.openxmlformats.org/officeDocument/2006/relationships/worksheet" Target="/xl/worksheets/sheet1.xml" Id="R5880cf8e1b3d4361" /><Relationship Type="http://schemas.openxmlformats.org/officeDocument/2006/relationships/worksheet" Target="/xl/worksheets/sheet2.xml" Id="Rc4448b06440a4ade" /><Relationship Type="http://schemas.openxmlformats.org/officeDocument/2006/relationships/worksheet" Target="/xl/worksheets/sheet3.xml" Id="R7ec8949adbaa4d75" /><Relationship Type="http://schemas.openxmlformats.org/officeDocument/2006/relationships/worksheet" Target="/xl/worksheets/sheet4.xml" Id="Rc8ad661eb7e84e20" /><Relationship Type="http://schemas.openxmlformats.org/officeDocument/2006/relationships/worksheet" Target="/xl/worksheets/sheet5.xml" Id="R0d110b6e807f4237" /><Relationship Type="http://schemas.openxmlformats.org/officeDocument/2006/relationships/worksheet" Target="/xl/worksheets/sheet6.xml" Id="R1d1a8549efba4e31" /><Relationship Type="http://schemas.openxmlformats.org/officeDocument/2006/relationships/worksheet" Target="/xl/worksheets/sheet7.xml" Id="R546807e79fe34edc" /><Relationship Type="http://schemas.openxmlformats.org/officeDocument/2006/relationships/worksheet" Target="/xl/worksheets/sheet8.xml" Id="R762b6c7b67764fc6" /><Relationship Type="http://schemas.openxmlformats.org/officeDocument/2006/relationships/worksheet" Target="/xl/worksheets/sheet9.xml" Id="Raa6afbcadaf240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a12b723fb2467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9fc26ea8f7b42b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85aca3d40af4c1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Z: stored vs correlation-estimated statics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Stations</c:v>
          </c:tx>
          <c:spPr>
            <a:solidFill xmlns:a="http://schemas.openxmlformats.org/drawingml/2006/main">
              <a:srgbClr val="1F77B4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'Z Analysis'!$Q$8:$Q$285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1:1 endpoints</c:v>
          </c:tx>
          <c:spPr>
            <a:solidFill xmlns:a="http://schemas.openxmlformats.org/drawingml/2006/main">
              <a:srgbClr val="D62728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'Z Analysis'!$T$8:$T$9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08"/>
          <c:min val="-0.0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Correlation-estimated static (s)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0.08"/>
          <c:min val="-0.08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Stored station static (s)</a:t>
                </a:r>
              </a:p>
            </c:rich>
          </c:tx>
        </c:title>
        <c:numFmt formatCode="0.0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R: stored vs correlation-estimated statics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Stations</c:v>
          </c:tx>
          <c:spPr>
            <a:solidFill xmlns:a="http://schemas.openxmlformats.org/drawingml/2006/main">
              <a:srgbClr val="1F77B4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'R Analysis'!$Q$8:$Q$285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1:1 endpoints</c:v>
          </c:tx>
          <c:spPr>
            <a:solidFill xmlns:a="http://schemas.openxmlformats.org/drawingml/2006/main">
              <a:srgbClr val="D62728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'R Analysis'!$T$8:$T$9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08"/>
          <c:min val="-0.0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Correlation-estimated static (s)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0.08"/>
          <c:min val="-0.08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Stored station static (s)</a:t>
                </a:r>
              </a:p>
            </c:rich>
          </c:tx>
        </c:title>
        <c:numFmt formatCode="0.0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T: stored vs correlation-estimated statics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scatterChart>
        <c:scatterStyle val="marker"/>
        <c:ser>
          <c:idx val="0"/>
          <c:order val="0"/>
          <c:tx>
            <c:v>Stations</c:v>
          </c:tx>
          <c:spPr>
            <a:solidFill xmlns:a="http://schemas.openxmlformats.org/drawingml/2006/main">
              <a:srgbClr val="1F77B4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 Analysis'!$Q$8:$Q$285</c:f>
              <c:numCache>
                <c:formatCode>0.00</c:formatCode>
                <c:ptCount val="0"/>
              </c:numCache>
            </c:numRef>
          </c:yVal>
        </c:ser>
        <c:ser>
          <c:idx val="1"/>
          <c:order val="1"/>
          <c:tx>
            <c:v>1:1 endpoints</c:v>
          </c:tx>
          <c:spPr>
            <a:solidFill xmlns:a="http://schemas.openxmlformats.org/drawingml/2006/main">
              <a:srgbClr val="D62728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'T Analysis'!$T$8:$T$9</c:f>
              <c:numCache>
                <c:formatCode>0.00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0.08"/>
          <c:min val="-0.0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Correlation-estimated static (s)</a:t>
                </a:r>
              </a:p>
            </c:rich>
          </c:tx>
        </c:title>
        <c:numFmt formatCode="0.00"/>
        <c:majorTickMark val="none"/>
        <c:minorTickMark val="none"/>
        <c:crossAx val="48650112"/>
      </c:valAx>
      <c:valAx>
        <c:axId val="48650112"/>
        <c:scaling>
          <c:orientation val="minMax"/>
          <c:max val="0.08"/>
          <c:min val="-0.08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Stored station static (s)</a:t>
                </a:r>
              </a:p>
            </c:rich>
          </c:tx>
        </c:title>
        <c:numFmt formatCode="0.0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0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a12b723fb2467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15</xdr:col>
      <xdr:colOff>0</xdr:colOff>
      <xdr:row>0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fc26ea8f7b42b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15</xdr:col>
      <xdr:colOff>0</xdr:colOff>
      <xdr:row>0</xdr:row>
      <xdr:rowOff>0</xdr:rowOff>
    </xdr:from>
    <xdr:to>
      <xdr:col>24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5aca3d40af4c1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StationsTable" displayName="RawStationsTable" ref="A1:D299" headerRowCount="1" totalsRowCount="0" totalsRowShown="0">
  <x:tableColumns count="4">
    <x:tableColumn id="1" name="station"/>
    <x:tableColumn id="2" name="latitude"/>
    <x:tableColumn id="3" name="longitude"/>
    <x:tableColumn id="4" name="station static 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ZTable" displayName="RawZTable" ref="A1:P279" headerRowCount="1" totalsRowCount="0" totalsRowShown="0">
  <x:tableColumns count="16">
    <x:tableColumn id="1" name="event_id"/>
    <x:tableColumn id="2" name="station"/>
    <x:tableColumn id="3" name="component"/>
    <x:tableColumn id="4" name="catalog_shift_component"/>
    <x:tableColumn id="5" name="catalog_time_shift_column"/>
    <x:tableColumn id="6" name="phase"/>
    <x:tableColumn id="7" name="frequency_min_hz"/>
    <x:tableColumn id="8" name="frequency_max_hz"/>
    <x:tableColumn id="9" name="sample_rate_hz"/>
    <x:tableColumn id="10" name="measured_shift_seconds"/>
    <x:tableColumn id="11" name="predicted_shift_seconds"/>
    <x:tableColumn id="12" name="shift_relative_to_predicted_seconds"/>
    <x:tableColumn id="13" name="lag_samples"/>
    <x:tableColumn id="14" name="station_correlation"/>
    <x:tableColumn id="15" name="passed_window_correlation"/>
    <x:tableColumn id="16" name="source_output_di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ZComparisonTable" displayName="ZComparisonTable" ref="A7:N285" headerRowCount="1" totalsRowCount="0" totalsRowShown="0">
  <x:tableColumns count="14">
    <x:tableColumn id="1" name="Station"/>
    <x:tableColumn id="2" name="Stored static (s)"/>
    <x:tableColumn id="3" name="Raw xcorr residual (s)"/>
    <x:tableColumn id="4" name="Event baseline (s)"/>
    <x:tableColumn id="5" name="Baseline-corrected xcorr (s)"/>
    <x:tableColumn id="6" name="Difference (s)"/>
    <x:tableColumn id="7" name="|Difference| (s)"/>
    <x:tableColumn id="8" name="Station correlation"/>
    <x:tableColumn id="9" name="Passed"/>
    <x:tableColumn id="10" name="Passed stored"/>
    <x:tableColumn id="11" name="Passed xcorr"/>
    <x:tableColumn id="12" name="Passed |difference|"/>
    <x:tableColumn id="13" name="Passed squared difference"/>
    <x:tableColumn id="14" name="Passed 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RTable" displayName="RawRTable" ref="A1:P279" headerRowCount="1" totalsRowCount="0" totalsRowShown="0">
  <x:tableColumns count="16">
    <x:tableColumn id="1" name="event_id"/>
    <x:tableColumn id="2" name="station"/>
    <x:tableColumn id="3" name="component"/>
    <x:tableColumn id="4" name="catalog_shift_component"/>
    <x:tableColumn id="5" name="catalog_time_shift_column"/>
    <x:tableColumn id="6" name="phase"/>
    <x:tableColumn id="7" name="frequency_min_hz"/>
    <x:tableColumn id="8" name="frequency_max_hz"/>
    <x:tableColumn id="9" name="sample_rate_hz"/>
    <x:tableColumn id="10" name="measured_shift_seconds"/>
    <x:tableColumn id="11" name="predicted_shift_seconds"/>
    <x:tableColumn id="12" name="shift_relative_to_predicted_seconds"/>
    <x:tableColumn id="13" name="lag_samples"/>
    <x:tableColumn id="14" name="station_correlation"/>
    <x:tableColumn id="15" name="passed_window_correlation"/>
    <x:tableColumn id="16" name="source_output_di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ComparisonTable" displayName="RComparisonTable" ref="A7:N285" headerRowCount="1" totalsRowCount="0" totalsRowShown="0">
  <x:tableColumns count="14">
    <x:tableColumn id="1" name="Station"/>
    <x:tableColumn id="2" name="Stored static (s)"/>
    <x:tableColumn id="3" name="Raw xcorr residual (s)"/>
    <x:tableColumn id="4" name="Event baseline (s)"/>
    <x:tableColumn id="5" name="Baseline-corrected xcorr (s)"/>
    <x:tableColumn id="6" name="Difference (s)"/>
    <x:tableColumn id="7" name="|Difference| (s)"/>
    <x:tableColumn id="8" name="Station correlation"/>
    <x:tableColumn id="9" name="Passed"/>
    <x:tableColumn id="10" name="Passed stored"/>
    <x:tableColumn id="11" name="Passed xcorr"/>
    <x:tableColumn id="12" name="Passed |difference|"/>
    <x:tableColumn id="13" name="Passed squared difference"/>
    <x:tableColumn id="14" name="Passed differ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wTTable" displayName="RawTTable" ref="A1:P279" headerRowCount="1" totalsRowCount="0" totalsRowShown="0">
  <x:tableColumns count="16">
    <x:tableColumn id="1" name="event_id"/>
    <x:tableColumn id="2" name="station"/>
    <x:tableColumn id="3" name="component"/>
    <x:tableColumn id="4" name="catalog_shift_component"/>
    <x:tableColumn id="5" name="catalog_time_shift_column"/>
    <x:tableColumn id="6" name="phase"/>
    <x:tableColumn id="7" name="frequency_min_hz"/>
    <x:tableColumn id="8" name="frequency_max_hz"/>
    <x:tableColumn id="9" name="sample_rate_hz"/>
    <x:tableColumn id="10" name="measured_shift_seconds"/>
    <x:tableColumn id="11" name="predicted_shift_seconds"/>
    <x:tableColumn id="12" name="shift_relative_to_predicted_seconds"/>
    <x:tableColumn id="13" name="lag_samples"/>
    <x:tableColumn id="14" name="station_correlation"/>
    <x:tableColumn id="15" name="passed_window_correlation"/>
    <x:tableColumn id="16" name="source_output_di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ComparisonTable" displayName="TComparisonTable" ref="A7:N285" headerRowCount="1" totalsRowCount="0" totalsRowShown="0">
  <x:tableColumns count="14">
    <x:tableColumn id="1" name="Station"/>
    <x:tableColumn id="2" name="Stored static (s)"/>
    <x:tableColumn id="3" name="Raw xcorr residual (s)"/>
    <x:tableColumn id="4" name="Event baseline (s)"/>
    <x:tableColumn id="5" name="Baseline-corrected xcorr (s)"/>
    <x:tableColumn id="6" name="Difference (s)"/>
    <x:tableColumn id="7" name="|Difference| (s)"/>
    <x:tableColumn id="8" name="Station correlation"/>
    <x:tableColumn id="9" name="Passed"/>
    <x:tableColumn id="10" name="Passed stored"/>
    <x:tableColumn id="11" name="Passed xcorr"/>
    <x:tableColumn id="12" name="Passed |difference|"/>
    <x:tableColumn id="13" name="Passed squared difference"/>
    <x:tableColumn id="14" name="Passed dif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d9383e1154545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566437419af41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ead3bf2ee6a4d43" /><Relationship Type="http://schemas.openxmlformats.org/officeDocument/2006/relationships/table" Target="/xl/tables/table3.xml" Id="R275ee0f78f024e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f0e08271f049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5ced4b186415443b" /><Relationship Type="http://schemas.openxmlformats.org/officeDocument/2006/relationships/table" Target="/xl/tables/table5.xml" Id="R721f66e2d5b84c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fc021b0bd3345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8ea08d45e53c4d8d" /><Relationship Type="http://schemas.openxmlformats.org/officeDocument/2006/relationships/table" Target="/xl/tables/table7.xml" Id="Rb3c59992855e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3" hidden="0" customWidth="1"/>
    <x:col min="5" max="5" width="23" hidden="0" customWidth="1"/>
    <x:col min="6" max="6" width="14" hidden="0" customWidth="1"/>
    <x:col min="7" max="7" width="14" hidden="0" customWidth="1"/>
    <x:col min="8" max="8" width="24" hidden="0" customWidth="1"/>
  </x:cols>
  <x:sheetData>
    <x:row r="1" ht="28" customHeight="1">
      <x:c r="A1" s="3" t="str">
        <x:v>CI_40353552 stored vs correlation-estimated station statics</x:v>
      </x:c>
      <x:c r="B1" s="3"/>
      <x:c r="C1" s="3"/>
      <x:c r="D1" s="3"/>
      <x:c r="E1" s="3"/>
      <x:c r="F1" s="3"/>
      <x:c r="G1" s="3"/>
      <x:c r="H1" s="3"/>
    </x:row>
    <x:row r="2">
      <x:c r="A2" s="5" t="str">
        <x:v>S alignment, 3–10 Hz, 250 Hz sampling; primary statistics use traces that passed the correlation threshold.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4" t="str">
        <x:v>Component</x:v>
      </x:c>
      <x:c r="B4" s="15" t="str">
        <x:v>Matched stations</x:v>
      </x:c>
      <x:c r="C4" s="15" t="str">
        <x:v>Passed stations</x:v>
      </x:c>
      <x:c r="D4" s="15" t="str">
        <x:v>Pearson r</x:v>
      </x:c>
      <x:c r="E4" s="15" t="str">
        <x:v>Median |difference| (ms)</x:v>
      </x:c>
      <x:c r="F4" s="15" t="str">
        <x:v>RMSE (ms)</x:v>
      </x:c>
      <x:c r="G4" s="15" t="str">
        <x:v>Within 4 ms</x:v>
      </x:c>
      <x:c r="H4" s="16" t="str">
        <x:v>Event baseline removed (ms)</x:v>
      </x:c>
    </x:row>
    <x:row r="5">
      <x:c r="A5" s="21" t="str">
        <x:v>Z — Vertical</x:v>
      </x:c>
      <x:c r="B5" s="22" t="n">
        <x:f>'Z Analysis'!B3</x:f>
        <x:v>278</x:v>
      </x:c>
      <x:c r="C5" s="22" t="n">
        <x:f>'Z Analysis'!D2</x:f>
        <x:v>251</x:v>
      </x:c>
      <x:c r="D5" s="23" t="n">
        <x:f>'Z Analysis'!F2</x:f>
        <x:v>0.31476193227266713</x:v>
      </x:c>
      <x:c r="E5" s="24" t="n">
        <x:f>'Z Analysis'!H2*1000</x:f>
        <x:v>13.681671727857184</x:v>
      </x:c>
      <x:c r="F5" s="24" t="n">
        <x:f>'Z Analysis'!D3*1000</x:f>
        <x:v>23.291466404645867</x:v>
      </x:c>
      <x:c r="G5" s="25" t="n">
        <x:f>'Z Analysis'!H3/'Z Analysis'!D2</x:f>
        <x:v>0.30677290836653387</x:v>
      </x:c>
      <x:c r="H5" s="24" t="n">
        <x:f>'Z Analysis'!B2*1000</x:f>
        <x:v>-0.9288398653362757</x:v>
      </x:c>
    </x:row>
    <x:row r="6">
      <x:c r="A6" s="26" t="str">
        <x:v>R — Radial</x:v>
      </x:c>
      <x:c r="B6" s="27" t="n">
        <x:f>'R Analysis'!B3</x:f>
        <x:v>278</x:v>
      </x:c>
      <x:c r="C6" s="27" t="n">
        <x:f>'R Analysis'!D2</x:f>
        <x:v>278</x:v>
      </x:c>
      <x:c r="D6" s="28" t="n">
        <x:f>'R Analysis'!F2</x:f>
        <x:v>0.9616227564733563</x:v>
      </x:c>
      <x:c r="E6" s="29" t="n">
        <x:f>'R Analysis'!H2*1000</x:f>
        <x:v>1.6414925935109135</x:v>
      </x:c>
      <x:c r="F6" s="29" t="n">
        <x:f>'R Analysis'!D3*1000</x:f>
        <x:v>3.53128155136553</x:v>
      </x:c>
      <x:c r="G6" s="30" t="n">
        <x:f>'R Analysis'!H3/'R Analysis'!D2</x:f>
        <x:v>0.8848920863309353</x:v>
      </x:c>
      <x:c r="H6" s="29" t="n">
        <x:f>'R Analysis'!B2*1000</x:f>
        <x:v>-17.91329208576473</x:v>
      </x:c>
    </x:row>
    <x:row r="7">
      <x:c r="A7" s="31" t="str">
        <x:v>T — Transverse</x:v>
      </x:c>
      <x:c r="B7" s="32" t="n">
        <x:f>'T Analysis'!B3</x:f>
        <x:v>278</x:v>
      </x:c>
      <x:c r="C7" s="32" t="n">
        <x:f>'T Analysis'!D2</x:f>
        <x:v>274</x:v>
      </x:c>
      <x:c r="D7" s="33" t="n">
        <x:f>'T Analysis'!F2</x:f>
        <x:v>-0.06436793714733188</x:v>
      </x:c>
      <x:c r="E7" s="34" t="n">
        <x:f>'T Analysis'!H2*1000</x:f>
        <x:v>9.88594482170637</x:v>
      </x:c>
      <x:c r="F7" s="34" t="n">
        <x:f>'T Analysis'!D3*1000</x:f>
        <x:v>19.548628742968923</x:v>
      </x:c>
      <x:c r="G7" s="35" t="n">
        <x:f>'T Analysis'!H3/'T Analysis'!D2</x:f>
        <x:v>0.24817518248175183</x:v>
      </x:c>
      <x:c r="H7" s="34" t="n">
        <x:f>'T Analysis'!B2*1000</x:f>
        <x:v>-17.83376051078768</x:v>
      </x:c>
    </x:row>
    <x:row r="9">
      <x:c r="A9" s="38" t="str">
        <x:v>Confirmed interpretation</x:v>
      </x:c>
      <x:c r="B9" s="39"/>
      <x:c r="C9" s="39"/>
      <x:c r="D9" s="39"/>
      <x:c r="E9" s="39"/>
      <x:c r="F9" s="39"/>
      <x:c r="G9" s="39"/>
      <x:c r="H9" s="40"/>
    </x:row>
    <x:row r="10">
      <x:c r="A10" s="60" t="str">
        <x:v>The stored “station static s” correction closely reproduces the radial (R) correlation pattern for this event. Agreement is much weaker for Z and absent for T, even though most traces pass the within-component correlation screen. This pattern is consistent with a radial-derived stored correction, but the stations workbook does not itself record provenance. A passed correlation flag indicates waveform coherence within a component; it does not guarantee agreement between components.</x:v>
      </x:c>
      <x:c r="B10" s="61"/>
      <x:c r="C10" s="61"/>
      <x:c r="D10" s="61"/>
      <x:c r="E10" s="61"/>
      <x:c r="F10" s="61"/>
      <x:c r="G10" s="61"/>
      <x:c r="H10" s="62"/>
    </x:row>
    <x:row r="11">
      <x:c r="A11" s="63"/>
      <x:c r="B11" s="64"/>
      <x:c r="C11" s="64"/>
      <x:c r="D11" s="64"/>
      <x:c r="E11" s="64"/>
      <x:c r="F11" s="64"/>
      <x:c r="G11" s="64"/>
      <x:c r="H11" s="65"/>
    </x:row>
    <x:row r="12">
      <x:c r="A12" s="63"/>
      <x:c r="B12" s="64"/>
      <x:c r="C12" s="64"/>
      <x:c r="D12" s="64"/>
      <x:c r="E12" s="64"/>
      <x:c r="F12" s="64"/>
      <x:c r="G12" s="64"/>
      <x:c r="H12" s="65"/>
    </x:row>
    <x:row r="13">
      <x:c r="A13" s="66"/>
      <x:c r="B13" s="67"/>
      <x:c r="C13" s="67"/>
      <x:c r="D13" s="67"/>
      <x:c r="E13" s="67"/>
      <x:c r="F13" s="67"/>
      <x:c r="G13" s="67"/>
      <x:c r="H13" s="68"/>
    </x:row>
    <x:row r="15">
      <x:c r="A15" s="38" t="str">
        <x:v>Method and cautions</x:v>
      </x:c>
      <x:c r="B15" s="39"/>
      <x:c r="C15" s="39"/>
      <x:c r="D15" s="39"/>
      <x:c r="E15" s="39"/>
      <x:c r="F15" s="39"/>
      <x:c r="G15" s="39"/>
      <x:c r="H15" s="40"/>
    </x:row>
    <x:row r="16">
      <x:c r="A16" s="88" t="str">
        <x:v>For each component, the correlation residual is measured relative to the TauP-predicted station shift. The event-wide baseline is removed with the established 3.5-MAD procedure before comparison with the stored station correction. Difference = baseline-corrected correlation estimate − stored correction. The source residuals were generated on 2026-07-22. Their referenced timestamped run directory is no longer present, so the workbook inputs and embedded provenance columns—not a rerun—are the evidence used here.</x:v>
      </x:c>
      <x:c r="B16" s="89"/>
      <x:c r="C16" s="89"/>
      <x:c r="D16" s="89"/>
      <x:c r="E16" s="89"/>
      <x:c r="F16" s="89"/>
      <x:c r="G16" s="89"/>
      <x:c r="H16" s="90"/>
    </x:row>
    <x:row r="17">
      <x:c r="A17" s="91"/>
      <x:c r="B17" s="92"/>
      <x:c r="C17" s="92"/>
      <x:c r="D17" s="92"/>
      <x:c r="E17" s="92"/>
      <x:c r="F17" s="92"/>
      <x:c r="G17" s="92"/>
      <x:c r="H17" s="93"/>
    </x:row>
    <x:row r="18">
      <x:c r="A18" s="91"/>
      <x:c r="B18" s="92"/>
      <x:c r="C18" s="92"/>
      <x:c r="D18" s="92"/>
      <x:c r="E18" s="92"/>
      <x:c r="F18" s="92"/>
      <x:c r="G18" s="92"/>
      <x:c r="H18" s="93"/>
    </x:row>
    <x:row r="19">
      <x:c r="A19" s="91"/>
      <x:c r="B19" s="92"/>
      <x:c r="C19" s="92"/>
      <x:c r="D19" s="92"/>
      <x:c r="E19" s="92"/>
      <x:c r="F19" s="92"/>
      <x:c r="G19" s="92"/>
      <x:c r="H19" s="93"/>
    </x:row>
    <x:row r="20">
      <x:c r="A20" s="94"/>
      <x:c r="B20" s="95"/>
      <x:c r="C20" s="95"/>
      <x:c r="D20" s="95"/>
      <x:c r="E20" s="95"/>
      <x:c r="F20" s="95"/>
      <x:c r="G20" s="95"/>
      <x:c r="H20" s="96"/>
    </x:row>
  </x:sheetData>
  <x:mergeCells>
    <x:mergeCell ref="A1:H1"/>
    <x:mergeCell ref="A2:H2"/>
    <x:mergeCell ref="A9:H9"/>
    <x:mergeCell ref="A10:H13"/>
    <x:mergeCell ref="A15:H15"/>
    <x:mergeCell ref="A16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  <x:col min="3" max="3" width="68" hidden="0" customWidth="1"/>
  </x:cols>
  <x:sheetData>
    <x:row r="1" ht="28" customHeight="1">
      <x:c r="A1" s="3" t="str">
        <x:v>Source files and comparison definition</x:v>
      </x:c>
      <x:c r="B1" s="3"/>
      <x:c r="C1" s="3"/>
    </x:row>
    <x:row r="3" ht="30" customHeight="1">
      <x:c r="A3" s="14" t="str">
        <x:v>Role</x:v>
      </x:c>
      <x:c r="B3" s="15" t="str">
        <x:v>Path</x:v>
      </x:c>
      <x:c r="C3" s="16" t="str">
        <x:v>Notes</x:v>
      </x:c>
    </x:row>
    <x:row r="4">
      <x:c r="A4" s="97" t="str">
        <x:v>Stored station corrections</x:v>
      </x:c>
      <x:c r="B4" s="97" t="str">
        <x:v>/Users/jvidale/Documents/Research/FaultScanR/event_sta_info/stations.xlsx</x:v>
      </x:c>
      <x:c r="C4" s="97" t="str">
        <x:v>Column: station static s; source workbook is read-only.</x:v>
      </x:c>
    </x:row>
    <x:row r="5">
      <x:c r="A5" s="97" t="str">
        <x:v>Z correlation estimates</x:v>
      </x:c>
      <x:c r="B5" s="97" t="str">
        <x:v>/Users/jvidale/Documents/Research/FaultScanR/output/Statics/CI_40353552_Z_S_3-10Hz_shiftR_xcorr_statics.xlsx</x:v>
      </x:c>
      <x:c r="C5" s="97" t="str">
        <x:v>Columns used: station, shift_relative_to_predicted_seconds, station_correlation, passed_window_correlation.</x:v>
      </x:c>
    </x:row>
    <x:row r="6">
      <x:c r="A6" s="97" t="str">
        <x:v>R correlation estimates</x:v>
      </x:c>
      <x:c r="B6" s="97" t="str">
        <x:v>/Users/jvidale/Documents/Research/FaultScanR/output/Statics/CI_40353552_R_S_3-10Hz_shiftR_xcorr_statics.xlsx</x:v>
      </x:c>
      <x:c r="C6" s="97" t="str">
        <x:v>Columns used: station, shift_relative_to_predicted_seconds, station_correlation, passed_window_correlation.</x:v>
      </x:c>
    </x:row>
    <x:row r="7">
      <x:c r="A7" s="97" t="str">
        <x:v>T correlation estimates</x:v>
      </x:c>
      <x:c r="B7" s="97" t="str">
        <x:v>/Users/jvidale/Documents/Research/FaultScanR/output/Statics/CI_40353552_T_S_3-10Hz_shiftR_xcorr_statics.xlsx</x:v>
      </x:c>
      <x:c r="C7" s="97" t="str">
        <x:v>Columns used: station, shift_relative_to_predicted_seconds, station_correlation, passed_window_correlation.</x:v>
      </x:c>
    </x:row>
    <x:row r="10" ht="30" customHeight="1">
      <x:c r="A10" s="14" t="str">
        <x:v>Parameter</x:v>
      </x:c>
      <x:c r="B10" s="15" t="str">
        <x:v>Value</x:v>
      </x:c>
      <x:c r="C10" s="16" t="str">
        <x:v>Definition</x:v>
      </x:c>
    </x:row>
    <x:row r="11">
      <x:c r="A11" t="str">
        <x:v>Event</x:v>
      </x:c>
      <x:c r="B11" t="str">
        <x:v>CI_40353552</x:v>
      </x:c>
      <x:c r="C11" t="str">
        <x:v>Representative event requested for FS-003.</x:v>
      </x:c>
    </x:row>
    <x:row r="12">
      <x:c r="A12" t="str">
        <x:v>Phase</x:v>
      </x:c>
      <x:c r="B12" t="str">
        <x:v>S</x:v>
      </x:c>
      <x:c r="C12" t="str">
        <x:v>S-wave alignment.</x:v>
      </x:c>
    </x:row>
    <x:row r="13">
      <x:c r="A13" t="str">
        <x:v>Frequency</x:v>
      </x:c>
      <x:c r="B13" t="str">
        <x:v>3–10 Hz</x:v>
      </x:c>
      <x:c r="C13" t="str">
        <x:v>Source workbook frequency columns.</x:v>
      </x:c>
    </x:row>
    <x:row r="14">
      <x:c r="A14" t="str">
        <x:v>Sampling</x:v>
      </x:c>
      <x:c r="B14" t="str">
        <x:v>250 Hz</x:v>
      </x:c>
      <x:c r="C14" t="str">
        <x:v>One sample = 4 ms.</x:v>
      </x:c>
    </x:row>
    <x:row r="15">
      <x:c r="A15" t="str">
        <x:v>Correlation threshold</x:v>
      </x:c>
      <x:c r="B15" s="98" t="n">
        <x:v>0.6</x:v>
      </x:c>
      <x:c r="C15" t="str">
        <x:v>Source pass/fail criterion.</x:v>
      </x:c>
    </x:row>
    <x:row r="16">
      <x:c r="A16" t="str">
        <x:v>Baseline method</x:v>
      </x:c>
      <x:c r="B16" t="str">
        <x:v>3.5 MAD</x:v>
      </x:c>
      <x:c r="C16" t="str">
        <x:v>Same event-baseline method used by plot_statics_by_station.py.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8" hidden="0" customWidth="1"/>
  </x:cols>
  <x:sheetData>
    <x:row r="1" ht="30" customHeight="1">
      <x:c r="A1" s="14" t="str">
        <x:v>station</x:v>
      </x:c>
      <x:c r="B1" s="15" t="str">
        <x:v>latitude</x:v>
      </x:c>
      <x:c r="C1" s="15" t="str">
        <x:v>longitude</x:v>
      </x:c>
      <x:c r="D1" s="16" t="str">
        <x:v>station static s</x:v>
      </x:c>
    </x:row>
    <x:row r="2">
      <x:c r="A2" s="99" t="str">
        <x:v>00036</x:v>
      </x:c>
      <x:c r="B2" t="n">
        <x:v>33.601154</x:v>
      </x:c>
      <x:c r="C2" t="n">
        <x:v>-116.459877</x:v>
      </x:c>
      <x:c r="D2" s="100" t="n">
        <x:v>0.002324070776815849</x:v>
      </x:c>
    </x:row>
    <x:row r="3">
      <x:c r="A3" s="99" t="str">
        <x:v>00037</x:v>
      </x:c>
      <x:c r="B3" t="n">
        <x:v>33.601142</x:v>
      </x:c>
      <x:c r="C3" t="n">
        <x:v>-116.458848</x:v>
      </x:c>
      <x:c r="D3" s="100" t="n">
        <x:v>0.008505758275836578</x:v>
      </x:c>
    </x:row>
    <x:row r="4">
      <x:c r="A4" s="99" t="str">
        <x:v>00038</x:v>
      </x:c>
      <x:c r="B4" t="n">
        <x:v>33.601143</x:v>
      </x:c>
      <x:c r="C4" t="n">
        <x:v>-116.457893</x:v>
      </x:c>
      <x:c r="D4" s="100" t="n">
        <x:v>0.00470310700499235</x:v>
      </x:c>
    </x:row>
    <x:row r="5">
      <x:c r="A5" s="99" t="str">
        <x:v>00039</x:v>
      </x:c>
      <x:c r="B5" t="n">
        <x:v>33.601073</x:v>
      </x:c>
      <x:c r="C5" t="n">
        <x:v>-116.456871</x:v>
      </x:c>
      <x:c r="D5" s="100" t="n">
        <x:v>0.003906768382867876</x:v>
      </x:c>
    </x:row>
    <x:row r="6">
      <x:c r="A6" s="99" t="str">
        <x:v>00040</x:v>
      </x:c>
      <x:c r="B6" t="n">
        <x:v>33.601113</x:v>
      </x:c>
      <x:c r="C6" t="n">
        <x:v>-116.455834</x:v>
      </x:c>
      <x:c r="D6" s="100" t="n">
        <x:v>-0.0002087563125119027</x:v>
      </x:c>
    </x:row>
    <x:row r="7">
      <x:c r="A7" s="99" t="str">
        <x:v>00041</x:v>
      </x:c>
      <x:c r="B7" t="n">
        <x:v>33.6011</x:v>
      </x:c>
      <x:c r="C7" t="n">
        <x:v>-116.454853</x:v>
      </x:c>
      <x:c r="D7" s="100" t="n">
        <x:v>0.00358026977195911</x:v>
      </x:c>
    </x:row>
    <x:row r="8">
      <x:c r="A8" s="99" t="str">
        <x:v>00042</x:v>
      </x:c>
      <x:c r="B8" t="n">
        <x:v>33.601131</x:v>
      </x:c>
      <x:c r="C8" t="n">
        <x:v>-116.453829</x:v>
      </x:c>
      <x:c r="D8" s="100" t="n">
        <x:v>0.004263097793196531</x:v>
      </x:c>
    </x:row>
    <x:row r="9">
      <x:c r="A9" s="99" t="str">
        <x:v>00043</x:v>
      </x:c>
      <x:c r="B9" t="n">
        <x:v>33.601121</x:v>
      </x:c>
      <x:c r="C9" t="n">
        <x:v>-116.452834</x:v>
      </x:c>
      <x:c r="D9" s="100" t="n">
        <x:v>0.009528350892782811</x:v>
      </x:c>
    </x:row>
    <x:row r="10">
      <x:c r="A10" s="99" t="str">
        <x:v>00044</x:v>
      </x:c>
      <x:c r="B10" t="n">
        <x:v>33.601162</x:v>
      </x:c>
      <x:c r="C10" t="n">
        <x:v>-116.45188</x:v>
      </x:c>
      <x:c r="D10" s="100" t="n">
        <x:v>0.009092824066710387</x:v>
      </x:c>
    </x:row>
    <x:row r="11">
      <x:c r="A11" s="99" t="str">
        <x:v>00045</x:v>
      </x:c>
      <x:c r="B11" t="n">
        <x:v>33.601115</x:v>
      </x:c>
      <x:c r="C11" t="n">
        <x:v>-116.450772</x:v>
      </x:c>
      <x:c r="D11" s="100" t="n">
        <x:v>0.02515142487555863</x:v>
      </x:c>
    </x:row>
    <x:row r="12">
      <x:c r="A12" s="99" t="str">
        <x:v>00046</x:v>
      </x:c>
      <x:c r="B12" t="n">
        <x:v>33.601062</x:v>
      </x:c>
      <x:c r="C12" t="n">
        <x:v>-116.44982</x:v>
      </x:c>
      <x:c r="D12" s="100" t="n">
        <x:v>0.02675773833592649</x:v>
      </x:c>
    </x:row>
    <x:row r="13">
      <x:c r="A13" s="99" t="str">
        <x:v>00047</x:v>
      </x:c>
      <x:c r="B13" t="n">
        <x:v>33.60106</x:v>
      </x:c>
      <x:c r="C13" t="n">
        <x:v>-116.448849</x:v>
      </x:c>
      <x:c r="D13" s="100" t="n">
        <x:v>0.01528010894597948</x:v>
      </x:c>
    </x:row>
    <x:row r="14">
      <x:c r="A14" s="99" t="str">
        <x:v>00048</x:v>
      </x:c>
      <x:c r="B14" t="n">
        <x:v>33.601069</x:v>
      </x:c>
      <x:c r="C14" t="n">
        <x:v>-116.447832</x:v>
      </x:c>
      <x:c r="D14" s="100" t="n">
        <x:v>0.01644389798776964</x:v>
      </x:c>
    </x:row>
    <x:row r="15">
      <x:c r="A15" s="99" t="str">
        <x:v>00049</x:v>
      </x:c>
      <x:c r="B15" t="n">
        <x:v>33.601989</x:v>
      </x:c>
      <x:c r="C15" t="n">
        <x:v>-116.45983</x:v>
      </x:c>
      <x:c r="D15" s="100" t="n">
        <x:v>0.002435572463590521</x:v>
      </x:c>
    </x:row>
    <x:row r="16">
      <x:c r="A16" s="99" t="str">
        <x:v>00050</x:v>
      </x:c>
      <x:c r="B16" t="n">
        <x:v>33.602028</x:v>
      </x:c>
      <x:c r="C16" t="n">
        <x:v>-116.458764</x:v>
      </x:c>
      <x:c r="D16" s="100"/>
    </x:row>
    <x:row r="17">
      <x:c r="A17" s="99" t="str">
        <x:v>00051</x:v>
      </x:c>
      <x:c r="B17" t="n">
        <x:v>33.601937</x:v>
      </x:c>
      <x:c r="C17" t="n">
        <x:v>-116.457744</x:v>
      </x:c>
      <x:c r="D17" s="100" t="n">
        <x:v>-0.00304927875036071</x:v>
      </x:c>
    </x:row>
    <x:row r="18">
      <x:c r="A18" s="99" t="str">
        <x:v>00052</x:v>
      </x:c>
      <x:c r="B18" t="n">
        <x:v>33.602003</x:v>
      </x:c>
      <x:c r="C18" t="n">
        <x:v>-116.456808</x:v>
      </x:c>
      <x:c r="D18" s="100" t="n">
        <x:v>0.000814765883671513</x:v>
      </x:c>
    </x:row>
    <x:row r="19">
      <x:c r="A19" s="99" t="str">
        <x:v>00053</x:v>
      </x:c>
      <x:c r="B19" t="n">
        <x:v>33.602028</x:v>
      </x:c>
      <x:c r="C19" t="n">
        <x:v>-116.455825</x:v>
      </x:c>
      <x:c r="D19" s="100" t="n">
        <x:v>-0.001777453088283948</x:v>
      </x:c>
    </x:row>
    <x:row r="20">
      <x:c r="A20" s="99" t="str">
        <x:v>00054</x:v>
      </x:c>
      <x:c r="B20" t="n">
        <x:v>33.602</x:v>
      </x:c>
      <x:c r="C20" t="n">
        <x:v>-116.454799</x:v>
      </x:c>
      <x:c r="D20" s="100" t="n">
        <x:v>-0.00139910433944199</x:v>
      </x:c>
    </x:row>
    <x:row r="21">
      <x:c r="A21" s="99" t="str">
        <x:v>00055</x:v>
      </x:c>
      <x:c r="B21" t="n">
        <x:v>33.60201</x:v>
      </x:c>
      <x:c r="C21" t="n">
        <x:v>-116.453828</x:v>
      </x:c>
      <x:c r="D21" s="100" t="n">
        <x:v>-0.0008299823692701699</x:v>
      </x:c>
    </x:row>
    <x:row r="22">
      <x:c r="A22" s="99" t="str">
        <x:v>00056</x:v>
      </x:c>
      <x:c r="B22" t="n">
        <x:v>33.601969</x:v>
      </x:c>
      <x:c r="C22" t="n">
        <x:v>-116.45284</x:v>
      </x:c>
      <x:c r="D22" s="100" t="n">
        <x:v>-0.0001455628683264855</x:v>
      </x:c>
    </x:row>
    <x:row r="23">
      <x:c r="A23" s="99" t="str">
        <x:v>00057</x:v>
      </x:c>
      <x:c r="B23" t="n">
        <x:v>33.601931</x:v>
      </x:c>
      <x:c r="C23" t="n">
        <x:v>-116.451856</x:v>
      </x:c>
      <x:c r="D23" s="100" t="n">
        <x:v>0.003210485626882521</x:v>
      </x:c>
    </x:row>
    <x:row r="24">
      <x:c r="A24" s="99" t="str">
        <x:v>00058</x:v>
      </x:c>
      <x:c r="B24" t="n">
        <x:v>33.601899</x:v>
      </x:c>
      <x:c r="C24" t="n">
        <x:v>-116.450804</x:v>
      </x:c>
      <x:c r="D24" s="100"/>
    </x:row>
    <x:row r="25">
      <x:c r="A25" s="99" t="str">
        <x:v>00059</x:v>
      </x:c>
      <x:c r="B25" t="n">
        <x:v>33.601954</x:v>
      </x:c>
      <x:c r="C25" t="n">
        <x:v>-116.449785</x:v>
      </x:c>
      <x:c r="D25" s="100" t="n">
        <x:v>0.01677899036493022</x:v>
      </x:c>
    </x:row>
    <x:row r="26">
      <x:c r="A26" s="99" t="str">
        <x:v>00060</x:v>
      </x:c>
      <x:c r="B26" t="n">
        <x:v>33.601908</x:v>
      </x:c>
      <x:c r="C26" t="n">
        <x:v>-116.448867</x:v>
      </x:c>
      <x:c r="D26" s="100" t="n">
        <x:v>0.01538300236054295</x:v>
      </x:c>
    </x:row>
    <x:row r="27">
      <x:c r="A27" s="99" t="str">
        <x:v>00061</x:v>
      </x:c>
      <x:c r="B27" t="n">
        <x:v>33.601923</x:v>
      </x:c>
      <x:c r="C27" t="n">
        <x:v>-116.447813</x:v>
      </x:c>
      <x:c r="D27" s="100" t="n">
        <x:v>0.01209617621466055</x:v>
      </x:c>
    </x:row>
    <x:row r="28">
      <x:c r="A28" s="99" t="str">
        <x:v>00062</x:v>
      </x:c>
      <x:c r="B28" t="n">
        <x:v>33.601963</x:v>
      </x:c>
      <x:c r="C28" t="n">
        <x:v>-116.446654</x:v>
      </x:c>
      <x:c r="D28" s="100" t="n">
        <x:v>0.02100475637705957</x:v>
      </x:c>
    </x:row>
    <x:row r="29">
      <x:c r="A29" s="99" t="str">
        <x:v>00063</x:v>
      </x:c>
      <x:c r="B29" t="n">
        <x:v>33.60282</x:v>
      </x:c>
      <x:c r="C29" t="n">
        <x:v>-116.459831</x:v>
      </x:c>
      <x:c r="D29" s="100" t="n">
        <x:v>-0.001555160798704242</x:v>
      </x:c>
    </x:row>
    <x:row r="30">
      <x:c r="A30" s="99" t="str">
        <x:v>00064</x:v>
      </x:c>
      <x:c r="B30" t="n">
        <x:v>33.60272</x:v>
      </x:c>
      <x:c r="C30" t="n">
        <x:v>-116.458837</x:v>
      </x:c>
      <x:c r="D30" s="100" t="n">
        <x:v>-0.002851098971430328</x:v>
      </x:c>
    </x:row>
    <x:row r="31">
      <x:c r="A31" s="99" t="str">
        <x:v>00065</x:v>
      </x:c>
      <x:c r="B31" t="n">
        <x:v>33.602744</x:v>
      </x:c>
      <x:c r="C31" t="n">
        <x:v>-116.457783</x:v>
      </x:c>
      <x:c r="D31" s="100" t="n">
        <x:v>-0.00007756315293306823</x:v>
      </x:c>
    </x:row>
    <x:row r="32">
      <x:c r="A32" s="99" t="str">
        <x:v>00066</x:v>
      </x:c>
      <x:c r="B32" t="n">
        <x:v>33.602699</x:v>
      </x:c>
      <x:c r="C32" t="n">
        <x:v>-116.456876</x:v>
      </x:c>
      <x:c r="D32" s="100" t="n">
        <x:v>-0.002358009310657449</x:v>
      </x:c>
    </x:row>
    <x:row r="33">
      <x:c r="A33" s="99" t="str">
        <x:v>00067</x:v>
      </x:c>
      <x:c r="B33" t="n">
        <x:v>33.602735</x:v>
      </x:c>
      <x:c r="C33" t="n">
        <x:v>-116.455919</x:v>
      </x:c>
      <x:c r="D33" s="100" t="n">
        <x:v>-0.001078709786160901</x:v>
      </x:c>
    </x:row>
    <x:row r="34">
      <x:c r="A34" s="99" t="str">
        <x:v>00068</x:v>
      </x:c>
      <x:c r="B34" t="n">
        <x:v>33.602802</x:v>
      </x:c>
      <x:c r="C34" t="n">
        <x:v>-116.454934</x:v>
      </x:c>
      <x:c r="D34" s="100" t="n">
        <x:v>0.004258249371668545</x:v>
      </x:c>
    </x:row>
    <x:row r="35">
      <x:c r="A35" s="99" t="str">
        <x:v>00069</x:v>
      </x:c>
      <x:c r="B35" t="n">
        <x:v>33.602796</x:v>
      </x:c>
      <x:c r="C35" t="n">
        <x:v>-116.453876</x:v>
      </x:c>
      <x:c r="D35" s="100" t="n">
        <x:v>0.001685727655549044</x:v>
      </x:c>
    </x:row>
    <x:row r="36">
      <x:c r="A36" s="99" t="str">
        <x:v>00070</x:v>
      </x:c>
      <x:c r="B36" t="n">
        <x:v>33.602934</x:v>
      </x:c>
      <x:c r="C36" t="n">
        <x:v>-116.452877</x:v>
      </x:c>
      <x:c r="D36" s="100" t="n">
        <x:v>0.002677299169714938</x:v>
      </x:c>
    </x:row>
    <x:row r="37">
      <x:c r="A37" s="99" t="str">
        <x:v>00071</x:v>
      </x:c>
      <x:c r="B37" t="n">
        <x:v>33.602836</x:v>
      </x:c>
      <x:c r="C37" t="n">
        <x:v>-116.45187</x:v>
      </x:c>
      <x:c r="D37" s="100" t="n">
        <x:v>0.00347313508830038</x:v>
      </x:c>
    </x:row>
    <x:row r="38">
      <x:c r="A38" s="99" t="str">
        <x:v>00072</x:v>
      </x:c>
      <x:c r="B38" t="n">
        <x:v>33.602825</x:v>
      </x:c>
      <x:c r="C38" t="n">
        <x:v>-116.450746</x:v>
      </x:c>
      <x:c r="D38" s="100" t="n">
        <x:v>0.00334039756828081</x:v>
      </x:c>
    </x:row>
    <x:row r="39">
      <x:c r="A39" s="99" t="str">
        <x:v>00073</x:v>
      </x:c>
      <x:c r="B39" t="n">
        <x:v>33.602766</x:v>
      </x:c>
      <x:c r="C39" t="n">
        <x:v>-116.449821</x:v>
      </x:c>
      <x:c r="D39" s="100" t="n">
        <x:v>0.00198140294720622</x:v>
      </x:c>
    </x:row>
    <x:row r="40">
      <x:c r="A40" s="99" t="str">
        <x:v>00074</x:v>
      </x:c>
      <x:c r="B40" t="n">
        <x:v>33.60276</x:v>
      </x:c>
      <x:c r="C40" t="n">
        <x:v>-116.448788</x:v>
      </x:c>
      <x:c r="D40" s="100"/>
    </x:row>
    <x:row r="41">
      <x:c r="A41" s="99" t="str">
        <x:v>00075</x:v>
      </x:c>
      <x:c r="B41" t="n">
        <x:v>33.602742</x:v>
      </x:c>
      <x:c r="C41" t="n">
        <x:v>-116.447845</x:v>
      </x:c>
      <x:c r="D41" s="100" t="n">
        <x:v>0.01807670723018075</x:v>
      </x:c>
    </x:row>
    <x:row r="42">
      <x:c r="A42" s="99" t="str">
        <x:v>00076</x:v>
      </x:c>
      <x:c r="B42" t="n">
        <x:v>33.602754</x:v>
      </x:c>
      <x:c r="C42" t="n">
        <x:v>-116.446864</x:v>
      </x:c>
      <x:c r="D42" s="100" t="n">
        <x:v>0.02336182492799753</x:v>
      </x:c>
    </x:row>
    <x:row r="43">
      <x:c r="A43" s="99" t="str">
        <x:v>00077</x:v>
      </x:c>
      <x:c r="B43" t="n">
        <x:v>33.602754</x:v>
      </x:c>
      <x:c r="C43" t="n">
        <x:v>-116.445801</x:v>
      </x:c>
      <x:c r="D43" s="100" t="n">
        <x:v>0.02126319951126142</x:v>
      </x:c>
    </x:row>
    <x:row r="44">
      <x:c r="A44" s="99" t="str">
        <x:v>00078</x:v>
      </x:c>
      <x:c r="B44" t="n">
        <x:v>33.603681</x:v>
      </x:c>
      <x:c r="C44" t="n">
        <x:v>-116.459771</x:v>
      </x:c>
      <x:c r="D44" s="100" t="n">
        <x:v>-0.004203737816722061</x:v>
      </x:c>
    </x:row>
    <x:row r="45">
      <x:c r="A45" s="99" t="str">
        <x:v>00079</x:v>
      </x:c>
      <x:c r="B45" t="n">
        <x:v>33.603631</x:v>
      </x:c>
      <x:c r="C45" t="n">
        <x:v>-116.458822</x:v>
      </x:c>
      <x:c r="D45" s="100" t="n">
        <x:v>-0.005715521247267239</x:v>
      </x:c>
    </x:row>
    <x:row r="46">
      <x:c r="A46" s="99" t="str">
        <x:v>00080</x:v>
      </x:c>
      <x:c r="B46" t="n">
        <x:v>33.603579</x:v>
      </x:c>
      <x:c r="C46" t="n">
        <x:v>-116.457834</x:v>
      </x:c>
      <x:c r="D46" s="100" t="n">
        <x:v>-0.001428292388092174</x:v>
      </x:c>
    </x:row>
    <x:row r="47">
      <x:c r="A47" s="99" t="str">
        <x:v>00081</x:v>
      </x:c>
      <x:c r="B47" t="n">
        <x:v>33.603646</x:v>
      </x:c>
      <x:c r="C47" t="n">
        <x:v>-116.456884</x:v>
      </x:c>
      <x:c r="D47" s="100" t="n">
        <x:v>-0.005377671962295084</x:v>
      </x:c>
    </x:row>
    <x:row r="48">
      <x:c r="A48" s="99" t="str">
        <x:v>00082</x:v>
      </x:c>
      <x:c r="B48" t="n">
        <x:v>33.603545</x:v>
      </x:c>
      <x:c r="C48" t="n">
        <x:v>-116.455742</x:v>
      </x:c>
      <x:c r="D48" s="100" t="n">
        <x:v>0.002615997766090779</x:v>
      </x:c>
    </x:row>
    <x:row r="49">
      <x:c r="A49" s="99" t="str">
        <x:v>00083</x:v>
      </x:c>
      <x:c r="B49" t="n">
        <x:v>33.6035</x:v>
      </x:c>
      <x:c r="C49" t="n">
        <x:v>-116.454919</x:v>
      </x:c>
      <x:c r="D49" s="100" t="n">
        <x:v>0.0053460092687972</x:v>
      </x:c>
    </x:row>
    <x:row r="50">
      <x:c r="A50" s="99" t="str">
        <x:v>00084</x:v>
      </x:c>
      <x:c r="B50" t="n">
        <x:v>33.603506</x:v>
      </x:c>
      <x:c r="C50" t="n">
        <x:v>-116.453767</x:v>
      </x:c>
      <x:c r="D50" s="100" t="n">
        <x:v>0.006623867605021951</x:v>
      </x:c>
    </x:row>
    <x:row r="51">
      <x:c r="A51" s="99" t="str">
        <x:v>00085</x:v>
      </x:c>
      <x:c r="B51" t="n">
        <x:v>33.603711</x:v>
      </x:c>
      <x:c r="C51" t="n">
        <x:v>-116.452877</x:v>
      </x:c>
      <x:c r="D51" s="100"/>
    </x:row>
    <x:row r="52">
      <x:c r="A52" s="99" t="str">
        <x:v>00086</x:v>
      </x:c>
      <x:c r="B52" t="n">
        <x:v>33.603713</x:v>
      </x:c>
      <x:c r="C52" t="n">
        <x:v>-116.451773</x:v>
      </x:c>
      <x:c r="D52" s="100" t="n">
        <x:v>0.007899155347603819</x:v>
      </x:c>
    </x:row>
    <x:row r="53">
      <x:c r="A53" s="99" t="str">
        <x:v>00087</x:v>
      </x:c>
      <x:c r="B53" t="n">
        <x:v>33.60367</x:v>
      </x:c>
      <x:c r="C53" t="n">
        <x:v>-116.450812</x:v>
      </x:c>
      <x:c r="D53" s="100" t="n">
        <x:v>-0.0003104305051258895</x:v>
      </x:c>
    </x:row>
    <x:row r="54">
      <x:c r="A54" s="99" t="str">
        <x:v>00088</x:v>
      </x:c>
      <x:c r="B54" t="n">
        <x:v>33.603586</x:v>
      </x:c>
      <x:c r="C54" t="n">
        <x:v>-116.449802</x:v>
      </x:c>
      <x:c r="D54" s="100" t="n">
        <x:v>0.0157461620590449</x:v>
      </x:c>
    </x:row>
    <x:row r="55">
      <x:c r="A55" s="99" t="str">
        <x:v>00089</x:v>
      </x:c>
      <x:c r="B55" t="n">
        <x:v>33.603557</x:v>
      </x:c>
      <x:c r="C55" t="n">
        <x:v>-116.448849</x:v>
      </x:c>
      <x:c r="D55" s="100" t="n">
        <x:v>0.01282976438716787</x:v>
      </x:c>
    </x:row>
    <x:row r="56">
      <x:c r="A56" s="99" t="str">
        <x:v>00090</x:v>
      </x:c>
      <x:c r="B56" t="n">
        <x:v>33.603601</x:v>
      </x:c>
      <x:c r="C56" t="n">
        <x:v>-116.44779</x:v>
      </x:c>
      <x:c r="D56" s="100" t="n">
        <x:v>0.01948776418940744</x:v>
      </x:c>
    </x:row>
    <x:row r="57">
      <x:c r="A57" s="99" t="str">
        <x:v>00091</x:v>
      </x:c>
      <x:c r="B57" t="n">
        <x:v>33.603568</x:v>
      </x:c>
      <x:c r="C57" t="n">
        <x:v>-116.44679</x:v>
      </x:c>
      <x:c r="D57" s="100" t="n">
        <x:v>0.0279982488109449</x:v>
      </x:c>
    </x:row>
    <x:row r="58">
      <x:c r="A58" s="99" t="str">
        <x:v>00092</x:v>
      </x:c>
      <x:c r="B58" t="n">
        <x:v>33.603591</x:v>
      </x:c>
      <x:c r="C58" t="n">
        <x:v>-116.445799</x:v>
      </x:c>
      <x:c r="D58" s="100" t="n">
        <x:v>0.01721080396433336</x:v>
      </x:c>
    </x:row>
    <x:row r="59">
      <x:c r="A59" s="99" t="str">
        <x:v>00093</x:v>
      </x:c>
      <x:c r="B59" t="n">
        <x:v>33.603588</x:v>
      </x:c>
      <x:c r="C59" t="n">
        <x:v>-116.444796</x:v>
      </x:c>
      <x:c r="D59" s="100" t="n">
        <x:v>0.01259627872693789</x:v>
      </x:c>
    </x:row>
    <x:row r="60">
      <x:c r="A60" s="99" t="str">
        <x:v>00094</x:v>
      </x:c>
      <x:c r="B60" t="n">
        <x:v>33.604434</x:v>
      </x:c>
      <x:c r="C60" t="n">
        <x:v>-116.459781</x:v>
      </x:c>
      <x:c r="D60" s="100" t="n">
        <x:v>0.0007725978080579399</x:v>
      </x:c>
    </x:row>
    <x:row r="61">
      <x:c r="A61" s="99" t="str">
        <x:v>00095</x:v>
      </x:c>
      <x:c r="B61" t="n">
        <x:v>33.604479</x:v>
      </x:c>
      <x:c r="C61" t="n">
        <x:v>-116.458816</x:v>
      </x:c>
      <x:c r="D61" s="100" t="n">
        <x:v>-0.0289975210238233</x:v>
      </x:c>
    </x:row>
    <x:row r="62">
      <x:c r="A62" s="99" t="str">
        <x:v>00096</x:v>
      </x:c>
      <x:c r="B62" t="n">
        <x:v>33.604526</x:v>
      </x:c>
      <x:c r="C62" t="n">
        <x:v>-116.45782</x:v>
      </x:c>
      <x:c r="D62" s="100" t="n">
        <x:v>-0.0083776807166418</x:v>
      </x:c>
    </x:row>
    <x:row r="63">
      <x:c r="A63" s="99" t="str">
        <x:v>00097</x:v>
      </x:c>
      <x:c r="B63" t="n">
        <x:v>33.604471</x:v>
      </x:c>
      <x:c r="C63" t="n">
        <x:v>-116.456938</x:v>
      </x:c>
      <x:c r="D63" s="100" t="n">
        <x:v>-0.006458927007562558</x:v>
      </x:c>
    </x:row>
    <x:row r="64">
      <x:c r="A64" s="99" t="str">
        <x:v>00098</x:v>
      </x:c>
      <x:c r="B64" t="n">
        <x:v>33.6046</x:v>
      </x:c>
      <x:c r="C64" t="n">
        <x:v>-116.455917</x:v>
      </x:c>
      <x:c r="D64" s="100" t="n">
        <x:v>-0.001755968804049431</x:v>
      </x:c>
    </x:row>
    <x:row r="65">
      <x:c r="A65" s="99" t="str">
        <x:v>00099</x:v>
      </x:c>
      <x:c r="B65" t="n">
        <x:v>33.604465</x:v>
      </x:c>
      <x:c r="C65" t="n">
        <x:v>-116.454734</x:v>
      </x:c>
      <x:c r="D65" s="100" t="n">
        <x:v>-0.001897182119154382</x:v>
      </x:c>
    </x:row>
    <x:row r="66">
      <x:c r="A66" s="99" t="str">
        <x:v>00100</x:v>
      </x:c>
      <x:c r="B66" t="n">
        <x:v>33.604364</x:v>
      </x:c>
      <x:c r="C66" t="n">
        <x:v>-116.45388</x:v>
      </x:c>
      <x:c r="D66" s="100"/>
    </x:row>
    <x:row r="67">
      <x:c r="A67" s="99" t="str">
        <x:v>00101</x:v>
      </x:c>
      <x:c r="B67" t="n">
        <x:v>33.604592</x:v>
      </x:c>
      <x:c r="C67" t="n">
        <x:v>-116.452739</x:v>
      </x:c>
      <x:c r="D67" s="100" t="n">
        <x:v>0.00816297832850466</x:v>
      </x:c>
    </x:row>
    <x:row r="68">
      <x:c r="A68" s="99" t="str">
        <x:v>00102</x:v>
      </x:c>
      <x:c r="B68" t="n">
        <x:v>33.60447</x:v>
      </x:c>
      <x:c r="C68" t="n">
        <x:v>-116.45173</x:v>
      </x:c>
      <x:c r="D68" s="100" t="n">
        <x:v>0.006440861143389272</x:v>
      </x:c>
    </x:row>
    <x:row r="69">
      <x:c r="A69" s="99" t="str">
        <x:v>00103</x:v>
      </x:c>
      <x:c r="B69" t="n">
        <x:v>33.604391</x:v>
      </x:c>
      <x:c r="C69" t="n">
        <x:v>-116.450783</x:v>
      </x:c>
      <x:c r="D69" s="100" t="n">
        <x:v>0.00383762701612823</x:v>
      </x:c>
    </x:row>
    <x:row r="70">
      <x:c r="A70" s="99" t="str">
        <x:v>00104</x:v>
      </x:c>
      <x:c r="B70" t="n">
        <x:v>33.604444</x:v>
      </x:c>
      <x:c r="C70" t="n">
        <x:v>-116.449762</x:v>
      </x:c>
      <x:c r="D70" s="100" t="n">
        <x:v>0.01838903316099029</x:v>
      </x:c>
    </x:row>
    <x:row r="71">
      <x:c r="A71" s="99" t="str">
        <x:v>00105</x:v>
      </x:c>
      <x:c r="B71" t="n">
        <x:v>33.604466</x:v>
      </x:c>
      <x:c r="C71" t="n">
        <x:v>-116.448792</x:v>
      </x:c>
      <x:c r="D71" s="100" t="n">
        <x:v>0.02614009220453565</x:v>
      </x:c>
    </x:row>
    <x:row r="72">
      <x:c r="A72" s="99" t="str">
        <x:v>00106</x:v>
      </x:c>
      <x:c r="B72" t="n">
        <x:v>33.604485</x:v>
      </x:c>
      <x:c r="C72" t="n">
        <x:v>-116.447754</x:v>
      </x:c>
      <x:c r="D72" s="100" t="n">
        <x:v>0.03147805817797152</x:v>
      </x:c>
    </x:row>
    <x:row r="73">
      <x:c r="A73" s="99" t="str">
        <x:v>00107</x:v>
      </x:c>
      <x:c r="B73" t="n">
        <x:v>33.604536</x:v>
      </x:c>
      <x:c r="C73" t="n">
        <x:v>-116.446703</x:v>
      </x:c>
      <x:c r="D73" s="100"/>
    </x:row>
    <x:row r="74">
      <x:c r="A74" s="99" t="str">
        <x:v>00108</x:v>
      </x:c>
      <x:c r="B74" t="n">
        <x:v>33.604445</x:v>
      </x:c>
      <x:c r="C74" t="n">
        <x:v>-116.445886</x:v>
      </x:c>
      <x:c r="D74" s="100" t="n">
        <x:v>0.009928117065160676</x:v>
      </x:c>
    </x:row>
    <x:row r="75">
      <x:c r="A75" s="99" t="str">
        <x:v>00109</x:v>
      </x:c>
      <x:c r="B75" t="n">
        <x:v>33.604443</x:v>
      </x:c>
      <x:c r="C75" t="n">
        <x:v>-116.444763</x:v>
      </x:c>
      <x:c r="D75" s="100" t="n">
        <x:v>0.00789210134272918</x:v>
      </x:c>
    </x:row>
    <x:row r="76">
      <x:c r="A76" s="99" t="str">
        <x:v>00110</x:v>
      </x:c>
      <x:c r="B76" t="n">
        <x:v>33.605223</x:v>
      </x:c>
      <x:c r="C76" t="n">
        <x:v>-116.45993</x:v>
      </x:c>
      <x:c r="D76" s="100" t="n">
        <x:v>-0.003302112007536884</x:v>
      </x:c>
    </x:row>
    <x:row r="77">
      <x:c r="A77" s="99" t="str">
        <x:v>00111</x:v>
      </x:c>
      <x:c r="B77" t="n">
        <x:v>33.605381</x:v>
      </x:c>
      <x:c r="C77" t="n">
        <x:v>-116.458769</x:v>
      </x:c>
      <x:c r="D77" s="100" t="n">
        <x:v>-0.001515677461293052</x:v>
      </x:c>
    </x:row>
    <x:row r="78">
      <x:c r="A78" s="99" t="str">
        <x:v>00112</x:v>
      </x:c>
      <x:c r="B78" t="n">
        <x:v>33.6054</x:v>
      </x:c>
      <x:c r="C78" t="n">
        <x:v>-116.457825</x:v>
      </x:c>
      <x:c r="D78" s="100" t="n">
        <x:v>-0.005290663059683133</x:v>
      </x:c>
    </x:row>
    <x:row r="79">
      <x:c r="A79" s="99" t="str">
        <x:v>00113</x:v>
      </x:c>
      <x:c r="B79" t="n">
        <x:v>33.605268</x:v>
      </x:c>
      <x:c r="C79" t="n">
        <x:v>-116.456734</x:v>
      </x:c>
      <x:c r="D79" s="100" t="n">
        <x:v>-0.009539030286302791</x:v>
      </x:c>
    </x:row>
    <x:row r="80">
      <x:c r="A80" s="99" t="str">
        <x:v>00114</x:v>
      </x:c>
      <x:c r="B80" t="n">
        <x:v>33.605434</x:v>
      </x:c>
      <x:c r="C80" t="n">
        <x:v>-116.455891</x:v>
      </x:c>
      <x:c r="D80" s="100" t="n">
        <x:v>-0.002736037088127169</x:v>
      </x:c>
    </x:row>
    <x:row r="81">
      <x:c r="A81" s="99" t="str">
        <x:v>00115</x:v>
      </x:c>
      <x:c r="B81" t="n">
        <x:v>33.605253</x:v>
      </x:c>
      <x:c r="C81" t="n">
        <x:v>-116.454832</x:v>
      </x:c>
      <x:c r="D81" s="100" t="n">
        <x:v>-0.002094424782700586</x:v>
      </x:c>
    </x:row>
    <x:row r="82">
      <x:c r="A82" s="99" t="str">
        <x:v>00116</x:v>
      </x:c>
      <x:c r="B82" t="n">
        <x:v>33.605372</x:v>
      </x:c>
      <x:c r="C82" t="n">
        <x:v>-116.453851</x:v>
      </x:c>
      <x:c r="D82" s="100" t="n">
        <x:v>0.00008376431429451409</x:v>
      </x:c>
    </x:row>
    <x:row r="83">
      <x:c r="A83" s="99" t="str">
        <x:v>00117</x:v>
      </x:c>
      <x:c r="B83" t="n">
        <x:v>33.605284</x:v>
      </x:c>
      <x:c r="C83" t="n">
        <x:v>-116.452813</x:v>
      </x:c>
      <x:c r="D83" s="100" t="n">
        <x:v>0.007654400323961891</x:v>
      </x:c>
    </x:row>
    <x:row r="84">
      <x:c r="A84" s="99" t="str">
        <x:v>00118</x:v>
      </x:c>
      <x:c r="B84" t="n">
        <x:v>33.605358</x:v>
      </x:c>
      <x:c r="C84" t="n">
        <x:v>-116.451795</x:v>
      </x:c>
      <x:c r="D84" s="100" t="n">
        <x:v>0.01005063021135003</x:v>
      </x:c>
    </x:row>
    <x:row r="85">
      <x:c r="A85" s="99" t="str">
        <x:v>00119</x:v>
      </x:c>
      <x:c r="B85" t="n">
        <x:v>33.605256</x:v>
      </x:c>
      <x:c r="C85" t="n">
        <x:v>-116.45087</x:v>
      </x:c>
      <x:c r="D85" s="100" t="n">
        <x:v>0.00549873025298241</x:v>
      </x:c>
    </x:row>
    <x:row r="86">
      <x:c r="A86" s="99" t="str">
        <x:v>00120</x:v>
      </x:c>
      <x:c r="B86" t="n">
        <x:v>33.605265</x:v>
      </x:c>
      <x:c r="C86" t="n">
        <x:v>-116.449823</x:v>
      </x:c>
      <x:c r="D86" s="100" t="n">
        <x:v>0.009665517223232622</x:v>
      </x:c>
    </x:row>
    <x:row r="87">
      <x:c r="A87" s="99" t="str">
        <x:v>00121</x:v>
      </x:c>
      <x:c r="B87" t="n">
        <x:v>33.605382</x:v>
      </x:c>
      <x:c r="C87" t="n">
        <x:v>-116.448849</x:v>
      </x:c>
      <x:c r="D87" s="100" t="n">
        <x:v>0.0245258249930322</x:v>
      </x:c>
    </x:row>
    <x:row r="88">
      <x:c r="A88" s="99" t="str">
        <x:v>00122</x:v>
      </x:c>
      <x:c r="B88" t="n">
        <x:v>33.605256</x:v>
      </x:c>
      <x:c r="C88" t="n">
        <x:v>-116.447845</x:v>
      </x:c>
      <x:c r="D88" s="100" t="n">
        <x:v>0.02265165976256095</x:v>
      </x:c>
    </x:row>
    <x:row r="89">
      <x:c r="A89" s="99" t="str">
        <x:v>00123</x:v>
      </x:c>
      <x:c r="B89" t="n">
        <x:v>33.605304</x:v>
      </x:c>
      <x:c r="C89" t="n">
        <x:v>-116.446736</x:v>
      </x:c>
      <x:c r="D89" s="100" t="n">
        <x:v>0.01763085976760898</x:v>
      </x:c>
    </x:row>
    <x:row r="90">
      <x:c r="A90" s="99" t="str">
        <x:v>00124</x:v>
      </x:c>
      <x:c r="B90" t="n">
        <x:v>33.605234</x:v>
      </x:c>
      <x:c r="C90" t="n">
        <x:v>-116.445924</x:v>
      </x:c>
      <x:c r="D90" s="100" t="n">
        <x:v>0.008342815360708862</x:v>
      </x:c>
    </x:row>
    <x:row r="91">
      <x:c r="A91" s="99" t="str">
        <x:v>00125</x:v>
      </x:c>
      <x:c r="B91" t="n">
        <x:v>33.605208</x:v>
      </x:c>
      <x:c r="C91" t="n">
        <x:v>-116.444792</x:v>
      </x:c>
      <x:c r="D91" s="100" t="n">
        <x:v>0.003545034627183582</x:v>
      </x:c>
    </x:row>
    <x:row r="92">
      <x:c r="A92" s="99" t="str">
        <x:v>00126</x:v>
      </x:c>
      <x:c r="B92" t="n">
        <x:v>33.606174</x:v>
      </x:c>
      <x:c r="C92" t="n">
        <x:v>-116.459893</x:v>
      </x:c>
      <x:c r="D92" s="100" t="n">
        <x:v>-0.01191670881522732</x:v>
      </x:c>
    </x:row>
    <x:row r="93">
      <x:c r="A93" s="99" t="str">
        <x:v>00127</x:v>
      </x:c>
      <x:c r="B93" t="n">
        <x:v>33.606154</x:v>
      </x:c>
      <x:c r="C93" t="n">
        <x:v>-116.45884</x:v>
      </x:c>
      <x:c r="D93" s="100" t="n">
        <x:v>-0.005123859288306817</x:v>
      </x:c>
    </x:row>
    <x:row r="94">
      <x:c r="A94" s="99" t="str">
        <x:v>00128</x:v>
      </x:c>
      <x:c r="B94" t="n">
        <x:v>33.606164</x:v>
      </x:c>
      <x:c r="C94" t="n">
        <x:v>-116.45781</x:v>
      </x:c>
      <x:c r="D94" s="100" t="n">
        <x:v>-0.003454528970802853</x:v>
      </x:c>
    </x:row>
    <x:row r="95">
      <x:c r="A95" s="99" t="str">
        <x:v>00129</x:v>
      </x:c>
      <x:c r="B95" t="n">
        <x:v>33.606196</x:v>
      </x:c>
      <x:c r="C95" t="n">
        <x:v>-116.456861</x:v>
      </x:c>
      <x:c r="D95" s="100" t="n">
        <x:v>-0.0090830722292536</x:v>
      </x:c>
    </x:row>
    <x:row r="96">
      <x:c r="A96" s="99" t="str">
        <x:v>00130</x:v>
      </x:c>
      <x:c r="B96" t="n">
        <x:v>33.60615</x:v>
      </x:c>
      <x:c r="C96" t="n">
        <x:v>-116.455825</x:v>
      </x:c>
      <x:c r="D96" s="100" t="n">
        <x:v>0.001677001059362093</x:v>
      </x:c>
    </x:row>
    <x:row r="97">
      <x:c r="A97" s="99" t="str">
        <x:v>00131</x:v>
      </x:c>
      <x:c r="B97" t="n">
        <x:v>33.606161</x:v>
      </x:c>
      <x:c r="C97" t="n">
        <x:v>-116.454913</x:v>
      </x:c>
      <x:c r="D97" s="100" t="n">
        <x:v>-0.01277863472198023</x:v>
      </x:c>
    </x:row>
    <x:row r="98">
      <x:c r="A98" s="99" t="str">
        <x:v>00132</x:v>
      </x:c>
      <x:c r="B98" t="n">
        <x:v>33.606155</x:v>
      </x:c>
      <x:c r="C98" t="n">
        <x:v>-116.453818</x:v>
      </x:c>
      <x:c r="D98" s="100" t="n">
        <x:v>0.00000237585917226002</x:v>
      </x:c>
    </x:row>
    <x:row r="99">
      <x:c r="A99" s="99" t="str">
        <x:v>00133</x:v>
      </x:c>
      <x:c r="B99" t="n">
        <x:v>33.606211</x:v>
      </x:c>
      <x:c r="C99" t="n">
        <x:v>-116.452719</x:v>
      </x:c>
      <x:c r="D99" s="100" t="n">
        <x:v>0.003180636074596069</x:v>
      </x:c>
    </x:row>
    <x:row r="100">
      <x:c r="A100" s="99" t="str">
        <x:v>00134</x:v>
      </x:c>
      <x:c r="B100" t="n">
        <x:v>33.606108</x:v>
      </x:c>
      <x:c r="C100" t="n">
        <x:v>-116.451734</x:v>
      </x:c>
      <x:c r="D100" s="100" t="n">
        <x:v>0.00977127780644159</x:v>
      </x:c>
    </x:row>
    <x:row r="101">
      <x:c r="A101" s="99" t="str">
        <x:v>00135</x:v>
      </x:c>
      <x:c r="B101" t="n">
        <x:v>33.606231</x:v>
      </x:c>
      <x:c r="C101" t="n">
        <x:v>-116.450814</x:v>
      </x:c>
      <x:c r="D101" s="100" t="n">
        <x:v>0.01389111542165143</x:v>
      </x:c>
    </x:row>
    <x:row r="102">
      <x:c r="A102" s="99" t="str">
        <x:v>00136</x:v>
      </x:c>
      <x:c r="B102" t="n">
        <x:v>33.606144</x:v>
      </x:c>
      <x:c r="C102" t="n">
        <x:v>-116.449758</x:v>
      </x:c>
      <x:c r="D102" s="100" t="n">
        <x:v>0.00946584466341623</x:v>
      </x:c>
    </x:row>
    <x:row r="103">
      <x:c r="A103" s="99" t="str">
        <x:v>00137</x:v>
      </x:c>
      <x:c r="B103" t="n">
        <x:v>33.606124</x:v>
      </x:c>
      <x:c r="C103" t="n">
        <x:v>-116.448747</x:v>
      </x:c>
      <x:c r="D103" s="100" t="n">
        <x:v>0.02676921859416015</x:v>
      </x:c>
    </x:row>
    <x:row r="104">
      <x:c r="A104" s="99" t="str">
        <x:v>00138</x:v>
      </x:c>
      <x:c r="B104" t="n">
        <x:v>33.606132</x:v>
      </x:c>
      <x:c r="C104" t="n">
        <x:v>-116.447798</x:v>
      </x:c>
      <x:c r="D104" s="100" t="n">
        <x:v>0.01176849858523049</x:v>
      </x:c>
    </x:row>
    <x:row r="105">
      <x:c r="A105" s="99" t="str">
        <x:v>00139</x:v>
      </x:c>
      <x:c r="B105" t="n">
        <x:v>33.606156</x:v>
      </x:c>
      <x:c r="C105" t="n">
        <x:v>-116.446788</x:v>
      </x:c>
      <x:c r="D105" s="100" t="n">
        <x:v>0.01070551839501107</x:v>
      </x:c>
    </x:row>
    <x:row r="106">
      <x:c r="A106" s="99" t="str">
        <x:v>00140</x:v>
      </x:c>
      <x:c r="B106" t="n">
        <x:v>33.606123</x:v>
      </x:c>
      <x:c r="C106" t="n">
        <x:v>-116.445788</x:v>
      </x:c>
      <x:c r="D106" s="100" t="n">
        <x:v>0.009794512092151049</x:v>
      </x:c>
    </x:row>
    <x:row r="107">
      <x:c r="A107" s="99" t="str">
        <x:v>00141</x:v>
      </x:c>
      <x:c r="B107" t="n">
        <x:v>33.606096</x:v>
      </x:c>
      <x:c r="C107" t="n">
        <x:v>-116.444847</x:v>
      </x:c>
      <x:c r="D107" s="100" t="n">
        <x:v>0.001433630043454155</x:v>
      </x:c>
    </x:row>
    <x:row r="108">
      <x:c r="A108" s="99" t="str">
        <x:v>00142</x:v>
      </x:c>
      <x:c r="B108" t="n">
        <x:v>33.606947</x:v>
      </x:c>
      <x:c r="C108" t="n">
        <x:v>-116.459882</x:v>
      </x:c>
      <x:c r="D108" s="100" t="n">
        <x:v>-0.0131765084679257</x:v>
      </x:c>
    </x:row>
    <x:row r="109">
      <x:c r="A109" s="99" t="str">
        <x:v>00143</x:v>
      </x:c>
      <x:c r="B109" t="n">
        <x:v>33.606945</x:v>
      </x:c>
      <x:c r="C109" t="n">
        <x:v>-116.458843</x:v>
      </x:c>
      <x:c r="D109" s="100" t="n">
        <x:v>-0.007809072405819819</x:v>
      </x:c>
    </x:row>
    <x:row r="110">
      <x:c r="A110" s="99" t="str">
        <x:v>00144</x:v>
      </x:c>
      <x:c r="B110" t="n">
        <x:v>33.607006</x:v>
      </x:c>
      <x:c r="C110" t="n">
        <x:v>-116.457678</x:v>
      </x:c>
      <x:c r="D110" s="100" t="n">
        <x:v>-0.01176502607705689</x:v>
      </x:c>
    </x:row>
    <x:row r="111">
      <x:c r="A111" s="99" t="str">
        <x:v>00145</x:v>
      </x:c>
      <x:c r="B111" t="n">
        <x:v>33.607053</x:v>
      </x:c>
      <x:c r="C111" t="n">
        <x:v>-116.456907</x:v>
      </x:c>
      <x:c r="D111" s="100" t="n">
        <x:v>-0.01520966297060058</x:v>
      </x:c>
    </x:row>
    <x:row r="112">
      <x:c r="A112" s="99" t="str">
        <x:v>00146</x:v>
      </x:c>
      <x:c r="B112" t="n">
        <x:v>33.606971</x:v>
      </x:c>
      <x:c r="C112" t="n">
        <x:v>-116.455838</x:v>
      </x:c>
      <x:c r="D112" s="100" t="n">
        <x:v>-0.00357796407435395</x:v>
      </x:c>
    </x:row>
    <x:row r="113">
      <x:c r="A113" s="99" t="str">
        <x:v>00147</x:v>
      </x:c>
      <x:c r="B113" t="n">
        <x:v>33.607051</x:v>
      </x:c>
      <x:c r="C113" t="n">
        <x:v>-116.454719</x:v>
      </x:c>
      <x:c r="D113" s="100" t="n">
        <x:v>0.00393074184116592</x:v>
      </x:c>
    </x:row>
    <x:row r="114">
      <x:c r="A114" s="99" t="str">
        <x:v>00148</x:v>
      </x:c>
      <x:c r="B114" t="n">
        <x:v>33.607017</x:v>
      </x:c>
      <x:c r="C114" t="n">
        <x:v>-116.453887</x:v>
      </x:c>
      <x:c r="D114" s="100" t="n">
        <x:v>0.007627592197452477</x:v>
      </x:c>
    </x:row>
    <x:row r="115">
      <x:c r="A115" s="99" t="str">
        <x:v>00149</x:v>
      </x:c>
      <x:c r="B115" t="n">
        <x:v>33.607018</x:v>
      </x:c>
      <x:c r="C115" t="n">
        <x:v>-116.452818</x:v>
      </x:c>
      <x:c r="D115" s="100" t="n">
        <x:v>0.006252124324200541</x:v>
      </x:c>
    </x:row>
    <x:row r="116">
      <x:c r="A116" s="99" t="str">
        <x:v>00150</x:v>
      </x:c>
      <x:c r="B116" t="n">
        <x:v>33.607037</x:v>
      </x:c>
      <x:c r="C116" t="n">
        <x:v>-116.451752</x:v>
      </x:c>
      <x:c r="D116" s="100" t="n">
        <x:v>0.009131620025796459</x:v>
      </x:c>
    </x:row>
    <x:row r="117">
      <x:c r="A117" s="99" t="str">
        <x:v>00151</x:v>
      </x:c>
      <x:c r="B117" t="n">
        <x:v>33.606962</x:v>
      </x:c>
      <x:c r="C117" t="n">
        <x:v>-116.450744</x:v>
      </x:c>
      <x:c r="D117" s="100" t="n">
        <x:v>0.01418779123125887</x:v>
      </x:c>
    </x:row>
    <x:row r="118">
      <x:c r="A118" s="99" t="str">
        <x:v>00152</x:v>
      </x:c>
      <x:c r="B118" t="n">
        <x:v>33.607032</x:v>
      </x:c>
      <x:c r="C118" t="n">
        <x:v>-116.449764</x:v>
      </x:c>
      <x:c r="D118" s="100" t="n">
        <x:v>0.009298753097606798</x:v>
      </x:c>
    </x:row>
    <x:row r="119">
      <x:c r="A119" s="99" t="str">
        <x:v>00153</x:v>
      </x:c>
      <x:c r="B119" t="n">
        <x:v>33.60694</x:v>
      </x:c>
      <x:c r="C119" t="n">
        <x:v>-116.448764</x:v>
      </x:c>
      <x:c r="D119" s="100" t="n">
        <x:v>0.008459962962277095</x:v>
      </x:c>
    </x:row>
    <x:row r="120">
      <x:c r="A120" s="99" t="str">
        <x:v>00154</x:v>
      </x:c>
      <x:c r="B120" t="n">
        <x:v>33.606927</x:v>
      </x:c>
      <x:c r="C120" t="n">
        <x:v>-116.447808</x:v>
      </x:c>
      <x:c r="D120" s="100"/>
    </x:row>
    <x:row r="121">
      <x:c r="A121" s="99" t="str">
        <x:v>00155</x:v>
      </x:c>
      <x:c r="B121" t="n">
        <x:v>33.606937</x:v>
      </x:c>
      <x:c r="C121" t="n">
        <x:v>-116.446791</x:v>
      </x:c>
      <x:c r="D121" s="100" t="n">
        <x:v>0.02223076330157774</x:v>
      </x:c>
    </x:row>
    <x:row r="122">
      <x:c r="A122" s="99" t="str">
        <x:v>00156</x:v>
      </x:c>
      <x:c r="B122" t="n">
        <x:v>33.607002</x:v>
      </x:c>
      <x:c r="C122" t="n">
        <x:v>-116.445731</x:v>
      </x:c>
      <x:c r="D122" s="100" t="n">
        <x:v>0.008486234802744842</x:v>
      </x:c>
    </x:row>
    <x:row r="123">
      <x:c r="A123" s="99" t="str">
        <x:v>00157</x:v>
      </x:c>
      <x:c r="B123" t="n">
        <x:v>33.60694</x:v>
      </x:c>
      <x:c r="C123" t="n">
        <x:v>-116.444712</x:v>
      </x:c>
      <x:c r="D123" s="100" t="n">
        <x:v>0.01668834420464577</x:v>
      </x:c>
    </x:row>
    <x:row r="124">
      <x:c r="A124" s="99" t="str">
        <x:v>00158</x:v>
      </x:c>
      <x:c r="B124" t="n">
        <x:v>33.607839</x:v>
      </x:c>
      <x:c r="C124" t="n">
        <x:v>-116.459805</x:v>
      </x:c>
      <x:c r="D124" s="100" t="n">
        <x:v>-0.012951444958942</x:v>
      </x:c>
    </x:row>
    <x:row r="125">
      <x:c r="A125" s="99" t="str">
        <x:v>00159</x:v>
      </x:c>
      <x:c r="B125" t="n">
        <x:v>33.607804</x:v>
      </x:c>
      <x:c r="C125" t="n">
        <x:v>-116.458799</x:v>
      </x:c>
      <x:c r="D125" s="100"/>
    </x:row>
    <x:row r="126">
      <x:c r="A126" s="99" t="str">
        <x:v>00160</x:v>
      </x:c>
      <x:c r="B126" t="n">
        <x:v>33.607876</x:v>
      </x:c>
      <x:c r="C126" t="n">
        <x:v>-116.457806</x:v>
      </x:c>
      <x:c r="D126" s="100" t="n">
        <x:v>-0.01501962920241523</x:v>
      </x:c>
    </x:row>
    <x:row r="127">
      <x:c r="A127" s="99" t="str">
        <x:v>00161</x:v>
      </x:c>
      <x:c r="B127" t="n">
        <x:v>33.60785</x:v>
      </x:c>
      <x:c r="C127" t="n">
        <x:v>-116.456906</x:v>
      </x:c>
      <x:c r="D127" s="100"/>
    </x:row>
    <x:row r="128">
      <x:c r="A128" s="99" t="str">
        <x:v>00162</x:v>
      </x:c>
      <x:c r="B128" t="n">
        <x:v>33.60776</x:v>
      </x:c>
      <x:c r="C128" t="n">
        <x:v>-116.455842</x:v>
      </x:c>
      <x:c r="D128" s="100" t="n">
        <x:v>-0.01164070995954073</x:v>
      </x:c>
    </x:row>
    <x:row r="129">
      <x:c r="A129" s="99" t="str">
        <x:v>00163</x:v>
      </x:c>
      <x:c r="B129" t="n">
        <x:v>33.607797</x:v>
      </x:c>
      <x:c r="C129" t="n">
        <x:v>-116.4549</x:v>
      </x:c>
      <x:c r="D129" s="100" t="n">
        <x:v>-0.005360337288270491</x:v>
      </x:c>
    </x:row>
    <x:row r="130">
      <x:c r="A130" s="99" t="str">
        <x:v>00164</x:v>
      </x:c>
      <x:c r="B130" t="n">
        <x:v>33.607817</x:v>
      </x:c>
      <x:c r="C130" t="n">
        <x:v>-116.453904</x:v>
      </x:c>
      <x:c r="D130" s="100" t="n">
        <x:v>0.009066754401085238</x:v>
      </x:c>
    </x:row>
    <x:row r="131">
      <x:c r="A131" s="99" t="str">
        <x:v>00165</x:v>
      </x:c>
      <x:c r="B131" t="n">
        <x:v>33.607815</x:v>
      </x:c>
      <x:c r="C131" t="n">
        <x:v>-116.452682</x:v>
      </x:c>
      <x:c r="D131" s="100" t="n">
        <x:v>0.01762817250118931</x:v>
      </x:c>
    </x:row>
    <x:row r="132">
      <x:c r="A132" s="99" t="str">
        <x:v>00166</x:v>
      </x:c>
      <x:c r="B132" t="n">
        <x:v>33.607811</x:v>
      </x:c>
      <x:c r="C132" t="n">
        <x:v>-116.451781</x:v>
      </x:c>
      <x:c r="D132" s="100" t="n">
        <x:v>0.009613964970582822</x:v>
      </x:c>
    </x:row>
    <x:row r="133">
      <x:c r="A133" s="99" t="str">
        <x:v>00167</x:v>
      </x:c>
      <x:c r="B133" t="n">
        <x:v>33.607789</x:v>
      </x:c>
      <x:c r="C133" t="n">
        <x:v>-116.450756</x:v>
      </x:c>
      <x:c r="D133" s="100" t="n">
        <x:v>0.008180611803975802</x:v>
      </x:c>
    </x:row>
    <x:row r="134">
      <x:c r="A134" s="99" t="str">
        <x:v>00168</x:v>
      </x:c>
      <x:c r="B134" t="n">
        <x:v>33.607711</x:v>
      </x:c>
      <x:c r="C134" t="n">
        <x:v>-116.449757</x:v>
      </x:c>
      <x:c r="D134" s="100" t="n">
        <x:v>0.008587878213091081</x:v>
      </x:c>
    </x:row>
    <x:row r="135">
      <x:c r="A135" s="99" t="str">
        <x:v>00169</x:v>
      </x:c>
      <x:c r="B135" t="n">
        <x:v>33.607852</x:v>
      </x:c>
      <x:c r="C135" t="n">
        <x:v>-116.44881</x:v>
      </x:c>
      <x:c r="D135" s="100" t="n">
        <x:v>0.01140518142590066</x:v>
      </x:c>
    </x:row>
    <x:row r="136">
      <x:c r="A136" s="99" t="str">
        <x:v>00170</x:v>
      </x:c>
      <x:c r="B136" t="n">
        <x:v>33.607826</x:v>
      </x:c>
      <x:c r="C136" t="n">
        <x:v>-116.44769</x:v>
      </x:c>
      <x:c r="D136" s="100" t="n">
        <x:v>0.02580311407847424</x:v>
      </x:c>
    </x:row>
    <x:row r="137">
      <x:c r="A137" s="99" t="str">
        <x:v>00171</x:v>
      </x:c>
      <x:c r="B137" t="n">
        <x:v>33.607768</x:v>
      </x:c>
      <x:c r="C137" t="n">
        <x:v>-116.44676</x:v>
      </x:c>
      <x:c r="D137" s="100"/>
    </x:row>
    <x:row r="138">
      <x:c r="A138" s="99" t="str">
        <x:v>00172</x:v>
      </x:c>
      <x:c r="B138" t="n">
        <x:v>33.607709</x:v>
      </x:c>
      <x:c r="C138" t="n">
        <x:v>-116.445777</x:v>
      </x:c>
      <x:c r="D138" s="100" t="n">
        <x:v>0.01661207426215918</x:v>
      </x:c>
    </x:row>
    <x:row r="139">
      <x:c r="A139" s="99" t="str">
        <x:v>00173</x:v>
      </x:c>
      <x:c r="B139" t="n">
        <x:v>33.607761</x:v>
      </x:c>
      <x:c r="C139" t="n">
        <x:v>-116.444792</x:v>
      </x:c>
      <x:c r="D139" s="100" t="n">
        <x:v>0.001890886602348679</x:v>
      </x:c>
    </x:row>
    <x:row r="140">
      <x:c r="A140" s="99" t="str">
        <x:v>00174</x:v>
      </x:c>
      <x:c r="B140" t="n">
        <x:v>33.608652</x:v>
      </x:c>
      <x:c r="C140" t="n">
        <x:v>-116.459778</x:v>
      </x:c>
      <x:c r="D140" s="100" t="n">
        <x:v>-0.01099566257145661</x:v>
      </x:c>
    </x:row>
    <x:row r="141">
      <x:c r="A141" s="99" t="str">
        <x:v>00175</x:v>
      </x:c>
      <x:c r="B141" t="n">
        <x:v>33.608657</x:v>
      </x:c>
      <x:c r="C141" t="n">
        <x:v>-116.458787</x:v>
      </x:c>
      <x:c r="D141" s="100" t="n">
        <x:v>0.03054522035927432</x:v>
      </x:c>
    </x:row>
    <x:row r="142">
      <x:c r="A142" s="99" t="str">
        <x:v>00176</x:v>
      </x:c>
      <x:c r="B142" t="n">
        <x:v>33.608683</x:v>
      </x:c>
      <x:c r="C142" t="n">
        <x:v>-116.457734</x:v>
      </x:c>
      <x:c r="D142" s="100" t="n">
        <x:v>-0.01182894483360597</x:v>
      </x:c>
    </x:row>
    <x:row r="143">
      <x:c r="A143" s="99" t="str">
        <x:v>00177</x:v>
      </x:c>
      <x:c r="B143" t="n">
        <x:v>33.60866</x:v>
      </x:c>
      <x:c r="C143" t="n">
        <x:v>-116.456774</x:v>
      </x:c>
      <x:c r="D143" s="100" t="n">
        <x:v>-0.01351927101027975</x:v>
      </x:c>
    </x:row>
    <x:row r="144">
      <x:c r="A144" s="99" t="str">
        <x:v>00178</x:v>
      </x:c>
      <x:c r="B144" t="n">
        <x:v>33.608701</x:v>
      </x:c>
      <x:c r="C144" t="n">
        <x:v>-116.455846</x:v>
      </x:c>
      <x:c r="D144" s="100" t="n">
        <x:v>-0.016410237551615</x:v>
      </x:c>
    </x:row>
    <x:row r="145">
      <x:c r="A145" s="99" t="str">
        <x:v>00179</x:v>
      </x:c>
      <x:c r="B145" t="n">
        <x:v>33.608614</x:v>
      </x:c>
      <x:c r="C145" t="n">
        <x:v>-116.454789</x:v>
      </x:c>
      <x:c r="D145" s="100"/>
    </x:row>
    <x:row r="146">
      <x:c r="A146" s="99" t="str">
        <x:v>00180</x:v>
      </x:c>
      <x:c r="B146" t="n">
        <x:v>33.608677</x:v>
      </x:c>
      <x:c r="C146" t="n">
        <x:v>-116.453755</x:v>
      </x:c>
      <x:c r="D146" s="100" t="n">
        <x:v>0.006782414507763993</x:v>
      </x:c>
    </x:row>
    <x:row r="147">
      <x:c r="A147" s="99" t="str">
        <x:v>00181</x:v>
      </x:c>
      <x:c r="B147" t="n">
        <x:v>33.608655</x:v>
      </x:c>
      <x:c r="C147" t="n">
        <x:v>-116.452826</x:v>
      </x:c>
      <x:c r="D147" s="100" t="n">
        <x:v>0.01851034852553748</x:v>
      </x:c>
    </x:row>
    <x:row r="148">
      <x:c r="A148" s="99" t="str">
        <x:v>00182</x:v>
      </x:c>
      <x:c r="B148" t="n">
        <x:v>33.608703</x:v>
      </x:c>
      <x:c r="C148" t="n">
        <x:v>-116.451801</x:v>
      </x:c>
      <x:c r="D148" s="100" t="n">
        <x:v>0.01835378137447511</x:v>
      </x:c>
    </x:row>
    <x:row r="149">
      <x:c r="A149" s="99" t="str">
        <x:v>00183</x:v>
      </x:c>
      <x:c r="B149" t="n">
        <x:v>33.608799</x:v>
      </x:c>
      <x:c r="C149" t="n">
        <x:v>-116.450728</x:v>
      </x:c>
      <x:c r="D149" s="100" t="n">
        <x:v>0.005519076889924051</x:v>
      </x:c>
    </x:row>
    <x:row r="150">
      <x:c r="A150" s="99" t="str">
        <x:v>00184</x:v>
      </x:c>
      <x:c r="B150" t="n">
        <x:v>33.608781</x:v>
      </x:c>
      <x:c r="C150" t="n">
        <x:v>-116.449735</x:v>
      </x:c>
      <x:c r="D150" s="100" t="n">
        <x:v>0.01701232412322604</x:v>
      </x:c>
    </x:row>
    <x:row r="151">
      <x:c r="A151" s="99" t="str">
        <x:v>00185</x:v>
      </x:c>
      <x:c r="B151" t="n">
        <x:v>33.608702</x:v>
      </x:c>
      <x:c r="C151" t="n">
        <x:v>-116.448742</x:v>
      </x:c>
      <x:c r="D151" s="100" t="n">
        <x:v>0.01901763013329982</x:v>
      </x:c>
    </x:row>
    <x:row r="152">
      <x:c r="A152" s="99" t="str">
        <x:v>00186</x:v>
      </x:c>
      <x:c r="B152" t="n">
        <x:v>33.608633</x:v>
      </x:c>
      <x:c r="C152" t="n">
        <x:v>-116.447749</x:v>
      </x:c>
      <x:c r="D152" s="100" t="n">
        <x:v>0.027743444861805</x:v>
      </x:c>
    </x:row>
    <x:row r="153">
      <x:c r="A153" s="99" t="str">
        <x:v>00187</x:v>
      </x:c>
      <x:c r="B153" t="n">
        <x:v>33.60864</x:v>
      </x:c>
      <x:c r="C153" t="n">
        <x:v>-116.446737</x:v>
      </x:c>
      <x:c r="D153" s="100" t="n">
        <x:v>0.02340095171554957</x:v>
      </x:c>
    </x:row>
    <x:row r="154">
      <x:c r="A154" s="99" t="str">
        <x:v>00188</x:v>
      </x:c>
      <x:c r="B154" t="n">
        <x:v>33.608671</x:v>
      </x:c>
      <x:c r="C154" t="n">
        <x:v>-116.445668</x:v>
      </x:c>
      <x:c r="D154" s="100" t="n">
        <x:v>0.02781441309388967</x:v>
      </x:c>
    </x:row>
    <x:row r="155">
      <x:c r="A155" s="99" t="str">
        <x:v>00189</x:v>
      </x:c>
      <x:c r="B155" t="n">
        <x:v>33.608616</x:v>
      </x:c>
      <x:c r="C155" t="n">
        <x:v>-116.44473</x:v>
      </x:c>
      <x:c r="D155" s="100" t="n">
        <x:v>0.01484270935339562</x:v>
      </x:c>
    </x:row>
    <x:row r="156">
      <x:c r="A156" s="99" t="str">
        <x:v>00190</x:v>
      </x:c>
      <x:c r="B156" t="n">
        <x:v>33.609491</x:v>
      </x:c>
      <x:c r="C156" t="n">
        <x:v>-116.459789</x:v>
      </x:c>
      <x:c r="D156" s="100" t="n">
        <x:v>-0.01197156348711821</x:v>
      </x:c>
    </x:row>
    <x:row r="157">
      <x:c r="A157" s="99" t="str">
        <x:v>00191</x:v>
      </x:c>
      <x:c r="B157" t="n">
        <x:v>33.609553</x:v>
      </x:c>
      <x:c r="C157" t="n">
        <x:v>-116.458756</x:v>
      </x:c>
      <x:c r="D157" s="100" t="n">
        <x:v>-0.004033335675302129</x:v>
      </x:c>
    </x:row>
    <x:row r="158">
      <x:c r="A158" s="99" t="str">
        <x:v>00192</x:v>
      </x:c>
      <x:c r="B158" t="n">
        <x:v>33.609581</x:v>
      </x:c>
      <x:c r="C158" t="n">
        <x:v>-116.457725</x:v>
      </x:c>
      <x:c r="D158" s="100" t="n">
        <x:v>-0.00547796507800229</x:v>
      </x:c>
    </x:row>
    <x:row r="159">
      <x:c r="A159" s="99" t="str">
        <x:v>00193</x:v>
      </x:c>
      <x:c r="B159" t="n">
        <x:v>33.609378</x:v>
      </x:c>
      <x:c r="C159" t="n">
        <x:v>-116.456815</x:v>
      </x:c>
      <x:c r="D159" s="100"/>
    </x:row>
    <x:row r="160">
      <x:c r="A160" s="99" t="str">
        <x:v>00194</x:v>
      </x:c>
      <x:c r="B160" t="n">
        <x:v>33.609537</x:v>
      </x:c>
      <x:c r="C160" t="n">
        <x:v>-116.455777</x:v>
      </x:c>
      <x:c r="D160" s="100" t="n">
        <x:v>-0.008163157509556488</x:v>
      </x:c>
    </x:row>
    <x:row r="161">
      <x:c r="A161" s="99" t="str">
        <x:v>00195</x:v>
      </x:c>
      <x:c r="B161" t="n">
        <x:v>33.609431</x:v>
      </x:c>
      <x:c r="C161" t="n">
        <x:v>-116.454826</x:v>
      </x:c>
      <x:c r="D161" s="100" t="n">
        <x:v>-0.01120944848082588</x:v>
      </x:c>
    </x:row>
    <x:row r="162">
      <x:c r="A162" s="99" t="str">
        <x:v>00196</x:v>
      </x:c>
      <x:c r="B162" t="n">
        <x:v>33.609505</x:v>
      </x:c>
      <x:c r="C162" t="n">
        <x:v>-116.453825</x:v>
      </x:c>
      <x:c r="D162" s="100" t="n">
        <x:v>0.001496941261580634</x:v>
      </x:c>
    </x:row>
    <x:row r="163">
      <x:c r="A163" s="99" t="str">
        <x:v>00197</x:v>
      </x:c>
      <x:c r="B163" t="n">
        <x:v>33.609499</x:v>
      </x:c>
      <x:c r="C163" t="n">
        <x:v>-116.452767</x:v>
      </x:c>
      <x:c r="D163" s="100" t="n">
        <x:v>0.006090145512306378</x:v>
      </x:c>
    </x:row>
    <x:row r="164">
      <x:c r="A164" s="99" t="str">
        <x:v>00198</x:v>
      </x:c>
      <x:c r="B164" t="n">
        <x:v>33.609494</x:v>
      </x:c>
      <x:c r="C164" t="n">
        <x:v>-116.451726</x:v>
      </x:c>
      <x:c r="D164" s="100" t="n">
        <x:v>0.01423790507455025</x:v>
      </x:c>
    </x:row>
    <x:row r="165">
      <x:c r="A165" s="99" t="str">
        <x:v>00199</x:v>
      </x:c>
      <x:c r="B165" t="n">
        <x:v>33.609505</x:v>
      </x:c>
      <x:c r="C165" t="n">
        <x:v>-116.450773</x:v>
      </x:c>
      <x:c r="D165" s="100" t="n">
        <x:v>-0.0008974718772340393</x:v>
      </x:c>
    </x:row>
    <x:row r="166">
      <x:c r="A166" s="99" t="str">
        <x:v>00200</x:v>
      </x:c>
      <x:c r="B166" t="n">
        <x:v>33.6095</x:v>
      </x:c>
      <x:c r="C166" t="n">
        <x:v>-116.449784</x:v>
      </x:c>
      <x:c r="D166" s="100" t="n">
        <x:v>0.006653503226424532</x:v>
      </x:c>
    </x:row>
    <x:row r="167">
      <x:c r="A167" s="99" t="str">
        <x:v>00201</x:v>
      </x:c>
      <x:c r="B167" t="n">
        <x:v>33.609482</x:v>
      </x:c>
      <x:c r="C167" t="n">
        <x:v>-116.448743</x:v>
      </x:c>
      <x:c r="D167" s="100" t="n">
        <x:v>0.02106592685755746</x:v>
      </x:c>
    </x:row>
    <x:row r="168">
      <x:c r="A168" s="99" t="str">
        <x:v>00202</x:v>
      </x:c>
      <x:c r="B168" t="n">
        <x:v>33.609434</x:v>
      </x:c>
      <x:c r="C168" t="n">
        <x:v>-116.447671</x:v>
      </x:c>
      <x:c r="D168" s="100" t="n">
        <x:v>0.0293473488385489</x:v>
      </x:c>
    </x:row>
    <x:row r="169">
      <x:c r="A169" s="99" t="str">
        <x:v>00203</x:v>
      </x:c>
      <x:c r="B169" t="n">
        <x:v>33.609469</x:v>
      </x:c>
      <x:c r="C169" t="n">
        <x:v>-116.446712</x:v>
      </x:c>
      <x:c r="D169" s="100" t="n">
        <x:v>0.02797364853392845</x:v>
      </x:c>
    </x:row>
    <x:row r="170">
      <x:c r="A170" s="99" t="str">
        <x:v>00204</x:v>
      </x:c>
      <x:c r="B170" t="n">
        <x:v>33.609495</x:v>
      </x:c>
      <x:c r="C170" t="n">
        <x:v>-116.445756</x:v>
      </x:c>
      <x:c r="D170" s="100" t="n">
        <x:v>0.03222743319261328</x:v>
      </x:c>
    </x:row>
    <x:row r="171">
      <x:c r="A171" s="99" t="str">
        <x:v>00205</x:v>
      </x:c>
      <x:c r="B171" t="n">
        <x:v>33.609428</x:v>
      </x:c>
      <x:c r="C171" t="n">
        <x:v>-116.444729</x:v>
      </x:c>
      <x:c r="D171" s="100" t="n">
        <x:v>0.03290607268106729</x:v>
      </x:c>
    </x:row>
    <x:row r="172">
      <x:c r="A172" s="99" t="str">
        <x:v>00206</x:v>
      </x:c>
      <x:c r="B172" t="n">
        <x:v>33.61027</x:v>
      </x:c>
      <x:c r="C172" t="n">
        <x:v>-116.45978</x:v>
      </x:c>
      <x:c r="D172" s="100" t="n">
        <x:v>-0.009619256451526385</x:v>
      </x:c>
    </x:row>
    <x:row r="173">
      <x:c r="A173" s="99" t="str">
        <x:v>00207</x:v>
      </x:c>
      <x:c r="B173" t="n">
        <x:v>33.610419</x:v>
      </x:c>
      <x:c r="C173" t="n">
        <x:v>-116.45873</x:v>
      </x:c>
      <x:c r="D173" s="100" t="n">
        <x:v>-0.007172862165031633</x:v>
      </x:c>
    </x:row>
    <x:row r="174">
      <x:c r="A174" s="99" t="str">
        <x:v>00208</x:v>
      </x:c>
      <x:c r="B174" t="n">
        <x:v>33.610315</x:v>
      </x:c>
      <x:c r="C174" t="n">
        <x:v>-116.457861</x:v>
      </x:c>
      <x:c r="D174" s="100"/>
    </x:row>
    <x:row r="175">
      <x:c r="A175" s="99" t="str">
        <x:v>00209</x:v>
      </x:c>
      <x:c r="B175" t="n">
        <x:v>33.610419</x:v>
      </x:c>
      <x:c r="C175" t="n">
        <x:v>-116.456789</x:v>
      </x:c>
      <x:c r="D175" s="100" t="n">
        <x:v>0.009499429343574405</x:v>
      </x:c>
    </x:row>
    <x:row r="176">
      <x:c r="A176" s="99" t="str">
        <x:v>00210</x:v>
      </x:c>
      <x:c r="B176" t="n">
        <x:v>33.610264</x:v>
      </x:c>
      <x:c r="C176" t="n">
        <x:v>-116.455845</x:v>
      </x:c>
      <x:c r="D176" s="100" t="n">
        <x:v>-0.00565086612055193</x:v>
      </x:c>
    </x:row>
    <x:row r="177">
      <x:c r="A177" s="99" t="str">
        <x:v>00211</x:v>
      </x:c>
      <x:c r="B177" t="n">
        <x:v>33.610273</x:v>
      </x:c>
      <x:c r="C177" t="n">
        <x:v>-116.454731</x:v>
      </x:c>
      <x:c r="D177" s="100" t="n">
        <x:v>-0.01032022145899443</x:v>
      </x:c>
    </x:row>
    <x:row r="178">
      <x:c r="A178" s="99" t="str">
        <x:v>00212</x:v>
      </x:c>
      <x:c r="B178" t="n">
        <x:v>33.610319</x:v>
      </x:c>
      <x:c r="C178" t="n">
        <x:v>-116.453755</x:v>
      </x:c>
      <x:c r="D178" s="100" t="n">
        <x:v>0.00106279257642573</x:v>
      </x:c>
    </x:row>
    <x:row r="179">
      <x:c r="A179" s="99" t="str">
        <x:v>00213</x:v>
      </x:c>
      <x:c r="B179" t="n">
        <x:v>33.610286</x:v>
      </x:c>
      <x:c r="C179" t="n">
        <x:v>-116.452805</x:v>
      </x:c>
      <x:c r="D179" s="100" t="n">
        <x:v>0.0001407953079788117</x:v>
      </x:c>
    </x:row>
    <x:row r="180">
      <x:c r="A180" s="99" t="str">
        <x:v>00214</x:v>
      </x:c>
      <x:c r="B180" t="n">
        <x:v>33.610554</x:v>
      </x:c>
      <x:c r="C180" t="n">
        <x:v>-116.451572</x:v>
      </x:c>
      <x:c r="D180" s="100" t="n">
        <x:v>0.00355898282164346</x:v>
      </x:c>
    </x:row>
    <x:row r="181">
      <x:c r="A181" s="99" t="str">
        <x:v>00215</x:v>
      </x:c>
      <x:c r="B181" t="n">
        <x:v>33.610333</x:v>
      </x:c>
      <x:c r="C181" t="n">
        <x:v>-116.450804</x:v>
      </x:c>
      <x:c r="D181" s="100" t="n">
        <x:v>0.004751695118382891</x:v>
      </x:c>
    </x:row>
    <x:row r="182">
      <x:c r="A182" s="99" t="str">
        <x:v>00216</x:v>
      </x:c>
      <x:c r="B182" t="n">
        <x:v>33.610342</x:v>
      </x:c>
      <x:c r="C182" t="n">
        <x:v>-116.449734</x:v>
      </x:c>
      <x:c r="D182" s="100" t="n">
        <x:v>0.003101601441187631</x:v>
      </x:c>
    </x:row>
    <x:row r="183">
      <x:c r="A183" s="99" t="str">
        <x:v>00217</x:v>
      </x:c>
      <x:c r="B183" t="n">
        <x:v>33.610313</x:v>
      </x:c>
      <x:c r="C183" t="n">
        <x:v>-116.44866</x:v>
      </x:c>
      <x:c r="D183" s="100" t="n">
        <x:v>0.01503641012920754</x:v>
      </x:c>
    </x:row>
    <x:row r="184">
      <x:c r="A184" s="99" t="str">
        <x:v>00218</x:v>
      </x:c>
      <x:c r="B184" t="n">
        <x:v>33.610411</x:v>
      </x:c>
      <x:c r="C184" t="n">
        <x:v>-116.447703</x:v>
      </x:c>
      <x:c r="D184" s="100" t="n">
        <x:v>0.01187050924168058</x:v>
      </x:c>
    </x:row>
    <x:row r="185">
      <x:c r="A185" s="99" t="str">
        <x:v>00219</x:v>
      </x:c>
      <x:c r="B185" t="n">
        <x:v>33.610339</x:v>
      </x:c>
      <x:c r="C185" t="n">
        <x:v>-116.446687</x:v>
      </x:c>
      <x:c r="D185" s="100" t="n">
        <x:v>0.02130093791491798</x:v>
      </x:c>
    </x:row>
    <x:row r="186">
      <x:c r="A186" s="99" t="str">
        <x:v>00220</x:v>
      </x:c>
      <x:c r="B186" t="n">
        <x:v>33.610359</x:v>
      </x:c>
      <x:c r="C186" t="n">
        <x:v>-116.445744</x:v>
      </x:c>
      <x:c r="D186" s="100" t="n">
        <x:v>0.02696093406928705</x:v>
      </x:c>
    </x:row>
    <x:row r="187">
      <x:c r="A187" s="99" t="str">
        <x:v>00221</x:v>
      </x:c>
      <x:c r="B187" t="n">
        <x:v>33.61035</x:v>
      </x:c>
      <x:c r="C187" t="n">
        <x:v>-116.444727</x:v>
      </x:c>
      <x:c r="D187" s="100" t="n">
        <x:v>0.02964191310606143</x:v>
      </x:c>
    </x:row>
    <x:row r="188">
      <x:c r="A188" s="99" t="str">
        <x:v>00222</x:v>
      </x:c>
      <x:c r="B188" t="n">
        <x:v>33.611208</x:v>
      </x:c>
      <x:c r="C188" t="n">
        <x:v>-116.45982</x:v>
      </x:c>
      <x:c r="D188" s="100" t="n">
        <x:v>-0.01066758252297335</x:v>
      </x:c>
    </x:row>
    <x:row r="189">
      <x:c r="A189" s="99" t="str">
        <x:v>00223</x:v>
      </x:c>
      <x:c r="B189" t="n">
        <x:v>33.611158</x:v>
      </x:c>
      <x:c r="C189" t="n">
        <x:v>-116.458801</x:v>
      </x:c>
      <x:c r="D189" s="100" t="n">
        <x:v>-0.009487009863670848</x:v>
      </x:c>
    </x:row>
    <x:row r="190">
      <x:c r="A190" s="99" t="str">
        <x:v>00224</x:v>
      </x:c>
      <x:c r="B190" t="n">
        <x:v>33.610994</x:v>
      </x:c>
      <x:c r="C190" t="n">
        <x:v>-116.458055</x:v>
      </x:c>
      <x:c r="D190" s="100"/>
    </x:row>
    <x:row r="191">
      <x:c r="A191" s="99" t="str">
        <x:v>00225</x:v>
      </x:c>
      <x:c r="B191" t="n">
        <x:v>33.611217</x:v>
      </x:c>
      <x:c r="C191" t="n">
        <x:v>-116.456709</x:v>
      </x:c>
      <x:c r="D191" s="100" t="n">
        <x:v>-0.003118418186049781</x:v>
      </x:c>
    </x:row>
    <x:row r="192">
      <x:c r="A192" s="99" t="str">
        <x:v>00226</x:v>
      </x:c>
      <x:c r="B192" t="n">
        <x:v>33.611204</x:v>
      </x:c>
      <x:c r="C192" t="n">
        <x:v>-116.45577</x:v>
      </x:c>
      <x:c r="D192" s="100" t="n">
        <x:v>-0.003767656381839121</x:v>
      </x:c>
    </x:row>
    <x:row r="193">
      <x:c r="A193" s="99" t="str">
        <x:v>00227</x:v>
      </x:c>
      <x:c r="B193" t="n">
        <x:v>33.611199</x:v>
      </x:c>
      <x:c r="C193" t="n">
        <x:v>-116.454809</x:v>
      </x:c>
      <x:c r="D193" s="100" t="n">
        <x:v>-0.004420327043100358</x:v>
      </x:c>
    </x:row>
    <x:row r="194">
      <x:c r="A194" s="99" t="str">
        <x:v>00228</x:v>
      </x:c>
      <x:c r="B194" t="n">
        <x:v>33.611277</x:v>
      </x:c>
      <x:c r="C194" t="n">
        <x:v>-116.453847</x:v>
      </x:c>
      <x:c r="D194" s="100" t="n">
        <x:v>-0.00244154980349898</x:v>
      </x:c>
    </x:row>
    <x:row r="195">
      <x:c r="A195" s="99" t="str">
        <x:v>00229</x:v>
      </x:c>
      <x:c r="B195" t="n">
        <x:v>33.61121</x:v>
      </x:c>
      <x:c r="C195" t="n">
        <x:v>-116.452768</x:v>
      </x:c>
      <x:c r="D195" s="100" t="n">
        <x:v>-0.00376126656179683</x:v>
      </x:c>
    </x:row>
    <x:row r="196">
      <x:c r="A196" s="99" t="str">
        <x:v>00230</x:v>
      </x:c>
      <x:c r="B196" t="n">
        <x:v>33.611243</x:v>
      </x:c>
      <x:c r="C196" t="n">
        <x:v>-116.451762</x:v>
      </x:c>
      <x:c r="D196" s="100" t="n">
        <x:v>-0.0003378697481772955</x:v>
      </x:c>
    </x:row>
    <x:row r="197">
      <x:c r="A197" s="99" t="str">
        <x:v>00231</x:v>
      </x:c>
      <x:c r="B197" t="n">
        <x:v>33.611216</x:v>
      </x:c>
      <x:c r="C197" t="n">
        <x:v>-116.450723</x:v>
      </x:c>
      <x:c r="D197" s="100" t="n">
        <x:v>-0.00112928863119377</x:v>
      </x:c>
    </x:row>
    <x:row r="198">
      <x:c r="A198" s="99" t="str">
        <x:v>00232</x:v>
      </x:c>
      <x:c r="B198" t="n">
        <x:v>33.610989</x:v>
      </x:c>
      <x:c r="C198" t="n">
        <x:v>-116.449714</x:v>
      </x:c>
      <x:c r="D198" s="100" t="n">
        <x:v>-0.001891077352445449</x:v>
      </x:c>
    </x:row>
    <x:row r="199">
      <x:c r="A199" s="99" t="str">
        <x:v>00233</x:v>
      </x:c>
      <x:c r="B199" t="n">
        <x:v>33.611171</x:v>
      </x:c>
      <x:c r="C199" t="n">
        <x:v>-116.448735</x:v>
      </x:c>
      <x:c r="D199" s="100" t="n">
        <x:v>0.01132706022637328</x:v>
      </x:c>
    </x:row>
    <x:row r="200">
      <x:c r="A200" s="99" t="str">
        <x:v>00234</x:v>
      </x:c>
      <x:c r="B200" t="n">
        <x:v>33.611166</x:v>
      </x:c>
      <x:c r="C200" t="n">
        <x:v>-116.447763</x:v>
      </x:c>
      <x:c r="D200" s="100" t="n">
        <x:v>0.02268010994876409</x:v>
      </x:c>
    </x:row>
    <x:row r="201">
      <x:c r="A201" s="99" t="str">
        <x:v>00235</x:v>
      </x:c>
      <x:c r="B201" t="n">
        <x:v>33.611186</x:v>
      </x:c>
      <x:c r="C201" t="n">
        <x:v>-116.446728</x:v>
      </x:c>
      <x:c r="D201" s="100" t="n">
        <x:v>0.01072566199222151</x:v>
      </x:c>
    </x:row>
    <x:row r="202">
      <x:c r="A202" s="99" t="str">
        <x:v>00236</x:v>
      </x:c>
      <x:c r="B202" t="n">
        <x:v>33.611191</x:v>
      </x:c>
      <x:c r="C202" t="n">
        <x:v>-116.445785</x:v>
      </x:c>
      <x:c r="D202" s="100" t="n">
        <x:v>0.0175967628920943</x:v>
      </x:c>
    </x:row>
    <x:row r="203">
      <x:c r="A203" s="99" t="str">
        <x:v>00237</x:v>
      </x:c>
      <x:c r="B203" t="n">
        <x:v>33.611288</x:v>
      </x:c>
      <x:c r="C203" t="n">
        <x:v>-116.444725</x:v>
      </x:c>
      <x:c r="D203" s="100" t="n">
        <x:v>0.01546514707173455</x:v>
      </x:c>
    </x:row>
    <x:row r="204">
      <x:c r="A204" s="99" t="str">
        <x:v>00238</x:v>
      </x:c>
      <x:c r="B204" t="n">
        <x:v>33.611966</x:v>
      </x:c>
      <x:c r="C204" t="n">
        <x:v>-116.459811</x:v>
      </x:c>
      <x:c r="D204" s="100" t="n">
        <x:v>-0.007078440570739562</x:v>
      </x:c>
    </x:row>
    <x:row r="205">
      <x:c r="A205" s="99" t="str">
        <x:v>00239</x:v>
      </x:c>
      <x:c r="B205" t="n">
        <x:v>33.612119</x:v>
      </x:c>
      <x:c r="C205" t="n">
        <x:v>-116.45875</x:v>
      </x:c>
      <x:c r="D205" s="100" t="n">
        <x:v>-0.004574537479721214</x:v>
      </x:c>
    </x:row>
    <x:row r="206">
      <x:c r="A206" s="99" t="str">
        <x:v>00240</x:v>
      </x:c>
      <x:c r="B206" t="n">
        <x:v>33.612057</x:v>
      </x:c>
      <x:c r="C206" t="n">
        <x:v>-116.457673</x:v>
      </x:c>
      <x:c r="D206" s="100" t="n">
        <x:v>0</x:v>
      </x:c>
    </x:row>
    <x:row r="207">
      <x:c r="A207" s="99" t="str">
        <x:v>00241</x:v>
      </x:c>
      <x:c r="B207" t="n">
        <x:v>33.61188</x:v>
      </x:c>
      <x:c r="C207" t="n">
        <x:v>-116.456782</x:v>
      </x:c>
      <x:c r="D207" s="100" t="n">
        <x:v>0.006372561507490292</x:v>
      </x:c>
    </x:row>
    <x:row r="208">
      <x:c r="A208" s="99" t="str">
        <x:v>00242</x:v>
      </x:c>
      <x:c r="B208" t="n">
        <x:v>33.612004</x:v>
      </x:c>
      <x:c r="C208" t="n">
        <x:v>-116.455818</x:v>
      </x:c>
      <x:c r="D208" s="100" t="n">
        <x:v>-0.002855592244025443</x:v>
      </x:c>
    </x:row>
    <x:row r="209">
      <x:c r="A209" s="99" t="str">
        <x:v>00243</x:v>
      </x:c>
      <x:c r="B209" t="n">
        <x:v>33.612085</x:v>
      </x:c>
      <x:c r="C209" t="n">
        <x:v>-116.454753</x:v>
      </x:c>
      <x:c r="D209" s="100" t="n">
        <x:v>-0.005319679673306148</x:v>
      </x:c>
    </x:row>
    <x:row r="210">
      <x:c r="A210" s="99" t="str">
        <x:v>00244</x:v>
      </x:c>
      <x:c r="B210" t="n">
        <x:v>33.61206</x:v>
      </x:c>
      <x:c r="C210" t="n">
        <x:v>-116.453762</x:v>
      </x:c>
      <x:c r="D210" s="100" t="n">
        <x:v>-0.006447440382238656</x:v>
      </x:c>
    </x:row>
    <x:row r="211">
      <x:c r="A211" s="99" t="str">
        <x:v>00245</x:v>
      </x:c>
      <x:c r="B211" t="n">
        <x:v>33.612049</x:v>
      </x:c>
      <x:c r="C211" t="n">
        <x:v>-116.452731</x:v>
      </x:c>
      <x:c r="D211" s="100" t="n">
        <x:v>-0.005999491690710009</x:v>
      </x:c>
    </x:row>
    <x:row r="212">
      <x:c r="A212" s="99" t="str">
        <x:v>00246</x:v>
      </x:c>
      <x:c r="B212" t="n">
        <x:v>33.612013</x:v>
      </x:c>
      <x:c r="C212" t="n">
        <x:v>-116.451742</x:v>
      </x:c>
      <x:c r="D212" s="100" t="n">
        <x:v>-0.003334853758854929</x:v>
      </x:c>
    </x:row>
    <x:row r="213">
      <x:c r="A213" s="99" t="str">
        <x:v>00247</x:v>
      </x:c>
      <x:c r="B213" t="n">
        <x:v>33.612026</x:v>
      </x:c>
      <x:c r="C213" t="n">
        <x:v>-116.450638</x:v>
      </x:c>
      <x:c r="D213" s="100" t="n">
        <x:v>-0.004174738263577411</x:v>
      </x:c>
    </x:row>
    <x:row r="214">
      <x:c r="A214" s="99" t="str">
        <x:v>00248</x:v>
      </x:c>
      <x:c r="B214" t="n">
        <x:v>33.612125</x:v>
      </x:c>
      <x:c r="C214" t="n">
        <x:v>-116.449688</x:v>
      </x:c>
      <x:c r="D214" s="100" t="n">
        <x:v>-0.002433906224654048</x:v>
      </x:c>
    </x:row>
    <x:row r="215">
      <x:c r="A215" s="99" t="str">
        <x:v>00249</x:v>
      </x:c>
      <x:c r="B215" t="n">
        <x:v>33.612072</x:v>
      </x:c>
      <x:c r="C215" t="n">
        <x:v>-116.448707</x:v>
      </x:c>
      <x:c r="D215" s="100" t="n">
        <x:v>-0.0005285886663962298</x:v>
      </x:c>
    </x:row>
    <x:row r="216">
      <x:c r="A216" s="99" t="str">
        <x:v>00250</x:v>
      </x:c>
      <x:c r="B216" t="n">
        <x:v>33.612032</x:v>
      </x:c>
      <x:c r="C216" t="n">
        <x:v>-116.447786</x:v>
      </x:c>
      <x:c r="D216" s="100" t="n">
        <x:v>0.01009652619025008</x:v>
      </x:c>
    </x:row>
    <x:row r="217">
      <x:c r="A217" s="99" t="str">
        <x:v>00251</x:v>
      </x:c>
      <x:c r="B217" t="n">
        <x:v>33.612076</x:v>
      </x:c>
      <x:c r="C217" t="n">
        <x:v>-116.446718</x:v>
      </x:c>
      <x:c r="D217" s="100" t="n">
        <x:v>0.01443343041710357</x:v>
      </x:c>
    </x:row>
    <x:row r="218">
      <x:c r="A218" s="99" t="str">
        <x:v>00252</x:v>
      </x:c>
      <x:c r="B218" t="n">
        <x:v>33.612135</x:v>
      </x:c>
      <x:c r="C218" t="n">
        <x:v>-116.445696</x:v>
      </x:c>
      <x:c r="D218" s="100" t="n">
        <x:v>0.008202143428452185</x:v>
      </x:c>
    </x:row>
    <x:row r="219">
      <x:c r="A219" s="99" t="str">
        <x:v>00253</x:v>
      </x:c>
      <x:c r="B219" t="n">
        <x:v>33.612063</x:v>
      </x:c>
      <x:c r="C219" t="n">
        <x:v>-116.444843</x:v>
      </x:c>
      <x:c r="D219" s="100" t="n">
        <x:v>-0.00216005978490106</x:v>
      </x:c>
    </x:row>
    <x:row r="220">
      <x:c r="A220" s="99" t="str">
        <x:v>00254</x:v>
      </x:c>
      <x:c r="B220" t="n">
        <x:v>33.612912</x:v>
      </x:c>
      <x:c r="C220" t="n">
        <x:v>-116.459796</x:v>
      </x:c>
      <x:c r="D220" s="100" t="n">
        <x:v>-0.005124085243221884</x:v>
      </x:c>
    </x:row>
    <x:row r="221">
      <x:c r="A221" s="99" t="str">
        <x:v>00255</x:v>
      </x:c>
      <x:c r="B221" t="n">
        <x:v>33.612913</x:v>
      </x:c>
      <x:c r="C221" t="n">
        <x:v>-116.458774</x:v>
      </x:c>
      <x:c r="D221" s="100" t="n">
        <x:v>-0.00187578681520597</x:v>
      </x:c>
    </x:row>
    <x:row r="222">
      <x:c r="A222" s="99" t="str">
        <x:v>00256</x:v>
      </x:c>
      <x:c r="B222" t="n">
        <x:v>33.612907</x:v>
      </x:c>
      <x:c r="C222" t="n">
        <x:v>-116.457783</x:v>
      </x:c>
      <x:c r="D222" s="100" t="n">
        <x:v>0.002057983199246202</x:v>
      </x:c>
    </x:row>
    <x:row r="223">
      <x:c r="A223" s="99" t="str">
        <x:v>00257</x:v>
      </x:c>
      <x:c r="B223" t="n">
        <x:v>33.612863</x:v>
      </x:c>
      <x:c r="C223" t="n">
        <x:v>-116.456737</x:v>
      </x:c>
      <x:c r="D223" s="100" t="n">
        <x:v>-0.002023806519780652</x:v>
      </x:c>
    </x:row>
    <x:row r="224">
      <x:c r="A224" s="99" t="str">
        <x:v>00258</x:v>
      </x:c>
      <x:c r="B224" t="n">
        <x:v>33.612837</x:v>
      </x:c>
      <x:c r="C224" t="n">
        <x:v>-116.455735</x:v>
      </x:c>
      <x:c r="D224" s="100" t="n">
        <x:v>-0.001294380249614171</x:v>
      </x:c>
    </x:row>
    <x:row r="225">
      <x:c r="A225" s="99" t="str">
        <x:v>00259</x:v>
      </x:c>
      <x:c r="B225" t="n">
        <x:v>33.612815</x:v>
      </x:c>
      <x:c r="C225" t="n">
        <x:v>-116.454737</x:v>
      </x:c>
      <x:c r="D225" s="100" t="n">
        <x:v>-0.004563610697556827</x:v>
      </x:c>
    </x:row>
    <x:row r="226">
      <x:c r="A226" s="99" t="str">
        <x:v>00260</x:v>
      </x:c>
      <x:c r="B226" t="n">
        <x:v>33.61282</x:v>
      </x:c>
      <x:c r="C226" t="n">
        <x:v>-116.453664</x:v>
      </x:c>
      <x:c r="D226" s="100" t="n">
        <x:v>-0.002526667458881783</x:v>
      </x:c>
    </x:row>
    <x:row r="227">
      <x:c r="A227" s="99" t="str">
        <x:v>00261</x:v>
      </x:c>
      <x:c r="B227" t="n">
        <x:v>33.612903</x:v>
      </x:c>
      <x:c r="C227" t="n">
        <x:v>-116.45275</x:v>
      </x:c>
      <x:c r="D227" s="100" t="n">
        <x:v>-0.007720370968614467</x:v>
      </x:c>
    </x:row>
    <x:row r="228">
      <x:c r="A228" s="99" t="str">
        <x:v>00262</x:v>
      </x:c>
      <x:c r="B228" t="n">
        <x:v>33.612875</x:v>
      </x:c>
      <x:c r="C228" t="n">
        <x:v>-116.45172</x:v>
      </x:c>
      <x:c r="D228" s="100" t="n">
        <x:v>-0.009227797673163621</x:v>
      </x:c>
    </x:row>
    <x:row r="229">
      <x:c r="A229" s="99" t="str">
        <x:v>00263</x:v>
      </x:c>
      <x:c r="B229" t="n">
        <x:v>33.612863</x:v>
      </x:c>
      <x:c r="C229" t="n">
        <x:v>-116.450678</x:v>
      </x:c>
      <x:c r="D229" s="100" t="n">
        <x:v>-0.00642642892954003</x:v>
      </x:c>
    </x:row>
    <x:row r="230">
      <x:c r="A230" s="99" t="str">
        <x:v>00264</x:v>
      </x:c>
      <x:c r="B230" t="n">
        <x:v>33.612887</x:v>
      </x:c>
      <x:c r="C230" t="n">
        <x:v>-116.449775</x:v>
      </x:c>
      <x:c r="D230" s="100"/>
    </x:row>
    <x:row r="231">
      <x:c r="A231" s="99" t="str">
        <x:v>00265</x:v>
      </x:c>
      <x:c r="B231" t="n">
        <x:v>33.612858</x:v>
      </x:c>
      <x:c r="C231" t="n">
        <x:v>-116.44873</x:v>
      </x:c>
      <x:c r="D231" s="100" t="n">
        <x:v>-0.007314118431269376</x:v>
      </x:c>
    </x:row>
    <x:row r="232">
      <x:c r="A232" s="99" t="str">
        <x:v>00266</x:v>
      </x:c>
      <x:c r="B232" t="n">
        <x:v>33.612812</x:v>
      </x:c>
      <x:c r="C232" t="n">
        <x:v>-116.447629</x:v>
      </x:c>
      <x:c r="D232" s="100" t="n">
        <x:v>0.004838514066448982</x:v>
      </x:c>
    </x:row>
    <x:row r="233">
      <x:c r="A233" s="99" t="str">
        <x:v>00267</x:v>
      </x:c>
      <x:c r="B233" t="n">
        <x:v>33.612858</x:v>
      </x:c>
      <x:c r="C233" t="n">
        <x:v>-116.446743</x:v>
      </x:c>
      <x:c r="D233" s="100" t="n">
        <x:v>0.005624526503978931</x:v>
      </x:c>
    </x:row>
    <x:row r="234">
      <x:c r="A234" s="99" t="str">
        <x:v>00268</x:v>
      </x:c>
      <x:c r="B234" t="n">
        <x:v>33.612818</x:v>
      </x:c>
      <x:c r="C234" t="n">
        <x:v>-116.445802</x:v>
      </x:c>
      <x:c r="D234" s="100" t="n">
        <x:v>0.007156186526945923</x:v>
      </x:c>
    </x:row>
    <x:row r="235">
      <x:c r="A235" s="99" t="str">
        <x:v>00269</x:v>
      </x:c>
      <x:c r="B235" t="n">
        <x:v>33.612826</x:v>
      </x:c>
      <x:c r="C235" t="n">
        <x:v>-116.444741</x:v>
      </x:c>
      <x:c r="D235" s="100" t="n">
        <x:v>0.001540874414542367</x:v>
      </x:c>
    </x:row>
    <x:row r="236">
      <x:c r="A236" s="99" t="str">
        <x:v>00270</x:v>
      </x:c>
      <x:c r="B236" t="n">
        <x:v>33.613728</x:v>
      </x:c>
      <x:c r="C236" t="n">
        <x:v>-116.459763</x:v>
      </x:c>
      <x:c r="D236" s="100" t="n">
        <x:v>-0.008267538828072438</x:v>
      </x:c>
    </x:row>
    <x:row r="237">
      <x:c r="A237" s="99" t="str">
        <x:v>00271</x:v>
      </x:c>
      <x:c r="B237" t="n">
        <x:v>33.613782</x:v>
      </x:c>
      <x:c r="C237" t="n">
        <x:v>-116.458804</x:v>
      </x:c>
      <x:c r="D237" s="100" t="n">
        <x:v>-0.001652562687817688</x:v>
      </x:c>
    </x:row>
    <x:row r="238">
      <x:c r="A238" s="99" t="str">
        <x:v>00272</x:v>
      </x:c>
      <x:c r="B238" t="n">
        <x:v>33.613727</x:v>
      </x:c>
      <x:c r="C238" t="n">
        <x:v>-116.457751</x:v>
      </x:c>
      <x:c r="D238" s="100" t="n">
        <x:v>-0.004471468804326518</x:v>
      </x:c>
    </x:row>
    <x:row r="239">
      <x:c r="A239" s="99" t="str">
        <x:v>00273</x:v>
      </x:c>
      <x:c r="B239" t="n">
        <x:v>33.613725</x:v>
      </x:c>
      <x:c r="C239" t="n">
        <x:v>-116.456751</x:v>
      </x:c>
      <x:c r="D239" s="100" t="n">
        <x:v>-0.00342057324194233</x:v>
      </x:c>
    </x:row>
    <x:row r="240">
      <x:c r="A240" s="99" t="str">
        <x:v>00274</x:v>
      </x:c>
      <x:c r="B240" t="n">
        <x:v>33.613683</x:v>
      </x:c>
      <x:c r="C240" t="n">
        <x:v>-116.455766</x:v>
      </x:c>
      <x:c r="D240" s="100" t="n">
        <x:v>-0.002631698819795018</x:v>
      </x:c>
    </x:row>
    <x:row r="241">
      <x:c r="A241" s="99" t="str">
        <x:v>00275</x:v>
      </x:c>
      <x:c r="B241" t="n">
        <x:v>33.613653</x:v>
      </x:c>
      <x:c r="C241" t="n">
        <x:v>-116.454686</x:v>
      </x:c>
      <x:c r="D241" s="100" t="n">
        <x:v>-0.01256790923355527</x:v>
      </x:c>
    </x:row>
    <x:row r="242">
      <x:c r="A242" s="99" t="str">
        <x:v>00276</x:v>
      </x:c>
      <x:c r="B242" t="n">
        <x:v>33.613676</x:v>
      </x:c>
      <x:c r="C242" t="n">
        <x:v>-116.453737</x:v>
      </x:c>
      <x:c r="D242" s="100" t="n">
        <x:v>-0.006088901078824292</x:v>
      </x:c>
    </x:row>
    <x:row r="243">
      <x:c r="A243" s="99" t="str">
        <x:v>00277</x:v>
      </x:c>
      <x:c r="B243" t="n">
        <x:v>33.613701</x:v>
      </x:c>
      <x:c r="C243" t="n">
        <x:v>-116.452679</x:v>
      </x:c>
      <x:c r="D243" s="100" t="n">
        <x:v>-0.01392700144312171</x:v>
      </x:c>
    </x:row>
    <x:row r="244">
      <x:c r="A244" s="99" t="str">
        <x:v>00278</x:v>
      </x:c>
      <x:c r="B244" t="n">
        <x:v>33.613768</x:v>
      </x:c>
      <x:c r="C244" t="n">
        <x:v>-116.451724</x:v>
      </x:c>
      <x:c r="D244" s="100" t="n">
        <x:v>-0.01647761243116913</x:v>
      </x:c>
    </x:row>
    <x:row r="245">
      <x:c r="A245" s="99" t="str">
        <x:v>00279</x:v>
      </x:c>
      <x:c r="B245" t="n">
        <x:v>33.613683</x:v>
      </x:c>
      <x:c r="C245" t="n">
        <x:v>-116.450841</x:v>
      </x:c>
      <x:c r="D245" s="100" t="n">
        <x:v>-0.01426499017635994</x:v>
      </x:c>
    </x:row>
    <x:row r="246">
      <x:c r="A246" s="99" t="str">
        <x:v>00280</x:v>
      </x:c>
      <x:c r="B246" t="n">
        <x:v>33.613705</x:v>
      </x:c>
      <x:c r="C246" t="n">
        <x:v>-116.449705</x:v>
      </x:c>
      <x:c r="D246" s="100"/>
    </x:row>
    <x:row r="247">
      <x:c r="A247" s="99" t="str">
        <x:v>00281</x:v>
      </x:c>
      <x:c r="B247" t="n">
        <x:v>33.613614</x:v>
      </x:c>
      <x:c r="C247" t="n">
        <x:v>-116.448671</x:v>
      </x:c>
      <x:c r="D247" s="100" t="n">
        <x:v>0.00004699165116192963</x:v>
      </x:c>
    </x:row>
    <x:row r="248">
      <x:c r="A248" s="99" t="str">
        <x:v>00282</x:v>
      </x:c>
      <x:c r="B248" t="n">
        <x:v>33.613723</x:v>
      </x:c>
      <x:c r="C248" t="n">
        <x:v>-116.447728</x:v>
      </x:c>
      <x:c r="D248" s="100" t="n">
        <x:v>-0.00814072208722472</x:v>
      </x:c>
    </x:row>
    <x:row r="249">
      <x:c r="A249" s="99" t="str">
        <x:v>00283</x:v>
      </x:c>
      <x:c r="B249" t="n">
        <x:v>33.61361</x:v>
      </x:c>
      <x:c r="C249" t="n">
        <x:v>-116.446655</x:v>
      </x:c>
      <x:c r="D249" s="100" t="n">
        <x:v>-0.003707406804947969</x:v>
      </x:c>
    </x:row>
    <x:row r="250">
      <x:c r="A250" s="99" t="str">
        <x:v>00284</x:v>
      </x:c>
      <x:c r="B250" t="n">
        <x:v>33.613685</x:v>
      </x:c>
      <x:c r="C250" t="n">
        <x:v>-116.445659</x:v>
      </x:c>
      <x:c r="D250" s="100" t="n">
        <x:v>0.001340458546016551</x:v>
      </x:c>
    </x:row>
    <x:row r="251">
      <x:c r="A251" s="99" t="str">
        <x:v>00285</x:v>
      </x:c>
      <x:c r="B251" t="n">
        <x:v>33.613708</x:v>
      </x:c>
      <x:c r="C251" t="n">
        <x:v>-116.44476</x:v>
      </x:c>
      <x:c r="D251" s="100" t="n">
        <x:v>-0.007966422086094768</x:v>
      </x:c>
    </x:row>
    <x:row r="252">
      <x:c r="A252" s="99" t="str">
        <x:v>00286</x:v>
      </x:c>
      <x:c r="B252" t="n">
        <x:v>33.614603</x:v>
      </x:c>
      <x:c r="C252" t="n">
        <x:v>-116.45974</x:v>
      </x:c>
      <x:c r="D252" s="100" t="n">
        <x:v>-0.009715889694658128</x:v>
      </x:c>
    </x:row>
    <x:row r="253">
      <x:c r="A253" s="99" t="str">
        <x:v>00287</x:v>
      </x:c>
      <x:c r="B253" t="n">
        <x:v>33.614512</x:v>
      </x:c>
      <x:c r="C253" t="n">
        <x:v>-116.45873</x:v>
      </x:c>
      <x:c r="D253" s="100" t="n">
        <x:v>-0.004012688778721529</x:v>
      </x:c>
    </x:row>
    <x:row r="254">
      <x:c r="A254" s="99" t="str">
        <x:v>00288</x:v>
      </x:c>
      <x:c r="B254" t="n">
        <x:v>33.614476</x:v>
      </x:c>
      <x:c r="C254" t="n">
        <x:v>-116.457701</x:v>
      </x:c>
      <x:c r="D254" s="100" t="n">
        <x:v>-0.006373200045938721</x:v>
      </x:c>
    </x:row>
    <x:row r="255">
      <x:c r="A255" s="99" t="str">
        <x:v>00289</x:v>
      </x:c>
      <x:c r="B255" t="n">
        <x:v>33.61459</x:v>
      </x:c>
      <x:c r="C255" t="n">
        <x:v>-116.456767</x:v>
      </x:c>
      <x:c r="D255" s="100" t="n">
        <x:v>-0.005992811469059424</x:v>
      </x:c>
    </x:row>
    <x:row r="256">
      <x:c r="A256" s="99" t="str">
        <x:v>00290</x:v>
      </x:c>
      <x:c r="B256" t="n">
        <x:v>33.614556</x:v>
      </x:c>
      <x:c r="C256" t="n">
        <x:v>-116.455784</x:v>
      </x:c>
      <x:c r="D256" s="100" t="n">
        <x:v>-0.006175214028578201</x:v>
      </x:c>
    </x:row>
    <x:row r="257">
      <x:c r="A257" s="99" t="str">
        <x:v>00291</x:v>
      </x:c>
      <x:c r="B257" t="n">
        <x:v>33.614573</x:v>
      </x:c>
      <x:c r="C257" t="n">
        <x:v>-116.454739</x:v>
      </x:c>
      <x:c r="D257" s="100" t="n">
        <x:v>-0.003687200490893747</x:v>
      </x:c>
    </x:row>
    <x:row r="258">
      <x:c r="A258" s="99" t="str">
        <x:v>00292</x:v>
      </x:c>
      <x:c r="B258" t="n">
        <x:v>33.614509</x:v>
      </x:c>
      <x:c r="C258" t="n">
        <x:v>-116.453731</x:v>
      </x:c>
      <x:c r="D258" s="100" t="n">
        <x:v>-0.003888602536974522</x:v>
      </x:c>
    </x:row>
    <x:row r="259">
      <x:c r="A259" s="99" t="str">
        <x:v>00293</x:v>
      </x:c>
      <x:c r="B259" t="n">
        <x:v>33.614565</x:v>
      </x:c>
      <x:c r="C259" t="n">
        <x:v>-116.45275</x:v>
      </x:c>
      <x:c r="D259" s="100" t="n">
        <x:v>-0.01975739844222951</x:v>
      </x:c>
    </x:row>
    <x:row r="260">
      <x:c r="A260" s="99" t="str">
        <x:v>00294</x:v>
      </x:c>
      <x:c r="B260" t="n">
        <x:v>33.614568</x:v>
      </x:c>
      <x:c r="C260" t="n">
        <x:v>-116.451819</x:v>
      </x:c>
      <x:c r="D260" s="100" t="n">
        <x:v>-0.01263527026872942</x:v>
      </x:c>
    </x:row>
    <x:row r="261">
      <x:c r="A261" s="99" t="str">
        <x:v>00295</x:v>
      </x:c>
      <x:c r="B261" t="n">
        <x:v>33.614613</x:v>
      </x:c>
      <x:c r="C261" t="n">
        <x:v>-116.450726</x:v>
      </x:c>
      <x:c r="D261" s="100" t="n">
        <x:v>-0.006169767968636438</x:v>
      </x:c>
    </x:row>
    <x:row r="262">
      <x:c r="A262" s="99" t="str">
        <x:v>00296</x:v>
      </x:c>
      <x:c r="B262" t="n">
        <x:v>33.614627</x:v>
      </x:c>
      <x:c r="C262" t="n">
        <x:v>-116.449689</x:v>
      </x:c>
      <x:c r="D262" s="100"/>
    </x:row>
    <x:row r="263">
      <x:c r="A263" s="99" t="str">
        <x:v>00297</x:v>
      </x:c>
      <x:c r="B263" t="n">
        <x:v>33.614603</x:v>
      </x:c>
      <x:c r="C263" t="n">
        <x:v>-116.448725</x:v>
      </x:c>
      <x:c r="D263" s="100" t="n">
        <x:v>-0.01038514493235143</x:v>
      </x:c>
    </x:row>
    <x:row r="264">
      <x:c r="A264" s="99" t="str">
        <x:v>00298</x:v>
      </x:c>
      <x:c r="B264" t="n">
        <x:v>33.614478</x:v>
      </x:c>
      <x:c r="C264" t="n">
        <x:v>-116.447721</x:v>
      </x:c>
      <x:c r="D264" s="100" t="n">
        <x:v>-0.00823790525783667</x:v>
      </x:c>
    </x:row>
    <x:row r="265">
      <x:c r="A265" s="99" t="str">
        <x:v>00299</x:v>
      </x:c>
      <x:c r="B265" t="n">
        <x:v>33.614551</x:v>
      </x:c>
      <x:c r="C265" t="n">
        <x:v>-116.446648</x:v>
      </x:c>
      <x:c r="D265" s="100" t="n">
        <x:v>-0.01252757638063776</x:v>
      </x:c>
    </x:row>
    <x:row r="266">
      <x:c r="A266" s="99" t="str">
        <x:v>00300</x:v>
      </x:c>
      <x:c r="B266" t="n">
        <x:v>33.614533</x:v>
      </x:c>
      <x:c r="C266" t="n">
        <x:v>-116.4457</x:v>
      </x:c>
      <x:c r="D266" s="100" t="n">
        <x:v>-0.01129132602284214</x:v>
      </x:c>
    </x:row>
    <x:row r="267">
      <x:c r="A267" s="99" t="str">
        <x:v>00301</x:v>
      </x:c>
      <x:c r="B267" t="n">
        <x:v>33.614507</x:v>
      </x:c>
      <x:c r="C267" t="n">
        <x:v>-116.444847</x:v>
      </x:c>
      <x:c r="D267" s="100" t="n">
        <x:v>-0.01427540765869766</x:v>
      </x:c>
    </x:row>
    <x:row r="268">
      <x:c r="A268" s="99" t="str">
        <x:v>00302</x:v>
      </x:c>
      <x:c r="B268" t="n">
        <x:v>33.615375</x:v>
      </x:c>
      <x:c r="C268" t="n">
        <x:v>-116.459739</x:v>
      </x:c>
      <x:c r="D268" s="100" t="n">
        <x:v>-0.007632152572161066</x:v>
      </x:c>
    </x:row>
    <x:row r="269">
      <x:c r="A269" s="99" t="str">
        <x:v>00303</x:v>
      </x:c>
      <x:c r="B269" t="n">
        <x:v>33.615426</x:v>
      </x:c>
      <x:c r="C269" t="n">
        <x:v>-116.458728</x:v>
      </x:c>
      <x:c r="D269" s="100"/>
    </x:row>
    <x:row r="270">
      <x:c r="A270" s="99" t="str">
        <x:v>00304</x:v>
      </x:c>
      <x:c r="B270" t="n">
        <x:v>33.615404</x:v>
      </x:c>
      <x:c r="C270" t="n">
        <x:v>-116.45768</x:v>
      </x:c>
      <x:c r="D270" s="100" t="n">
        <x:v>-0.009227897213839063</x:v>
      </x:c>
    </x:row>
    <x:row r="271">
      <x:c r="A271" s="99" t="str">
        <x:v>00305</x:v>
      </x:c>
      <x:c r="B271" t="n">
        <x:v>33.615426</x:v>
      </x:c>
      <x:c r="C271" t="n">
        <x:v>-116.456764</x:v>
      </x:c>
      <x:c r="D271" s="100" t="n">
        <x:v>-0.007286080607572465</x:v>
      </x:c>
    </x:row>
    <x:row r="272">
      <x:c r="A272" s="99" t="str">
        <x:v>00306</x:v>
      </x:c>
      <x:c r="B272" t="n">
        <x:v>33.615395</x:v>
      </x:c>
      <x:c r="C272" t="n">
        <x:v>-116.455748</x:v>
      </x:c>
      <x:c r="D272" s="100" t="n">
        <x:v>-0.005222604197269581</x:v>
      </x:c>
    </x:row>
    <x:row r="273">
      <x:c r="A273" s="99" t="str">
        <x:v>00307</x:v>
      </x:c>
      <x:c r="B273" t="n">
        <x:v>33.615409</x:v>
      </x:c>
      <x:c r="C273" t="n">
        <x:v>-116.454729</x:v>
      </x:c>
      <x:c r="D273" s="100" t="n">
        <x:v>-0.006391860789787349</x:v>
      </x:c>
    </x:row>
    <x:row r="274">
      <x:c r="A274" s="99" t="str">
        <x:v>00308</x:v>
      </x:c>
      <x:c r="B274" t="n">
        <x:v>33.615396</x:v>
      </x:c>
      <x:c r="C274" t="n">
        <x:v>-116.453781</x:v>
      </x:c>
      <x:c r="D274" s="100" t="n">
        <x:v>-0.008879709383879948</x:v>
      </x:c>
    </x:row>
    <x:row r="275">
      <x:c r="A275" s="99" t="str">
        <x:v>00309</x:v>
      </x:c>
      <x:c r="B275" t="n">
        <x:v>33.615408</x:v>
      </x:c>
      <x:c r="C275" t="n">
        <x:v>-116.452747</x:v>
      </x:c>
      <x:c r="D275" s="100" t="n">
        <x:v>-0.01297163802101553</x:v>
      </x:c>
    </x:row>
    <x:row r="276">
      <x:c r="A276" s="99" t="str">
        <x:v>00310</x:v>
      </x:c>
      <x:c r="B276" t="n">
        <x:v>33.615368</x:v>
      </x:c>
      <x:c r="C276" t="n">
        <x:v>-116.451728</x:v>
      </x:c>
      <x:c r="D276" s="100" t="n">
        <x:v>-0.01048909489834837</x:v>
      </x:c>
    </x:row>
    <x:row r="277">
      <x:c r="A277" s="99" t="str">
        <x:v>00311</x:v>
      </x:c>
      <x:c r="B277" t="n">
        <x:v>33.61536</x:v>
      </x:c>
      <x:c r="C277" t="n">
        <x:v>-116.45105</x:v>
      </x:c>
      <x:c r="D277" s="100" t="n">
        <x:v>-0.01217582325691082</x:v>
      </x:c>
    </x:row>
    <x:row r="278">
      <x:c r="A278" s="99" t="str">
        <x:v>00312</x:v>
      </x:c>
      <x:c r="B278" t="n">
        <x:v>33.615439</x:v>
      </x:c>
      <x:c r="C278" t="n">
        <x:v>-116.449704</x:v>
      </x:c>
      <x:c r="D278" s="100"/>
    </x:row>
    <x:row r="279">
      <x:c r="A279" s="99" t="str">
        <x:v>00313</x:v>
      </x:c>
      <x:c r="B279" t="n">
        <x:v>33.615395</x:v>
      </x:c>
      <x:c r="C279" t="n">
        <x:v>-116.448652</x:v>
      </x:c>
      <x:c r="D279" s="100" t="n">
        <x:v>-0.01162155019804093</x:v>
      </x:c>
    </x:row>
    <x:row r="280">
      <x:c r="A280" s="99" t="str">
        <x:v>00314</x:v>
      </x:c>
      <x:c r="B280" t="n">
        <x:v>33.61537</x:v>
      </x:c>
      <x:c r="C280" t="n">
        <x:v>-116.447755</x:v>
      </x:c>
      <x:c r="D280" s="100" t="n">
        <x:v>-0.01232253564984412</x:v>
      </x:c>
    </x:row>
    <x:row r="281">
      <x:c r="A281" s="99" t="str">
        <x:v>00315</x:v>
      </x:c>
      <x:c r="B281" t="n">
        <x:v>33.615339</x:v>
      </x:c>
      <x:c r="C281" t="n">
        <x:v>-116.446756</x:v>
      </x:c>
      <x:c r="D281" s="100" t="n">
        <x:v>-0.0150380115223602</x:v>
      </x:c>
    </x:row>
    <x:row r="282">
      <x:c r="A282" s="99" t="str">
        <x:v>00316</x:v>
      </x:c>
      <x:c r="B282" t="n">
        <x:v>33.615395</x:v>
      </x:c>
      <x:c r="C282" t="n">
        <x:v>-116.445727</x:v>
      </x:c>
      <x:c r="D282" s="100" t="n">
        <x:v>-0.01388372554994194</x:v>
      </x:c>
    </x:row>
    <x:row r="283">
      <x:c r="A283" s="99" t="str">
        <x:v>00317</x:v>
      </x:c>
      <x:c r="B283" t="n">
        <x:v>33.615417</x:v>
      </x:c>
      <x:c r="C283" t="n">
        <x:v>-116.444721</x:v>
      </x:c>
      <x:c r="D283" s="100" t="n">
        <x:v>-0.01623471446340402</x:v>
      </x:c>
    </x:row>
    <x:row r="284">
      <x:c r="A284" s="99" t="str">
        <x:v>00318</x:v>
      </x:c>
      <x:c r="B284" t="n">
        <x:v>33.616246</x:v>
      </x:c>
      <x:c r="C284" t="n">
        <x:v>-116.459781</x:v>
      </x:c>
      <x:c r="D284" s="100" t="n">
        <x:v>-0.006664318881921125</x:v>
      </x:c>
    </x:row>
    <x:row r="285">
      <x:c r="A285" s="99" t="str">
        <x:v>00319</x:v>
      </x:c>
      <x:c r="B285" t="n">
        <x:v>33.616258</x:v>
      </x:c>
      <x:c r="C285" t="n">
        <x:v>-116.458762</x:v>
      </x:c>
      <x:c r="D285" s="100" t="n">
        <x:v>0.01280611520055321</x:v>
      </x:c>
    </x:row>
    <x:row r="286">
      <x:c r="A286" s="99" t="str">
        <x:v>00320</x:v>
      </x:c>
      <x:c r="B286" t="n">
        <x:v>33.616212</x:v>
      </x:c>
      <x:c r="C286" t="n">
        <x:v>-116.457704</x:v>
      </x:c>
      <x:c r="D286" s="100" t="n">
        <x:v>0.01875491672152585</x:v>
      </x:c>
    </x:row>
    <x:row r="287">
      <x:c r="A287" s="99" t="str">
        <x:v>00321</x:v>
      </x:c>
      <x:c r="B287" t="n">
        <x:v>33.616247</x:v>
      </x:c>
      <x:c r="C287" t="n">
        <x:v>-116.456744</x:v>
      </x:c>
      <x:c r="D287" s="100" t="n">
        <x:v>0.01576642139596362</x:v>
      </x:c>
    </x:row>
    <x:row r="288">
      <x:c r="A288" s="99" t="str">
        <x:v>00322</x:v>
      </x:c>
      <x:c r="B288" t="n">
        <x:v>33.616241</x:v>
      </x:c>
      <x:c r="C288" t="n">
        <x:v>-116.45573</x:v>
      </x:c>
      <x:c r="D288" s="100" t="n">
        <x:v>-0.0006372080181001293</x:v>
      </x:c>
    </x:row>
    <x:row r="289">
      <x:c r="A289" s="99" t="str">
        <x:v>00323</x:v>
      </x:c>
      <x:c r="B289" t="n">
        <x:v>33.616161</x:v>
      </x:c>
      <x:c r="C289" t="n">
        <x:v>-116.45481</x:v>
      </x:c>
      <x:c r="D289" s="100" t="n">
        <x:v>-0.01034861347295235</x:v>
      </x:c>
    </x:row>
    <x:row r="290">
      <x:c r="A290" s="99" t="str">
        <x:v>00324</x:v>
      </x:c>
      <x:c r="B290" t="n">
        <x:v>33.616317</x:v>
      </x:c>
      <x:c r="C290" t="n">
        <x:v>-116.45376</x:v>
      </x:c>
      <x:c r="D290" s="100" t="n">
        <x:v>-0.01445806259092991</x:v>
      </x:c>
    </x:row>
    <x:row r="291">
      <x:c r="A291" s="99" t="str">
        <x:v>00325</x:v>
      </x:c>
      <x:c r="B291" t="n">
        <x:v>33.616121</x:v>
      </x:c>
      <x:c r="C291" t="n">
        <x:v>-116.452847</x:v>
      </x:c>
      <x:c r="D291" s="100" t="n">
        <x:v>-0.01907000131197036</x:v>
      </x:c>
    </x:row>
    <x:row r="292">
      <x:c r="A292" s="99" t="str">
        <x:v>00326</x:v>
      </x:c>
      <x:c r="B292" t="n">
        <x:v>33.616218</x:v>
      </x:c>
      <x:c r="C292" t="n">
        <x:v>-116.451666</x:v>
      </x:c>
      <x:c r="D292" s="100" t="n">
        <x:v>-0.01950310810635052</x:v>
      </x:c>
    </x:row>
    <x:row r="293">
      <x:c r="A293" s="99" t="str">
        <x:v>00327</x:v>
      </x:c>
      <x:c r="B293" t="n">
        <x:v>33.616231</x:v>
      </x:c>
      <x:c r="C293" t="n">
        <x:v>-116.450771</x:v>
      </x:c>
      <x:c r="D293" s="100" t="n">
        <x:v>-0.01476917863632569</x:v>
      </x:c>
    </x:row>
    <x:row r="294">
      <x:c r="A294" s="99" t="str">
        <x:v>00328</x:v>
      </x:c>
      <x:c r="B294" t="n">
        <x:v>33.616157</x:v>
      </x:c>
      <x:c r="C294" t="n">
        <x:v>-116.449719</x:v>
      </x:c>
      <x:c r="D294" s="100" t="n">
        <x:v>-0.01066612394828562</x:v>
      </x:c>
    </x:row>
    <x:row r="295">
      <x:c r="A295" s="99" t="str">
        <x:v>00329</x:v>
      </x:c>
      <x:c r="B295" t="n">
        <x:v>33.616174</x:v>
      </x:c>
      <x:c r="C295" t="n">
        <x:v>-116.448661</x:v>
      </x:c>
      <x:c r="D295" s="100" t="n">
        <x:v>-0.01773332950701884</x:v>
      </x:c>
    </x:row>
    <x:row r="296">
      <x:c r="A296" s="99" t="str">
        <x:v>00330</x:v>
      </x:c>
      <x:c r="B296" t="n">
        <x:v>33.616199</x:v>
      </x:c>
      <x:c r="C296" t="n">
        <x:v>-116.447692</x:v>
      </x:c>
      <x:c r="D296" s="100" t="n">
        <x:v>-0.01004028401482076</x:v>
      </x:c>
    </x:row>
    <x:row r="297">
      <x:c r="A297" s="99" t="str">
        <x:v>00331</x:v>
      </x:c>
      <x:c r="B297" t="n">
        <x:v>33.616219</x:v>
      </x:c>
      <x:c r="C297" t="n">
        <x:v>-116.446669</x:v>
      </x:c>
      <x:c r="D297" s="100"/>
    </x:row>
    <x:row r="298">
      <x:c r="A298" s="99" t="str">
        <x:v>00332</x:v>
      </x:c>
      <x:c r="B298" t="n">
        <x:v>33.61615</x:v>
      </x:c>
      <x:c r="C298" t="n">
        <x:v>-116.445757</x:v>
      </x:c>
      <x:c r="D298" s="100" t="n">
        <x:v>-0.01415398331025103</x:v>
      </x:c>
    </x:row>
    <x:row r="299">
      <x:c r="A299" s="99" t="str">
        <x:v>00333</x:v>
      </x:c>
      <x:c r="B299" t="n">
        <x:v>33.616139</x:v>
      </x:c>
      <x:c r="C299" t="n">
        <x:v>-116.444629</x:v>
      </x:c>
      <x:c r="D299" s="100" t="n">
        <x:v>-0.01646721276301886</x:v>
      </x:c>
    </x:row>
  </x:sheetData>
  <x:pageMargins left="0.7" right="0.7" top="0.75" bottom="0.75" header="0.3" footer="0.3"/>
  <x:tableParts count="1">
    <x:tablePart xmlns:r="http://schemas.openxmlformats.org/officeDocument/2006/relationships" r:id="R1d9383e1154545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6" hidden="0" customWidth="1"/>
    <x:col min="5" max="5" width="20" hidden="0" customWidth="1"/>
    <x:col min="6" max="6" width="9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8" hidden="0" customWidth="1"/>
    <x:col min="12" max="12" width="22" hidden="0" customWidth="1"/>
    <x:col min="13" max="13" width="12" hidden="0" customWidth="1"/>
    <x:col min="14" max="14" width="16" hidden="0" customWidth="1"/>
    <x:col min="15" max="15" width="17" hidden="0" customWidth="1"/>
    <x:col min="16" max="16" width="55" hidden="0" customWidth="1"/>
  </x:cols>
  <x:sheetData>
    <x:row r="1" ht="30" customHeight="1">
      <x:c r="A1" s="14" t="str">
        <x:v>event_id</x:v>
      </x:c>
      <x:c r="B1" s="15" t="str">
        <x:v>station</x:v>
      </x:c>
      <x:c r="C1" s="15" t="str">
        <x:v>component</x:v>
      </x:c>
      <x:c r="D1" s="15" t="str">
        <x:v>catalog_shift_component</x:v>
      </x:c>
      <x:c r="E1" s="15" t="str">
        <x:v>catalog_time_shift_column</x:v>
      </x:c>
      <x:c r="F1" s="15" t="str">
        <x:v>phase</x:v>
      </x:c>
      <x:c r="G1" s="15" t="str">
        <x:v>frequency_min_hz</x:v>
      </x:c>
      <x:c r="H1" s="15" t="str">
        <x:v>frequency_max_hz</x:v>
      </x:c>
      <x:c r="I1" s="15" t="str">
        <x:v>sample_rate_hz</x:v>
      </x:c>
      <x:c r="J1" s="15" t="str">
        <x:v>measured_shift_seconds</x:v>
      </x:c>
      <x:c r="K1" s="15" t="str">
        <x:v>predicted_shift_seconds</x:v>
      </x:c>
      <x:c r="L1" s="15" t="str">
        <x:v>shift_relative_to_predicted_seconds</x:v>
      </x:c>
      <x:c r="M1" s="15" t="str">
        <x:v>lag_samples</x:v>
      </x:c>
      <x:c r="N1" s="15" t="str">
        <x:v>station_correlation</x:v>
      </x:c>
      <x:c r="O1" s="15" t="str">
        <x:v>passed_window_correlation</x:v>
      </x:c>
      <x:c r="P1" s="16" t="str">
        <x:v>source_output_dir</x:v>
      </x:c>
    </x:row>
    <x:row r="2">
      <x:c r="A2" t="str">
        <x:v>CI_40353552</x:v>
      </x:c>
      <x:c r="B2" s="99" t="str">
        <x:v>00036</x:v>
      </x:c>
      <x:c r="C2" t="str">
        <x:v>Z</x:v>
      </x:c>
      <x:c r="D2" t="str">
        <x:v>R</x:v>
      </x:c>
      <x:c r="E2" t="str">
        <x:v>time shift</x:v>
      </x:c>
      <x:c r="F2" t="str">
        <x:v>S</x:v>
      </x:c>
      <x:c r="G2" s="100" t="n">
        <x:v>3</x:v>
      </x:c>
      <x:c r="H2" s="100" t="n">
        <x:v>10</x:v>
      </x:c>
      <x:c r="I2" s="100" t="n">
        <x:v>250</x:v>
      </x:c>
      <x:c r="J2" s="100" t="n">
        <x:v>-0.256</x:v>
      </x:c>
      <x:c r="K2" s="100" t="n">
        <x:v>-0.2547664721342109</x:v>
      </x:c>
      <x:c r="L2" s="100" t="n">
        <x:v>-0.001233527865789119</x:v>
      </x:c>
      <x:c r="M2" s="100" t="n">
        <x:v>-64</x:v>
      </x:c>
      <x:c r="N2" s="100" t="n">
        <x:v>0.7645511122161521</x:v>
      </x:c>
      <x:c r="O2" s="101" t="b">
        <x:v>1</x:v>
      </x:c>
      <x:c r="P2" t="str">
        <x:v>/Users/jvidale/Documents/Research/FaultScanR/output/20260722_181326_2487/CI_40353552</x:v>
      </x:c>
    </x:row>
    <x:row r="3">
      <x:c r="A3" t="str">
        <x:v>CI_40353552</x:v>
      </x:c>
      <x:c r="B3" s="99" t="str">
        <x:v>00037</x:v>
      </x:c>
      <x:c r="C3" t="str">
        <x:v>Z</x:v>
      </x:c>
      <x:c r="D3" t="str">
        <x:v>R</x:v>
      </x:c>
      <x:c r="E3" t="str">
        <x:v>time shift</x:v>
      </x:c>
      <x:c r="F3" t="str">
        <x:v>S</x:v>
      </x:c>
      <x:c r="G3" s="100" t="n">
        <x:v>3</x:v>
      </x:c>
      <x:c r="H3" s="100" t="n">
        <x:v>10</x:v>
      </x:c>
      <x:c r="I3" s="100" t="n">
        <x:v>250</x:v>
      </x:c>
      <x:c r="J3" s="100" t="n">
        <x:v>-0.236</x:v>
      </x:c>
      <x:c r="K3" s="100" t="n">
        <x:v>-0.2468390462355803</x:v>
      </x:c>
      <x:c r="L3" s="100" t="n">
        <x:v>0.0108390462355803</x:v>
      </x:c>
      <x:c r="M3" s="100" t="n">
        <x:v>-59</x:v>
      </x:c>
      <x:c r="N3" s="100" t="n">
        <x:v>0.9587132183786556</x:v>
      </x:c>
      <x:c r="O3" s="101" t="b">
        <x:v>1</x:v>
      </x:c>
      <x:c r="P3" t="str">
        <x:v>/Users/jvidale/Documents/Research/FaultScanR/output/20260722_181326_2487/CI_40353552</x:v>
      </x:c>
    </x:row>
    <x:row r="4">
      <x:c r="A4" t="str">
        <x:v>CI_40353552</x:v>
      </x:c>
      <x:c r="B4" s="99" t="str">
        <x:v>00038</x:v>
      </x:c>
      <x:c r="C4" t="str">
        <x:v>Z</x:v>
      </x:c>
      <x:c r="D4" t="str">
        <x:v>R</x:v>
      </x:c>
      <x:c r="E4" t="str">
        <x:v>time shift</x:v>
      </x:c>
      <x:c r="F4" t="str">
        <x:v>S</x:v>
      </x:c>
      <x:c r="G4" s="100" t="n">
        <x:v>3</x:v>
      </x:c>
      <x:c r="H4" s="100" t="n">
        <x:v>10</x:v>
      </x:c>
      <x:c r="I4" s="100" t="n">
        <x:v>250</x:v>
      </x:c>
      <x:c r="J4" s="100" t="n">
        <x:v>-0.224</x:v>
      </x:c>
      <x:c r="K4" s="100" t="n">
        <x:v>-0.2390363949647361</x:v>
      </x:c>
      <x:c r="L4" s="100" t="n">
        <x:v>0.01503639496473605</x:v>
      </x:c>
      <x:c r="M4" s="100" t="n">
        <x:v>-56</x:v>
      </x:c>
      <x:c r="N4" s="100" t="n">
        <x:v>0.9907224151909079</x:v>
      </x:c>
      <x:c r="O4" s="101" t="b">
        <x:v>1</x:v>
      </x:c>
      <x:c r="P4" t="str">
        <x:v>/Users/jvidale/Documents/Research/FaultScanR/output/20260722_181326_2487/CI_40353552</x:v>
      </x:c>
    </x:row>
    <x:row r="5">
      <x:c r="A5" t="str">
        <x:v>CI_40353552</x:v>
      </x:c>
      <x:c r="B5" s="99" t="str">
        <x:v>00039</x:v>
      </x:c>
      <x:c r="C5" t="str">
        <x:v>Z</x:v>
      </x:c>
      <x:c r="D5" t="str">
        <x:v>R</x:v>
      </x:c>
      <x:c r="E5" t="str">
        <x:v>time shift</x:v>
      </x:c>
      <x:c r="F5" t="str">
        <x:v>S</x:v>
      </x:c>
      <x:c r="G5" s="100" t="n">
        <x:v>3</x:v>
      </x:c>
      <x:c r="H5" s="100" t="n">
        <x:v>10</x:v>
      </x:c>
      <x:c r="I5" s="100" t="n">
        <x:v>250</x:v>
      </x:c>
      <x:c r="J5" s="100" t="n">
        <x:v>-0.224</x:v>
      </x:c>
      <x:c r="K5" s="100" t="n">
        <x:v>-0.2323917735429593</x:v>
      </x:c>
      <x:c r="L5" s="100" t="n">
        <x:v>0.008391773542959252</x:v>
      </x:c>
      <x:c r="M5" s="100" t="n">
        <x:v>-56</x:v>
      </x:c>
      <x:c r="N5" s="100" t="n">
        <x:v>0.9564326889961192</x:v>
      </x:c>
      <x:c r="O5" s="101" t="b">
        <x:v>1</x:v>
      </x:c>
      <x:c r="P5" t="str">
        <x:v>/Users/jvidale/Documents/Research/FaultScanR/output/20260722_181326_2487/CI_40353552</x:v>
      </x:c>
    </x:row>
    <x:row r="6">
      <x:c r="A6" t="str">
        <x:v>CI_40353552</x:v>
      </x:c>
      <x:c r="B6" s="99" t="str">
        <x:v>00040</x:v>
      </x:c>
      <x:c r="C6" t="str">
        <x:v>Z</x:v>
      </x:c>
      <x:c r="D6" t="str">
        <x:v>R</x:v>
      </x:c>
      <x:c r="E6" t="str">
        <x:v>time shift</x:v>
      </x:c>
      <x:c r="F6" t="str">
        <x:v>S</x:v>
      </x:c>
      <x:c r="G6" s="100" t="n">
        <x:v>3</x:v>
      </x:c>
      <x:c r="H6" s="100" t="n">
        <x:v>10</x:v>
      </x:c>
      <x:c r="I6" s="100" t="n">
        <x:v>250</x:v>
      </x:c>
      <x:c r="J6" s="100" t="n">
        <x:v>-0.208</x:v>
      </x:c>
      <x:c r="K6" s="100" t="n">
        <x:v>-0.2226258271537462</x:v>
      </x:c>
      <x:c r="L6" s="100" t="n">
        <x:v>0.01462582715374625</x:v>
      </x:c>
      <x:c r="M6" s="100" t="n">
        <x:v>-52</x:v>
      </x:c>
      <x:c r="N6" s="100" t="n">
        <x:v>0.8509704834785872</x:v>
      </x:c>
      <x:c r="O6" s="101" t="b">
        <x:v>1</x:v>
      </x:c>
      <x:c r="P6" t="str">
        <x:v>/Users/jvidale/Documents/Research/FaultScanR/output/20260722_181326_2487/CI_40353552</x:v>
      </x:c>
    </x:row>
    <x:row r="7">
      <x:c r="A7" t="str">
        <x:v>CI_40353552</x:v>
      </x:c>
      <x:c r="B7" s="99" t="str">
        <x:v>00041</x:v>
      </x:c>
      <x:c r="C7" t="str">
        <x:v>Z</x:v>
      </x:c>
      <x:c r="D7" t="str">
        <x:v>R</x:v>
      </x:c>
      <x:c r="E7" t="str">
        <x:v>time shift</x:v>
      </x:c>
      <x:c r="F7" t="str">
        <x:v>S</x:v>
      </x:c>
      <x:c r="G7" s="100" t="n">
        <x:v>3</x:v>
      </x:c>
      <x:c r="H7" s="100" t="n">
        <x:v>10</x:v>
      </x:c>
      <x:c r="I7" s="100" t="n">
        <x:v>250</x:v>
      </x:c>
      <x:c r="J7" s="100" t="n">
        <x:v>-0.196</x:v>
      </x:c>
      <x:c r="K7" s="100" t="n">
        <x:v>-0.2145710447839084</x:v>
      </x:c>
      <x:c r="L7" s="100" t="n">
        <x:v>0.01857104478390842</x:v>
      </x:c>
      <x:c r="M7" s="100" t="n">
        <x:v>-49</x:v>
      </x:c>
      <x:c r="N7" s="100" t="n">
        <x:v>0.9200951889905348</x:v>
      </x:c>
      <x:c r="O7" s="101" t="b">
        <x:v>1</x:v>
      </x:c>
      <x:c r="P7" t="str">
        <x:v>/Users/jvidale/Documents/Research/FaultScanR/output/20260722_181326_2487/CI_40353552</x:v>
      </x:c>
    </x:row>
    <x:row r="8">
      <x:c r="A8" t="str">
        <x:v>CI_40353552</x:v>
      </x:c>
      <x:c r="B8" s="99" t="str">
        <x:v>00042</x:v>
      </x:c>
      <x:c r="C8" t="str">
        <x:v>Z</x:v>
      </x:c>
      <x:c r="D8" t="str">
        <x:v>R</x:v>
      </x:c>
      <x:c r="E8" t="str">
        <x:v>time shift</x:v>
      </x:c>
      <x:c r="F8" t="str">
        <x:v>S</x:v>
      </x:c>
      <x:c r="G8" s="100" t="n">
        <x:v>3</x:v>
      </x:c>
      <x:c r="H8" s="100" t="n">
        <x:v>10</x:v>
      </x:c>
      <x:c r="I8" s="100" t="n">
        <x:v>250</x:v>
      </x:c>
      <x:c r="J8" s="100" t="n">
        <x:v>-0.22</x:v>
      </x:c>
      <x:c r="K8" s="100" t="n">
        <x:v>-0.2048751343477386</x:v>
      </x:c>
      <x:c r="L8" s="100" t="n">
        <x:v>-0.01512486565226137</x:v>
      </x:c>
      <x:c r="M8" s="100" t="n">
        <x:v>-55</x:v>
      </x:c>
      <x:c r="N8" s="100" t="n">
        <x:v>0.8979552505750015</x:v>
      </x:c>
      <x:c r="O8" s="101" t="b">
        <x:v>1</x:v>
      </x:c>
      <x:c r="P8" t="str">
        <x:v>/Users/jvidale/Documents/Research/FaultScanR/output/20260722_181326_2487/CI_40353552</x:v>
      </x:c>
    </x:row>
    <x:row r="9">
      <x:c r="A9" t="str">
        <x:v>CI_40353552</x:v>
      </x:c>
      <x:c r="B9" s="99" t="str">
        <x:v>00043</x:v>
      </x:c>
      <x:c r="C9" t="str">
        <x:v>Z</x:v>
      </x:c>
      <x:c r="D9" t="str">
        <x:v>R</x:v>
      </x:c>
      <x:c r="E9" t="str">
        <x:v>time shift</x:v>
      </x:c>
      <x:c r="F9" t="str">
        <x:v>S</x:v>
      </x:c>
      <x:c r="G9" s="100" t="n">
        <x:v>3</x:v>
      </x:c>
      <x:c r="H9" s="100" t="n">
        <x:v>10</x:v>
      </x:c>
      <x:c r="I9" s="100" t="n">
        <x:v>250</x:v>
      </x:c>
      <x:c r="J9" s="100" t="n">
        <x:v>-0.192</x:v>
      </x:c>
      <x:c r="K9" s="100" t="n">
        <x:v>-0.1963559918104218</x:v>
      </x:c>
      <x:c r="L9" s="100" t="n">
        <x:v>0.004355991810421844</x:v>
      </x:c>
      <x:c r="M9" s="100" t="n">
        <x:v>-48</x:v>
      </x:c>
      <x:c r="N9" s="100" t="n">
        <x:v>0.5072732863961511</x:v>
      </x:c>
      <x:c r="O9" s="101" t="b">
        <x:v>0</x:v>
      </x:c>
      <x:c r="P9" t="str">
        <x:v>/Users/jvidale/Documents/Research/FaultScanR/output/20260722_181326_2487/CI_40353552</x:v>
      </x:c>
    </x:row>
    <x:row r="10">
      <x:c r="A10" t="str">
        <x:v>CI_40353552</x:v>
      </x:c>
      <x:c r="B10" s="99" t="str">
        <x:v>00044</x:v>
      </x:c>
      <x:c r="C10" t="str">
        <x:v>Z</x:v>
      </x:c>
      <x:c r="D10" t="str">
        <x:v>R</x:v>
      </x:c>
      <x:c r="E10" t="str">
        <x:v>time shift</x:v>
      </x:c>
      <x:c r="F10" t="str">
        <x:v>S</x:v>
      </x:c>
      <x:c r="G10" s="100" t="n">
        <x:v>3</x:v>
      </x:c>
      <x:c r="H10" s="100" t="n">
        <x:v>10</x:v>
      </x:c>
      <x:c r="I10" s="100" t="n">
        <x:v>250</x:v>
      </x:c>
      <x:c r="J10" s="100" t="n">
        <x:v>-0.164</x:v>
      </x:c>
      <x:c r="K10" s="100" t="n">
        <x:v>-0.1867634635137048</x:v>
      </x:c>
      <x:c r="L10" s="100" t="n">
        <x:v>0.02276346351370476</x:v>
      </x:c>
      <x:c r="M10" s="100" t="n">
        <x:v>-41</x:v>
      </x:c>
      <x:c r="N10" s="100" t="n">
        <x:v>0.8081162935489389</x:v>
      </x:c>
      <x:c r="O10" s="101" t="b">
        <x:v>1</x:v>
      </x:c>
      <x:c r="P10" t="str">
        <x:v>/Users/jvidale/Documents/Research/FaultScanR/output/20260722_181326_2487/CI_40353552</x:v>
      </x:c>
    </x:row>
    <x:row r="11">
      <x:c r="A11" t="str">
        <x:v>CI_40353552</x:v>
      </x:c>
      <x:c r="B11" s="99" t="str">
        <x:v>00045</x:v>
      </x:c>
      <x:c r="C11" t="str">
        <x:v>Z</x:v>
      </x:c>
      <x:c r="D11" t="str">
        <x:v>R</x:v>
      </x:c>
      <x:c r="E11" t="str">
        <x:v>time shift</x:v>
      </x:c>
      <x:c r="F11" t="str">
        <x:v>S</x:v>
      </x:c>
      <x:c r="G11" s="100" t="n">
        <x:v>3</x:v>
      </x:c>
      <x:c r="H11" s="100" t="n">
        <x:v>10</x:v>
      </x:c>
      <x:c r="I11" s="100" t="n">
        <x:v>250</x:v>
      </x:c>
      <x:c r="J11" s="100" t="n">
        <x:v>-0.128</x:v>
      </x:c>
      <x:c r="K11" s="100" t="n">
        <x:v>-0.1779042567380795</x:v>
      </x:c>
      <x:c r="L11" s="100" t="n">
        <x:v>0.04990425673807952</x:v>
      </x:c>
      <x:c r="M11" s="100" t="n">
        <x:v>-32</x:v>
      </x:c>
      <x:c r="N11" s="100" t="n">
        <x:v>0.6056292596058331</x:v>
      </x:c>
      <x:c r="O11" s="101" t="b">
        <x:v>1</x:v>
      </x:c>
      <x:c r="P11" t="str">
        <x:v>/Users/jvidale/Documents/Research/FaultScanR/output/20260722_181326_2487/CI_40353552</x:v>
      </x:c>
    </x:row>
    <x:row r="12">
      <x:c r="A12" t="str">
        <x:v>CI_40353552</x:v>
      </x:c>
      <x:c r="B12" s="99" t="str">
        <x:v>00046</x:v>
      </x:c>
      <x:c r="C12" t="str">
        <x:v>Z</x:v>
      </x:c>
      <x:c r="D12" t="str">
        <x:v>R</x:v>
      </x:c>
      <x:c r="E12" t="str">
        <x:v>time shift</x:v>
      </x:c>
      <x:c r="F12" t="str">
        <x:v>S</x:v>
      </x:c>
      <x:c r="G12" s="100" t="n">
        <x:v>3</x:v>
      </x:c>
      <x:c r="H12" s="100" t="n">
        <x:v>10</x:v>
      </x:c>
      <x:c r="I12" s="100" t="n">
        <x:v>250</x:v>
      </x:c>
      <x:c r="J12" s="100" t="n">
        <x:v>-0.124</x:v>
      </x:c>
      <x:c r="K12" s="100" t="n">
        <x:v>-0.1704831248803433</x:v>
      </x:c>
      <x:c r="L12" s="100" t="n">
        <x:v>0.04648312488034334</x:v>
      </x:c>
      <x:c r="M12" s="100" t="n">
        <x:v>-31</x:v>
      </x:c>
      <x:c r="N12" s="100" t="n">
        <x:v>0.6599900630375625</x:v>
      </x:c>
      <x:c r="O12" s="101" t="b">
        <x:v>1</x:v>
      </x:c>
      <x:c r="P12" t="str">
        <x:v>/Users/jvidale/Documents/Research/FaultScanR/output/20260722_181326_2487/CI_40353552</x:v>
      </x:c>
    </x:row>
    <x:row r="13">
      <x:c r="A13" t="str">
        <x:v>CI_40353552</x:v>
      </x:c>
      <x:c r="B13" s="99" t="str">
        <x:v>00047</x:v>
      </x:c>
      <x:c r="C13" t="str">
        <x:v>Z</x:v>
      </x:c>
      <x:c r="D13" t="str">
        <x:v>R</x:v>
      </x:c>
      <x:c r="E13" t="str">
        <x:v>time shift</x:v>
      </x:c>
      <x:c r="F13" t="str">
        <x:v>S</x:v>
      </x:c>
      <x:c r="G13" s="100" t="n">
        <x:v>3</x:v>
      </x:c>
      <x:c r="H13" s="100" t="n">
        <x:v>10</x:v>
      </x:c>
      <x:c r="I13" s="100" t="n">
        <x:v>250</x:v>
      </x:c>
      <x:c r="J13" s="100" t="n">
        <x:v>-0.112</x:v>
      </x:c>
      <x:c r="K13" s="100" t="n">
        <x:v>-0.1614565730369311</x:v>
      </x:c>
      <x:c r="L13" s="100" t="n">
        <x:v>0.04945657303693106</x:v>
      </x:c>
      <x:c r="M13" s="100" t="n">
        <x:v>-28</x:v>
      </x:c>
      <x:c r="N13" s="100" t="n">
        <x:v>0.934557474160122</x:v>
      </x:c>
      <x:c r="O13" s="101" t="b">
        <x:v>1</x:v>
      </x:c>
      <x:c r="P13" t="str">
        <x:v>/Users/jvidale/Documents/Research/FaultScanR/output/20260722_181326_2487/CI_40353552</x:v>
      </x:c>
    </x:row>
    <x:row r="14">
      <x:c r="A14" t="str">
        <x:v>CI_40353552</x:v>
      </x:c>
      <x:c r="B14" s="99" t="str">
        <x:v>00048</x:v>
      </x:c>
      <x:c r="C14" t="str">
        <x:v>Z</x:v>
      </x:c>
      <x:c r="D14" t="str">
        <x:v>R</x:v>
      </x:c>
      <x:c r="E14" t="str">
        <x:v>time shift</x:v>
      </x:c>
      <x:c r="F14" t="str">
        <x:v>S</x:v>
      </x:c>
      <x:c r="G14" s="100" t="n">
        <x:v>3</x:v>
      </x:c>
      <x:c r="H14" s="100" t="n">
        <x:v>10</x:v>
      </x:c>
      <x:c r="I14" s="100" t="n">
        <x:v>250</x:v>
      </x:c>
      <x:c r="J14" s="100" t="n">
        <x:v>-0.104</x:v>
      </x:c>
      <x:c r="K14" s="100" t="n">
        <x:v>-0.1515881058909381</x:v>
      </x:c>
      <x:c r="L14" s="100" t="n">
        <x:v>0.04758810589093808</x:v>
      </x:c>
      <x:c r="M14" s="100" t="n">
        <x:v>-26</x:v>
      </x:c>
      <x:c r="N14" s="100" t="n">
        <x:v>0.8330986742982996</x:v>
      </x:c>
      <x:c r="O14" s="101" t="b">
        <x:v>1</x:v>
      </x:c>
      <x:c r="P14" t="str">
        <x:v>/Users/jvidale/Documents/Research/FaultScanR/output/20260722_181326_2487/CI_40353552</x:v>
      </x:c>
    </x:row>
    <x:row r="15">
      <x:c r="A15" t="str">
        <x:v>CI_40353552</x:v>
      </x:c>
      <x:c r="B15" s="99" t="str">
        <x:v>00049</x:v>
      </x:c>
      <x:c r="C15" t="str">
        <x:v>Z</x:v>
      </x:c>
      <x:c r="D15" t="str">
        <x:v>R</x:v>
      </x:c>
      <x:c r="E15" t="str">
        <x:v>time shift</x:v>
      </x:c>
      <x:c r="F15" t="str">
        <x:v>S</x:v>
      </x:c>
      <x:c r="G15" s="100" t="n">
        <x:v>3</x:v>
      </x:c>
      <x:c r="H15" s="100" t="n">
        <x:v>10</x:v>
      </x:c>
      <x:c r="I15" s="100" t="n">
        <x:v>250</x:v>
      </x:c>
      <x:c r="J15" s="100" t="n">
        <x:v>-0.196</x:v>
      </x:c>
      <x:c r="K15" s="100" t="n">
        <x:v>-0.2326120365545421</x:v>
      </x:c>
      <x:c r="L15" s="100" t="n">
        <x:v>0.03661203655454209</x:v>
      </x:c>
      <x:c r="M15" s="100" t="n">
        <x:v>-49</x:v>
      </x:c>
      <x:c r="N15" s="100" t="n">
        <x:v>0.5216922914619082</x:v>
      </x:c>
      <x:c r="O15" s="101" t="b">
        <x:v>0</x:v>
      </x:c>
      <x:c r="P15" t="str">
        <x:v>/Users/jvidale/Documents/Research/FaultScanR/output/20260722_181326_2487/CI_40353552</x:v>
      </x:c>
    </x:row>
    <x:row r="16">
      <x:c r="A16" t="str">
        <x:v>CI_40353552</x:v>
      </x:c>
      <x:c r="B16" s="99" t="str">
        <x:v>00051</x:v>
      </x:c>
      <x:c r="C16" t="str">
        <x:v>Z</x:v>
      </x:c>
      <x:c r="D16" t="str">
        <x:v>R</x:v>
      </x:c>
      <x:c r="E16" t="str">
        <x:v>time shift</x:v>
      </x:c>
      <x:c r="F16" t="str">
        <x:v>S</x:v>
      </x:c>
      <x:c r="G16" s="100" t="n">
        <x:v>3</x:v>
      </x:c>
      <x:c r="H16" s="100" t="n">
        <x:v>10</x:v>
      </x:c>
      <x:c r="I16" s="100" t="n">
        <x:v>250</x:v>
      </x:c>
      <x:c r="J16" s="100" t="n">
        <x:v>-0.212</x:v>
      </x:c>
      <x:c r="K16" s="100" t="n">
        <x:v>-0.2171705239581012</x:v>
      </x:c>
      <x:c r="L16" s="100" t="n">
        <x:v>0.00517052395810122</x:v>
      </x:c>
      <x:c r="M16" s="100" t="n">
        <x:v>-53</x:v>
      </x:c>
      <x:c r="N16" s="100" t="n">
        <x:v>0.9920141560348341</x:v>
      </x:c>
      <x:c r="O16" s="101" t="b">
        <x:v>1</x:v>
      </x:c>
      <x:c r="P16" t="str">
        <x:v>/Users/jvidale/Documents/Research/FaultScanR/output/20260722_181326_2487/CI_40353552</x:v>
      </x:c>
    </x:row>
    <x:row r="17">
      <x:c r="A17" t="str">
        <x:v>CI_40353552</x:v>
      </x:c>
      <x:c r="B17" s="99" t="str">
        <x:v>00052</x:v>
      </x:c>
      <x:c r="C17" t="str">
        <x:v>Z</x:v>
      </x:c>
      <x:c r="D17" t="str">
        <x:v>R</x:v>
      </x:c>
      <x:c r="E17" t="str">
        <x:v>time shift</x:v>
      </x:c>
      <x:c r="F17" t="str">
        <x:v>S</x:v>
      </x:c>
      <x:c r="G17" s="100" t="n">
        <x:v>3</x:v>
      </x:c>
      <x:c r="H17" s="100" t="n">
        <x:v>10</x:v>
      </x:c>
      <x:c r="I17" s="100" t="n">
        <x:v>250</x:v>
      </x:c>
      <x:c r="J17" s="100" t="n">
        <x:v>-0.192</x:v>
      </x:c>
      <x:c r="K17" s="100" t="n">
        <x:v>-0.2077253865444169</x:v>
      </x:c>
      <x:c r="L17" s="100" t="n">
        <x:v>0.01572538654441685</x:v>
      </x:c>
      <x:c r="M17" s="100" t="n">
        <x:v>-48</x:v>
      </x:c>
      <x:c r="N17" s="100" t="n">
        <x:v>0.9369416838193019</x:v>
      </x:c>
      <x:c r="O17" s="101" t="b">
        <x:v>1</x:v>
      </x:c>
      <x:c r="P17" t="str">
        <x:v>/Users/jvidale/Documents/Research/FaultScanR/output/20260722_181326_2487/CI_40353552</x:v>
      </x:c>
    </x:row>
    <x:row r="18">
      <x:c r="A18" t="str">
        <x:v>CI_40353552</x:v>
      </x:c>
      <x:c r="B18" s="99" t="str">
        <x:v>00053</x:v>
      </x:c>
      <x:c r="C18" t="str">
        <x:v>Z</x:v>
      </x:c>
      <x:c r="D18" t="str">
        <x:v>R</x:v>
      </x:c>
      <x:c r="E18" t="str">
        <x:v>time shift</x:v>
      </x:c>
      <x:c r="F18" t="str">
        <x:v>S</x:v>
      </x:c>
      <x:c r="G18" s="100" t="n">
        <x:v>3</x:v>
      </x:c>
      <x:c r="H18" s="100" t="n">
        <x:v>10</x:v>
      </x:c>
      <x:c r="I18" s="100" t="n">
        <x:v>250</x:v>
      </x:c>
      <x:c r="J18" s="100" t="n">
        <x:v>-0.192</x:v>
      </x:c>
      <x:c r="K18" s="100" t="n">
        <x:v>-0.1988345834662582</x:v>
      </x:c>
      <x:c r="L18" s="100" t="n">
        <x:v>0.006834583466258148</x:v>
      </x:c>
      <x:c r="M18" s="100" t="n">
        <x:v>-48</x:v>
      </x:c>
      <x:c r="N18" s="100" t="n">
        <x:v>0.8727252965273906</x:v>
      </x:c>
      <x:c r="O18" s="101" t="b">
        <x:v>1</x:v>
      </x:c>
      <x:c r="P18" t="str">
        <x:v>/Users/jvidale/Documents/Research/FaultScanR/output/20260722_181326_2487/CI_40353552</x:v>
      </x:c>
    </x:row>
    <x:row r="19">
      <x:c r="A19" t="str">
        <x:v>CI_40353552</x:v>
      </x:c>
      <x:c r="B19" s="99" t="str">
        <x:v>00054</x:v>
      </x:c>
      <x:c r="C19" t="str">
        <x:v>Z</x:v>
      </x:c>
      <x:c r="D19" t="str">
        <x:v>R</x:v>
      </x:c>
      <x:c r="E19" t="str">
        <x:v>time shift</x:v>
      </x:c>
      <x:c r="F19" t="str">
        <x:v>S</x:v>
      </x:c>
      <x:c r="G19" s="100" t="n">
        <x:v>3</x:v>
      </x:c>
      <x:c r="H19" s="100" t="n">
        <x:v>10</x:v>
      </x:c>
      <x:c r="I19" s="100" t="n">
        <x:v>250</x:v>
      </x:c>
      <x:c r="J19" s="100" t="n">
        <x:v>-0.176</x:v>
      </x:c>
      <x:c r="K19" s="100" t="n">
        <x:v>-0.1908206983690199</x:v>
      </x:c>
      <x:c r="L19" s="100" t="n">
        <x:v>0.01482069836901995</x:v>
      </x:c>
      <x:c r="M19" s="100" t="n">
        <x:v>-44</x:v>
      </x:c>
      <x:c r="N19" s="100" t="n">
        <x:v>0.7438896426520829</x:v>
      </x:c>
      <x:c r="O19" s="101" t="b">
        <x:v>1</x:v>
      </x:c>
      <x:c r="P19" t="str">
        <x:v>/Users/jvidale/Documents/Research/FaultScanR/output/20260722_181326_2487/CI_40353552</x:v>
      </x:c>
    </x:row>
    <x:row r="20">
      <x:c r="A20" t="str">
        <x:v>CI_40353552</x:v>
      </x:c>
      <x:c r="B20" s="99" t="str">
        <x:v>00055</x:v>
      </x:c>
      <x:c r="C20" t="str">
        <x:v>Z</x:v>
      </x:c>
      <x:c r="D20" t="str">
        <x:v>R</x:v>
      </x:c>
      <x:c r="E20" t="str">
        <x:v>time shift</x:v>
      </x:c>
      <x:c r="F20" t="str">
        <x:v>S</x:v>
      </x:c>
      <x:c r="G20" s="100" t="n">
        <x:v>3</x:v>
      </x:c>
      <x:c r="H20" s="100" t="n">
        <x:v>10</x:v>
      </x:c>
      <x:c r="I20" s="100" t="n">
        <x:v>250</x:v>
      </x:c>
      <x:c r="J20" s="100" t="n">
        <x:v>-0.232</x:v>
      </x:c>
      <x:c r="K20" s="100" t="n">
        <x:v>-0.1821607926426791</x:v>
      </x:c>
      <x:c r="L20" s="100" t="n">
        <x:v>-0.04983920735732086</x:v>
      </x:c>
      <x:c r="M20" s="100" t="n">
        <x:v>-58</x:v>
      </x:c>
      <x:c r="N20" s="100" t="n">
        <x:v>0.8423567332750449</x:v>
      </x:c>
      <x:c r="O20" s="101" t="b">
        <x:v>1</x:v>
      </x:c>
      <x:c r="P20" t="str">
        <x:v>/Users/jvidale/Documents/Research/FaultScanR/output/20260722_181326_2487/CI_40353552</x:v>
      </x:c>
    </x:row>
    <x:row r="21">
      <x:c r="A21" t="str">
        <x:v>CI_40353552</x:v>
      </x:c>
      <x:c r="B21" s="99" t="str">
        <x:v>00056</x:v>
      </x:c>
      <x:c r="C21" t="str">
        <x:v>Z</x:v>
      </x:c>
      <x:c r="D21" t="str">
        <x:v>R</x:v>
      </x:c>
      <x:c r="E21" t="str">
        <x:v>time shift</x:v>
      </x:c>
      <x:c r="F21" t="str">
        <x:v>S</x:v>
      </x:c>
      <x:c r="G21" s="100" t="n">
        <x:v>3</x:v>
      </x:c>
      <x:c r="H21" s="100" t="n">
        <x:v>10</x:v>
      </x:c>
      <x:c r="I21" s="100" t="n">
        <x:v>250</x:v>
      </x:c>
      <x:c r="J21" s="100" t="n">
        <x:v>-0.164</x:v>
      </x:c>
      <x:c r="K21" s="100" t="n">
        <x:v>-0.1745433217003178</x:v>
      </x:c>
      <x:c r="L21" s="100" t="n">
        <x:v>0.01054332170031783</x:v>
      </x:c>
      <x:c r="M21" s="100" t="n">
        <x:v>-41</x:v>
      </x:c>
      <x:c r="N21" s="100" t="n">
        <x:v>0.8172719654827975</x:v>
      </x:c>
      <x:c r="O21" s="101" t="b">
        <x:v>1</x:v>
      </x:c>
      <x:c r="P21" t="str">
        <x:v>/Users/jvidale/Documents/Research/FaultScanR/output/20260722_181326_2487/CI_40353552</x:v>
      </x:c>
    </x:row>
    <x:row r="22">
      <x:c r="A22" t="str">
        <x:v>CI_40353552</x:v>
      </x:c>
      <x:c r="B22" s="99" t="str">
        <x:v>00057</x:v>
      </x:c>
      <x:c r="C22" t="str">
        <x:v>Z</x:v>
      </x:c>
      <x:c r="D22" t="str">
        <x:v>R</x:v>
      </x:c>
      <x:c r="E22" t="str">
        <x:v>time shift</x:v>
      </x:c>
      <x:c r="F22" t="str">
        <x:v>S</x:v>
      </x:c>
      <x:c r="G22" s="100" t="n">
        <x:v>3</x:v>
      </x:c>
      <x:c r="H22" s="100" t="n">
        <x:v>10</x:v>
      </x:c>
      <x:c r="I22" s="100" t="n">
        <x:v>250</x:v>
      </x:c>
      <x:c r="J22" s="100" t="n">
        <x:v>-0.216</x:v>
      </x:c>
      <x:c r="K22" s="100" t="n">
        <x:v>-0.1667519419835424</x:v>
      </x:c>
      <x:c r="L22" s="100" t="n">
        <x:v>-0.04924805801645762</x:v>
      </x:c>
      <x:c r="M22" s="100" t="n">
        <x:v>-54</x:v>
      </x:c>
      <x:c r="N22" s="100" t="n">
        <x:v>0.6821532916534747</x:v>
      </x:c>
      <x:c r="O22" s="101" t="b">
        <x:v>1</x:v>
      </x:c>
      <x:c r="P22" t="str">
        <x:v>/Users/jvidale/Documents/Research/FaultScanR/output/20260722_181326_2487/CI_40353552</x:v>
      </x:c>
    </x:row>
    <x:row r="23">
      <x:c r="A23" t="str">
        <x:v>CI_40353552</x:v>
      </x:c>
      <x:c r="B23" s="99" t="str">
        <x:v>00059</x:v>
      </x:c>
      <x:c r="C23" t="str">
        <x:v>Z</x:v>
      </x:c>
      <x:c r="D23" t="str">
        <x:v>R</x:v>
      </x:c>
      <x:c r="E23" t="str">
        <x:v>time shift</x:v>
      </x:c>
      <x:c r="F23" t="str">
        <x:v>S</x:v>
      </x:c>
      <x:c r="G23" s="100" t="n">
        <x:v>3</x:v>
      </x:c>
      <x:c r="H23" s="100" t="n">
        <x:v>10</x:v>
      </x:c>
      <x:c r="I23" s="100" t="n">
        <x:v>250</x:v>
      </x:c>
      <x:c r="J23" s="100" t="n">
        <x:v>-0.12</x:v>
      </x:c>
      <x:c r="K23" s="100" t="n">
        <x:v>-0.1472835305741347</x:v>
      </x:c>
      <x:c r="L23" s="100" t="n">
        <x:v>0.02728353057413468</x:v>
      </x:c>
      <x:c r="M23" s="100" t="n">
        <x:v>-30</x:v>
      </x:c>
      <x:c r="N23" s="100" t="n">
        <x:v>0.7547926273978346</x:v>
      </x:c>
      <x:c r="O23" s="101" t="b">
        <x:v>1</x:v>
      </x:c>
      <x:c r="P23" t="str">
        <x:v>/Users/jvidale/Documents/Research/FaultScanR/output/20260722_181326_2487/CI_40353552</x:v>
      </x:c>
    </x:row>
    <x:row r="24">
      <x:c r="A24" t="str">
        <x:v>CI_40353552</x:v>
      </x:c>
      <x:c r="B24" s="99" t="str">
        <x:v>00060</x:v>
      </x:c>
      <x:c r="C24" t="str">
        <x:v>Z</x:v>
      </x:c>
      <x:c r="D24" t="str">
        <x:v>R</x:v>
      </x:c>
      <x:c r="E24" t="str">
        <x:v>time shift</x:v>
      </x:c>
      <x:c r="F24" t="str">
        <x:v>S</x:v>
      </x:c>
      <x:c r="G24" s="100" t="n">
        <x:v>3</x:v>
      </x:c>
      <x:c r="H24" s="100" t="n">
        <x:v>10</x:v>
      </x:c>
      <x:c r="I24" s="100" t="n">
        <x:v>250</x:v>
      </x:c>
      <x:c r="J24" s="100" t="n">
        <x:v>-0.1</x:v>
      </x:c>
      <x:c r="K24" s="100" t="n">
        <x:v>-0.139917475762152</x:v>
      </x:c>
      <x:c r="L24" s="100" t="n">
        <x:v>0.03991747576215196</x:v>
      </x:c>
      <x:c r="M24" s="100" t="n">
        <x:v>-25</x:v>
      </x:c>
      <x:c r="N24" s="100" t="n">
        <x:v>0.8100588981177028</x:v>
      </x:c>
      <x:c r="O24" s="101" t="b">
        <x:v>1</x:v>
      </x:c>
      <x:c r="P24" t="str">
        <x:v>/Users/jvidale/Documents/Research/FaultScanR/output/20260722_181326_2487/CI_40353552</x:v>
      </x:c>
    </x:row>
    <x:row r="25">
      <x:c r="A25" t="str">
        <x:v>CI_40353552</x:v>
      </x:c>
      <x:c r="B25" s="99" t="str">
        <x:v>00061</x:v>
      </x:c>
      <x:c r="C25" t="str">
        <x:v>Z</x:v>
      </x:c>
      <x:c r="D25" t="str">
        <x:v>R</x:v>
      </x:c>
      <x:c r="E25" t="str">
        <x:v>time shift</x:v>
      </x:c>
      <x:c r="F25" t="str">
        <x:v>S</x:v>
      </x:c>
      <x:c r="G25" s="100" t="n">
        <x:v>3</x:v>
      </x:c>
      <x:c r="H25" s="100" t="n">
        <x:v>10</x:v>
      </x:c>
      <x:c r="I25" s="100" t="n">
        <x:v>250</x:v>
      </x:c>
      <x:c r="J25" s="100" t="n">
        <x:v>-0.08</x:v>
      </x:c>
      <x:c r="K25" s="100" t="n">
        <x:v>-0.1295858276891231</x:v>
      </x:c>
      <x:c r="L25" s="100" t="n">
        <x:v>0.04958582768912308</x:v>
      </x:c>
      <x:c r="M25" s="100" t="n">
        <x:v>-20</x:v>
      </x:c>
      <x:c r="N25" s="100" t="n">
        <x:v>0.8746077931722798</x:v>
      </x:c>
      <x:c r="O25" s="101" t="b">
        <x:v>1</x:v>
      </x:c>
      <x:c r="P25" t="str">
        <x:v>/Users/jvidale/Documents/Research/FaultScanR/output/20260722_181326_2487/CI_40353552</x:v>
      </x:c>
    </x:row>
    <x:row r="26">
      <x:c r="A26" t="str">
        <x:v>CI_40353552</x:v>
      </x:c>
      <x:c r="B26" s="99" t="str">
        <x:v>00062</x:v>
      </x:c>
      <x:c r="C26" t="str">
        <x:v>Z</x:v>
      </x:c>
      <x:c r="D26" t="str">
        <x:v>R</x:v>
      </x:c>
      <x:c r="E26" t="str">
        <x:v>time shift</x:v>
      </x:c>
      <x:c r="F26" t="str">
        <x:v>S</x:v>
      </x:c>
      <x:c r="G26" s="100" t="n">
        <x:v>3</x:v>
      </x:c>
      <x:c r="H26" s="100" t="n">
        <x:v>10</x:v>
      </x:c>
      <x:c r="I26" s="100" t="n">
        <x:v>250</x:v>
      </x:c>
      <x:c r="J26" s="100" t="n">
        <x:v>-0.068</x:v>
      </x:c>
      <x:c r="K26" s="100" t="n">
        <x:v>-0.1174616666257355</x:v>
      </x:c>
      <x:c r="L26" s="100" t="n">
        <x:v>0.04946166662573553</x:v>
      </x:c>
      <x:c r="M26" s="100" t="n">
        <x:v>-17</x:v>
      </x:c>
      <x:c r="N26" s="100" t="n">
        <x:v>0.7171386582230485</x:v>
      </x:c>
      <x:c r="O26" s="101" t="b">
        <x:v>1</x:v>
      </x:c>
      <x:c r="P26" t="str">
        <x:v>/Users/jvidale/Documents/Research/FaultScanR/output/20260722_181326_2487/CI_40353552</x:v>
      </x:c>
    </x:row>
    <x:row r="27">
      <x:c r="A27" t="str">
        <x:v>CI_40353552</x:v>
      </x:c>
      <x:c r="B27" s="99" t="str">
        <x:v>00063</x:v>
      </x:c>
      <x:c r="C27" t="str">
        <x:v>Z</x:v>
      </x:c>
      <x:c r="D27" t="str">
        <x:v>R</x:v>
      </x:c>
      <x:c r="E27" t="str">
        <x:v>time shift</x:v>
      </x:c>
      <x:c r="F27" t="str">
        <x:v>S</x:v>
      </x:c>
      <x:c r="G27" s="100" t="n">
        <x:v>3</x:v>
      </x:c>
      <x:c r="H27" s="100" t="n">
        <x:v>10</x:v>
      </x:c>
      <x:c r="I27" s="100" t="n">
        <x:v>250</x:v>
      </x:c>
      <x:c r="J27" s="100" t="n">
        <x:v>-0.216</x:v>
      </x:c>
      <x:c r="K27" s="100" t="n">
        <x:v>-0.2108872405586908</x:v>
      </x:c>
      <x:c r="L27" s="100" t="n">
        <x:v>-0.005112759441309206</x:v>
      </x:c>
      <x:c r="M27" s="100" t="n">
        <x:v>-54</x:v>
      </x:c>
      <x:c r="N27" s="100" t="n">
        <x:v>0.7102833866630639</x:v>
      </x:c>
      <x:c r="O27" s="101" t="b">
        <x:v>1</x:v>
      </x:c>
      <x:c r="P27" t="str">
        <x:v>/Users/jvidale/Documents/Research/FaultScanR/output/20260722_181326_2487/CI_40353552</x:v>
      </x:c>
    </x:row>
    <x:row r="28">
      <x:c r="A28" t="str">
        <x:v>CI_40353552</x:v>
      </x:c>
      <x:c r="B28" s="99" t="str">
        <x:v>00064</x:v>
      </x:c>
      <x:c r="C28" t="str">
        <x:v>Z</x:v>
      </x:c>
      <x:c r="D28" t="str">
        <x:v>R</x:v>
      </x:c>
      <x:c r="E28" t="str">
        <x:v>time shift</x:v>
      </x:c>
      <x:c r="F28" t="str">
        <x:v>S</x:v>
      </x:c>
      <x:c r="G28" s="100" t="n">
        <x:v>3</x:v>
      </x:c>
      <x:c r="H28" s="100" t="n">
        <x:v>10</x:v>
      </x:c>
      <x:c r="I28" s="100" t="n">
        <x:v>250</x:v>
      </x:c>
      <x:c r="J28" s="100" t="n">
        <x:v>-0.204</x:v>
      </x:c>
      <x:c r="K28" s="100" t="n">
        <x:v>-0.2056058112772456</x:v>
      </x:c>
      <x:c r="L28" s="100" t="n">
        <x:v>0.001605811277245656</x:v>
      </x:c>
      <x:c r="M28" s="100" t="n">
        <x:v>-51</x:v>
      </x:c>
      <x:c r="N28" s="100" t="n">
        <x:v>0.9346218847334775</x:v>
      </x:c>
      <x:c r="O28" s="101" t="b">
        <x:v>1</x:v>
      </x:c>
      <x:c r="P28" t="str">
        <x:v>/Users/jvidale/Documents/Research/FaultScanR/output/20260722_181326_2487/CI_40353552</x:v>
      </x:c>
    </x:row>
    <x:row r="29">
      <x:c r="A29" t="str">
        <x:v>CI_40353552</x:v>
      </x:c>
      <x:c r="B29" s="99" t="str">
        <x:v>00065</x:v>
      </x:c>
      <x:c r="C29" t="str">
        <x:v>Z</x:v>
      </x:c>
      <x:c r="D29" t="str">
        <x:v>R</x:v>
      </x:c>
      <x:c r="E29" t="str">
        <x:v>time shift</x:v>
      </x:c>
      <x:c r="F29" t="str">
        <x:v>S</x:v>
      </x:c>
      <x:c r="G29" s="100" t="n">
        <x:v>3</x:v>
      </x:c>
      <x:c r="H29" s="100" t="n">
        <x:v>10</x:v>
      </x:c>
      <x:c r="I29" s="100" t="n">
        <x:v>250</x:v>
      </x:c>
      <x:c r="J29" s="100" t="n">
        <x:v>-0.196</x:v>
      </x:c>
      <x:c r="K29" s="100" t="n">
        <x:v>-0.196456910248676</x:v>
      </x:c>
      <x:c r="L29" s="100" t="n">
        <x:v>0.0004569102486759458</x:v>
      </x:c>
      <x:c r="M29" s="100" t="n">
        <x:v>-49</x:v>
      </x:c>
      <x:c r="N29" s="100" t="n">
        <x:v>0.9658562162337639</x:v>
      </x:c>
      <x:c r="O29" s="101" t="b">
        <x:v>1</x:v>
      </x:c>
      <x:c r="P29" t="str">
        <x:v>/Users/jvidale/Documents/Research/FaultScanR/output/20260722_181326_2487/CI_40353552</x:v>
      </x:c>
    </x:row>
    <x:row r="30">
      <x:c r="A30" t="str">
        <x:v>CI_40353552</x:v>
      </x:c>
      <x:c r="B30" s="99" t="str">
        <x:v>00066</x:v>
      </x:c>
      <x:c r="C30" t="str">
        <x:v>Z</x:v>
      </x:c>
      <x:c r="D30" t="str">
        <x:v>R</x:v>
      </x:c>
      <x:c r="E30" t="str">
        <x:v>time shift</x:v>
      </x:c>
      <x:c r="F30" t="str">
        <x:v>S</x:v>
      </x:c>
      <x:c r="G30" s="100" t="n">
        <x:v>3</x:v>
      </x:c>
      <x:c r="H30" s="100" t="n">
        <x:v>10</x:v>
      </x:c>
      <x:c r="I30" s="100" t="n">
        <x:v>250</x:v>
      </x:c>
      <x:c r="J30" s="100" t="n">
        <x:v>-0.18</x:v>
      </x:c>
      <x:c r="K30" s="100" t="n">
        <x:v>-0.1901764640909516</x:v>
      </x:c>
      <x:c r="L30" s="100" t="n">
        <x:v>0.01017646409095158</x:v>
      </x:c>
      <x:c r="M30" s="100" t="n">
        <x:v>-45</x:v>
      </x:c>
      <x:c r="N30" s="100" t="n">
        <x:v>0.9452822536385846</x:v>
      </x:c>
      <x:c r="O30" s="101" t="b">
        <x:v>1</x:v>
      </x:c>
      <x:c r="P30" t="str">
        <x:v>/Users/jvidale/Documents/Research/FaultScanR/output/20260722_181326_2487/CI_40353552</x:v>
      </x:c>
    </x:row>
    <x:row r="31">
      <x:c r="A31" t="str">
        <x:v>CI_40353552</x:v>
      </x:c>
      <x:c r="B31" s="99" t="str">
        <x:v>00067</x:v>
      </x:c>
      <x:c r="C31" t="str">
        <x:v>Z</x:v>
      </x:c>
      <x:c r="D31" t="str">
        <x:v>R</x:v>
      </x:c>
      <x:c r="E31" t="str">
        <x:v>time shift</x:v>
      </x:c>
      <x:c r="F31" t="str">
        <x:v>S</x:v>
      </x:c>
      <x:c r="G31" s="100" t="n">
        <x:v>3</x:v>
      </x:c>
      <x:c r="H31" s="100" t="n">
        <x:v>10</x:v>
      </x:c>
      <x:c r="I31" s="100" t="n">
        <x:v>250</x:v>
      </x:c>
      <x:c r="J31" s="100" t="n">
        <x:v>-0.184</x:v>
      </x:c>
      <x:c r="K31" s="100" t="n">
        <x:v>-0.1812545781735828</x:v>
      </x:c>
      <x:c r="L31" s="100" t="n">
        <x:v>-0.002745421826417183</x:v>
      </x:c>
      <x:c r="M31" s="100" t="n">
        <x:v>-46</x:v>
      </x:c>
      <x:c r="N31" s="100" t="n">
        <x:v>0.9493360139608332</x:v>
      </x:c>
      <x:c r="O31" s="101" t="b">
        <x:v>1</x:v>
      </x:c>
      <x:c r="P31" t="str">
        <x:v>/Users/jvidale/Documents/Research/FaultScanR/output/20260722_181326_2487/CI_40353552</x:v>
      </x:c>
    </x:row>
    <x:row r="32">
      <x:c r="A32" t="str">
        <x:v>CI_40353552</x:v>
      </x:c>
      <x:c r="B32" s="99" t="str">
        <x:v>00068</x:v>
      </x:c>
      <x:c r="C32" t="str">
        <x:v>Z</x:v>
      </x:c>
      <x:c r="D32" t="str">
        <x:v>R</x:v>
      </x:c>
      <x:c r="E32" t="str">
        <x:v>time shift</x:v>
      </x:c>
      <x:c r="F32" t="str">
        <x:v>S</x:v>
      </x:c>
      <x:c r="G32" s="100" t="n">
        <x:v>3</x:v>
      </x:c>
      <x:c r="H32" s="100" t="n">
        <x:v>10</x:v>
      </x:c>
      <x:c r="I32" s="100" t="n">
        <x:v>250</x:v>
      </x:c>
      <x:c r="J32" s="100" t="n">
        <x:v>-0.132</x:v>
      </x:c>
      <x:c r="K32" s="100" t="n">
        <x:v>-0.1711688700324139</x:v>
      </x:c>
      <x:c r="L32" s="100" t="n">
        <x:v>0.03916887003241387</x:v>
      </x:c>
      <x:c r="M32" s="100" t="n">
        <x:v>-33</x:v>
      </x:c>
      <x:c r="N32" s="100" t="n">
        <x:v>0.5602860223475106</x:v>
      </x:c>
      <x:c r="O32" s="101" t="b">
        <x:v>0</x:v>
      </x:c>
      <x:c r="P32" t="str">
        <x:v>/Users/jvidale/Documents/Research/FaultScanR/output/20260722_181326_2487/CI_40353552</x:v>
      </x:c>
    </x:row>
    <x:row r="33">
      <x:c r="A33" t="str">
        <x:v>CI_40353552</x:v>
      </x:c>
      <x:c r="B33" s="99" t="str">
        <x:v>00069</x:v>
      </x:c>
      <x:c r="C33" t="str">
        <x:v>Z</x:v>
      </x:c>
      <x:c r="D33" t="str">
        <x:v>R</x:v>
      </x:c>
      <x:c r="E33" t="str">
        <x:v>time shift</x:v>
      </x:c>
      <x:c r="F33" t="str">
        <x:v>S</x:v>
      </x:c>
      <x:c r="G33" s="100" t="n">
        <x:v>3</x:v>
      </x:c>
      <x:c r="H33" s="100" t="n">
        <x:v>10</x:v>
      </x:c>
      <x:c r="I33" s="100" t="n">
        <x:v>250</x:v>
      </x:c>
      <x:c r="J33" s="100" t="n">
        <x:v>-0.144</x:v>
      </x:c>
      <x:c r="K33" s="100" t="n">
        <x:v>-0.1622202010571581</x:v>
      </x:c>
      <x:c r="L33" s="100" t="n">
        <x:v>0.01822020105715808</x:v>
      </x:c>
      <x:c r="M33" s="100" t="n">
        <x:v>-36</x:v>
      </x:c>
      <x:c r="N33" s="100" t="n">
        <x:v>0.7017110042921748</x:v>
      </x:c>
      <x:c r="O33" s="101" t="b">
        <x:v>1</x:v>
      </x:c>
      <x:c r="P33" t="str">
        <x:v>/Users/jvidale/Documents/Research/FaultScanR/output/20260722_181326_2487/CI_40353552</x:v>
      </x:c>
    </x:row>
    <x:row r="34">
      <x:c r="A34" t="str">
        <x:v>CI_40353552</x:v>
      </x:c>
      <x:c r="B34" s="99" t="str">
        <x:v>00070</x:v>
      </x:c>
      <x:c r="C34" t="str">
        <x:v>Z</x:v>
      </x:c>
      <x:c r="D34" t="str">
        <x:v>R</x:v>
      </x:c>
      <x:c r="E34" t="str">
        <x:v>time shift</x:v>
      </x:c>
      <x:c r="F34" t="str">
        <x:v>S</x:v>
      </x:c>
      <x:c r="G34" s="100" t="n">
        <x:v>3</x:v>
      </x:c>
      <x:c r="H34" s="100" t="n">
        <x:v>10</x:v>
      </x:c>
      <x:c r="I34" s="100" t="n">
        <x:v>250</x:v>
      </x:c>
      <x:c r="J34" s="100" t="n">
        <x:v>-0.14</x:v>
      </x:c>
      <x:c r="K34" s="100" t="n">
        <x:v>-0.1499139187969245</x:v>
      </x:c>
      <x:c r="L34" s="100" t="n">
        <x:v>0.009913918796924492</x:v>
      </x:c>
      <x:c r="M34" s="100" t="n">
        <x:v>-35</x:v>
      </x:c>
      <x:c r="N34" s="100" t="n">
        <x:v>0.6060904752884734</x:v>
      </x:c>
      <x:c r="O34" s="101" t="b">
        <x:v>1</x:v>
      </x:c>
      <x:c r="P34" t="str">
        <x:v>/Users/jvidale/Documents/Research/FaultScanR/output/20260722_181326_2487/CI_40353552</x:v>
      </x:c>
    </x:row>
    <x:row r="35">
      <x:c r="A35" t="str">
        <x:v>CI_40353552</x:v>
      </x:c>
      <x:c r="B35" s="99" t="str">
        <x:v>00071</x:v>
      </x:c>
      <x:c r="C35" t="str">
        <x:v>Z</x:v>
      </x:c>
      <x:c r="D35" t="str">
        <x:v>R</x:v>
      </x:c>
      <x:c r="E35" t="str">
        <x:v>time shift</x:v>
      </x:c>
      <x:c r="F35" t="str">
        <x:v>S</x:v>
      </x:c>
      <x:c r="G35" s="100" t="n">
        <x:v>3</x:v>
      </x:c>
      <x:c r="H35" s="100" t="n">
        <x:v>10</x:v>
      </x:c>
      <x:c r="I35" s="100" t="n">
        <x:v>250</x:v>
      </x:c>
      <x:c r="J35" s="100" t="n">
        <x:v>-0.1</x:v>
      </x:c>
      <x:c r="K35" s="100" t="n">
        <x:v>-0.1435181995331849</x:v>
      </x:c>
      <x:c r="L35" s="100" t="n">
        <x:v>0.04351819953318489</x:v>
      </x:c>
      <x:c r="M35" s="100" t="n">
        <x:v>-25</x:v>
      </x:c>
      <x:c r="N35" s="100" t="n">
        <x:v>0.7794099106248624</x:v>
      </x:c>
      <x:c r="O35" s="101" t="b">
        <x:v>1</x:v>
      </x:c>
      <x:c r="P35" t="str">
        <x:v>/Users/jvidale/Documents/Research/FaultScanR/output/20260722_181326_2487/CI_40353552</x:v>
      </x:c>
    </x:row>
    <x:row r="36">
      <x:c r="A36" t="str">
        <x:v>CI_40353552</x:v>
      </x:c>
      <x:c r="B36" s="99" t="str">
        <x:v>00072</x:v>
      </x:c>
      <x:c r="C36" t="str">
        <x:v>Z</x:v>
      </x:c>
      <x:c r="D36" t="str">
        <x:v>R</x:v>
      </x:c>
      <x:c r="E36" t="str">
        <x:v>time shift</x:v>
      </x:c>
      <x:c r="F36" t="str">
        <x:v>S</x:v>
      </x:c>
      <x:c r="G36" s="100" t="n">
        <x:v>3</x:v>
      </x:c>
      <x:c r="H36" s="100" t="n">
        <x:v>10</x:v>
      </x:c>
      <x:c r="I36" s="100" t="n">
        <x:v>250</x:v>
      </x:c>
      <x:c r="J36" s="100" t="n">
        <x:v>-0.112</x:v>
      </x:c>
      <x:c r="K36" s="100" t="n">
        <x:v>-0.1336736855280245</x:v>
      </x:c>
      <x:c r="L36" s="100" t="n">
        <x:v>0.0216736855280245</x:v>
      </x:c>
      <x:c r="M36" s="100" t="n">
        <x:v>-28</x:v>
      </x:c>
      <x:c r="N36" s="100" t="n">
        <x:v>0.9282737256663888</x:v>
      </x:c>
      <x:c r="O36" s="101" t="b">
        <x:v>1</x:v>
      </x:c>
      <x:c r="P36" t="str">
        <x:v>/Users/jvidale/Documents/Research/FaultScanR/output/20260722_181326_2487/CI_40353552</x:v>
      </x:c>
    </x:row>
    <x:row r="37">
      <x:c r="A37" t="str">
        <x:v>CI_40353552</x:v>
      </x:c>
      <x:c r="B37" s="99" t="str">
        <x:v>00073</x:v>
      </x:c>
      <x:c r="C37" t="str">
        <x:v>Z</x:v>
      </x:c>
      <x:c r="D37" t="str">
        <x:v>R</x:v>
      </x:c>
      <x:c r="E37" t="str">
        <x:v>time shift</x:v>
      </x:c>
      <x:c r="F37" t="str">
        <x:v>S</x:v>
      </x:c>
      <x:c r="G37" s="100" t="n">
        <x:v>3</x:v>
      </x:c>
      <x:c r="H37" s="100" t="n">
        <x:v>10</x:v>
      </x:c>
      <x:c r="I37" s="100" t="n">
        <x:v>250</x:v>
      </x:c>
      <x:c r="J37" s="100" t="n">
        <x:v>-0.096</x:v>
      </x:c>
      <x:c r="K37" s="100" t="n">
        <x:v>-0.1267342348097271</x:v>
      </x:c>
      <x:c r="L37" s="100" t="n">
        <x:v>0.03073423480972712</x:v>
      </x:c>
      <x:c r="M37" s="100" t="n">
        <x:v>-24</x:v>
      </x:c>
      <x:c r="N37" s="100" t="n">
        <x:v>0.8721122277497815</x:v>
      </x:c>
      <x:c r="O37" s="101" t="b">
        <x:v>1</x:v>
      </x:c>
      <x:c r="P37" t="str">
        <x:v>/Users/jvidale/Documents/Research/FaultScanR/output/20260722_181326_2487/CI_40353552</x:v>
      </x:c>
    </x:row>
    <x:row r="38">
      <x:c r="A38" t="str">
        <x:v>CI_40353552</x:v>
      </x:c>
      <x:c r="B38" s="99" t="str">
        <x:v>00075</x:v>
      </x:c>
      <x:c r="C38" t="str">
        <x:v>Z</x:v>
      </x:c>
      <x:c r="D38" t="str">
        <x:v>R</x:v>
      </x:c>
      <x:c r="E38" t="str">
        <x:v>time shift</x:v>
      </x:c>
      <x:c r="F38" t="str">
        <x:v>S</x:v>
      </x:c>
      <x:c r="G38" s="100" t="n">
        <x:v>3</x:v>
      </x:c>
      <x:c r="H38" s="100" t="n">
        <x:v>10</x:v>
      </x:c>
      <x:c r="I38" s="100" t="n">
        <x:v>250</x:v>
      </x:c>
      <x:c r="J38" s="100" t="n">
        <x:v>-0.06</x:v>
      </x:c>
      <x:c r="K38" s="100" t="n">
        <x:v>-0.1089043481478198</x:v>
      </x:c>
      <x:c r="L38" s="100" t="n">
        <x:v>0.0489043481478198</x:v>
      </x:c>
      <x:c r="M38" s="100" t="n">
        <x:v>-15</x:v>
      </x:c>
      <x:c r="N38" s="100" t="n">
        <x:v>0.8270733385856456</x:v>
      </x:c>
      <x:c r="O38" s="101" t="b">
        <x:v>1</x:v>
      </x:c>
      <x:c r="P38" t="str">
        <x:v>/Users/jvidale/Documents/Research/FaultScanR/output/20260722_181326_2487/CI_40353552</x:v>
      </x:c>
    </x:row>
    <x:row r="39">
      <x:c r="A39" t="str">
        <x:v>CI_40353552</x:v>
      </x:c>
      <x:c r="B39" s="99" t="str">
        <x:v>00076</x:v>
      </x:c>
      <x:c r="C39" t="str">
        <x:v>Z</x:v>
      </x:c>
      <x:c r="D39" t="str">
        <x:v>R</x:v>
      </x:c>
      <x:c r="E39" t="str">
        <x:v>time shift</x:v>
      </x:c>
      <x:c r="F39" t="str">
        <x:v>S</x:v>
      </x:c>
      <x:c r="G39" s="100" t="n">
        <x:v>3</x:v>
      </x:c>
      <x:c r="H39" s="100" t="n">
        <x:v>10</x:v>
      </x:c>
      <x:c r="I39" s="100" t="n">
        <x:v>250</x:v>
      </x:c>
      <x:c r="J39" s="100" t="n">
        <x:v>-0.052</x:v>
      </x:c>
      <x:c r="K39" s="100" t="n">
        <x:v>-0.09925225842206231</x:v>
      </x:c>
      <x:c r="L39" s="100" t="n">
        <x:v>0.04725225842206231</x:v>
      </x:c>
      <x:c r="M39" s="100" t="n">
        <x:v>-13</x:v>
      </x:c>
      <x:c r="N39" s="100" t="n">
        <x:v>0.7242734360093562</x:v>
      </x:c>
      <x:c r="O39" s="101" t="b">
        <x:v>1</x:v>
      </x:c>
      <x:c r="P39" t="str">
        <x:v>/Users/jvidale/Documents/Research/FaultScanR/output/20260722_181326_2487/CI_40353552</x:v>
      </x:c>
    </x:row>
    <x:row r="40">
      <x:c r="A40" t="str">
        <x:v>CI_40353552</x:v>
      </x:c>
      <x:c r="B40" s="99" t="str">
        <x:v>00077</x:v>
      </x:c>
      <x:c r="C40" t="str">
        <x:v>Z</x:v>
      </x:c>
      <x:c r="D40" t="str">
        <x:v>R</x:v>
      </x:c>
      <x:c r="E40" t="str">
        <x:v>time shift</x:v>
      </x:c>
      <x:c r="F40" t="str">
        <x:v>S</x:v>
      </x:c>
      <x:c r="G40" s="100" t="n">
        <x:v>3</x:v>
      </x:c>
      <x:c r="H40" s="100" t="n">
        <x:v>10</x:v>
      </x:c>
      <x:c r="I40" s="100" t="n">
        <x:v>250</x:v>
      </x:c>
      <x:c r="J40" s="100" t="n">
        <x:v>-0.04</x:v>
      </x:c>
      <x:c r="K40" s="100" t="n">
        <x:v>-0.08898858605567828</x:v>
      </x:c>
      <x:c r="L40" s="100" t="n">
        <x:v>0.04898858605567828</x:v>
      </x:c>
      <x:c r="M40" s="100" t="n">
        <x:v>-10</x:v>
      </x:c>
      <x:c r="N40" s="100" t="n">
        <x:v>0.8000574308527177</x:v>
      </x:c>
      <x:c r="O40" s="101" t="b">
        <x:v>1</x:v>
      </x:c>
      <x:c r="P40" t="str">
        <x:v>/Users/jvidale/Documents/Research/FaultScanR/output/20260722_181326_2487/CI_40353552</x:v>
      </x:c>
    </x:row>
    <x:row r="41">
      <x:c r="A41" t="str">
        <x:v>CI_40353552</x:v>
      </x:c>
      <x:c r="B41" s="99" t="str">
        <x:v>00078</x:v>
      </x:c>
      <x:c r="C41" t="str">
        <x:v>Z</x:v>
      </x:c>
      <x:c r="D41" t="str">
        <x:v>R</x:v>
      </x:c>
      <x:c r="E41" t="str">
        <x:v>time shift</x:v>
      </x:c>
      <x:c r="F41" t="str">
        <x:v>S</x:v>
      </x:c>
      <x:c r="G41" s="100" t="n">
        <x:v>3</x:v>
      </x:c>
      <x:c r="H41" s="100" t="n">
        <x:v>10</x:v>
      </x:c>
      <x:c r="I41" s="100" t="n">
        <x:v>250</x:v>
      </x:c>
      <x:c r="J41" s="100" t="n">
        <x:v>-0.188</x:v>
      </x:c>
      <x:c r="K41" s="100" t="n">
        <x:v>-0.1878413266281624</x:v>
      </x:c>
      <x:c r="L41" s="100" t="n">
        <x:v>-0.0001586733718375588</x:v>
      </x:c>
      <x:c r="M41" s="100" t="n">
        <x:v>-47</x:v>
      </x:c>
      <x:c r="N41" s="100" t="n">
        <x:v>0.9266147845685185</x:v>
      </x:c>
      <x:c r="O41" s="101" t="b">
        <x:v>1</x:v>
      </x:c>
      <x:c r="P41" t="str">
        <x:v>/Users/jvidale/Documents/Research/FaultScanR/output/20260722_181326_2487/CI_40353552</x:v>
      </x:c>
    </x:row>
    <x:row r="42">
      <x:c r="A42" t="str">
        <x:v>CI_40353552</x:v>
      </x:c>
      <x:c r="B42" s="99" t="str">
        <x:v>00079</x:v>
      </x:c>
      <x:c r="C42" t="str">
        <x:v>Z</x:v>
      </x:c>
      <x:c r="D42" t="str">
        <x:v>R</x:v>
      </x:c>
      <x:c r="E42" t="str">
        <x:v>time shift</x:v>
      </x:c>
      <x:c r="F42" t="str">
        <x:v>S</x:v>
      </x:c>
      <x:c r="G42" s="100" t="n">
        <x:v>3</x:v>
      </x:c>
      <x:c r="H42" s="100" t="n">
        <x:v>10</x:v>
      </x:c>
      <x:c r="I42" s="100" t="n">
        <x:v>250</x:v>
      </x:c>
      <x:c r="J42" s="100" t="n">
        <x:v>-0.192</x:v>
      </x:c>
      <x:c r="K42" s="100" t="n">
        <x:v>-0.1816420049216356</x:v>
      </x:c>
      <x:c r="L42" s="100" t="n">
        <x:v>-0.01035799507836438</x:v>
      </x:c>
      <x:c r="M42" s="100" t="n">
        <x:v>-48</x:v>
      </x:c>
      <x:c r="N42" s="100" t="n">
        <x:v>0.9010825080839919</x:v>
      </x:c>
      <x:c r="O42" s="101" t="b">
        <x:v>1</x:v>
      </x:c>
      <x:c r="P42" t="str">
        <x:v>/Users/jvidale/Documents/Research/FaultScanR/output/20260722_181326_2487/CI_40353552</x:v>
      </x:c>
    </x:row>
    <x:row r="43">
      <x:c r="A43" t="str">
        <x:v>CI_40353552</x:v>
      </x:c>
      <x:c r="B43" s="99" t="str">
        <x:v>00080</x:v>
      </x:c>
      <x:c r="C43" t="str">
        <x:v>Z</x:v>
      </x:c>
      <x:c r="D43" t="str">
        <x:v>R</x:v>
      </x:c>
      <x:c r="E43" t="str">
        <x:v>time shift</x:v>
      </x:c>
      <x:c r="F43" t="str">
        <x:v>S</x:v>
      </x:c>
      <x:c r="G43" s="100" t="n">
        <x:v>3</x:v>
      </x:c>
      <x:c r="H43" s="100" t="n">
        <x:v>10</x:v>
      </x:c>
      <x:c r="I43" s="100" t="n">
        <x:v>250</x:v>
      </x:c>
      <x:c r="J43" s="100" t="n">
        <x:v>-0.184</x:v>
      </x:c>
      <x:c r="K43" s="100" t="n">
        <x:v>-0.1750530617420978</x:v>
      </x:c>
      <x:c r="L43" s="100" t="n">
        <x:v>-0.008946938257902215</x:v>
      </x:c>
      <x:c r="M43" s="100" t="n">
        <x:v>-46</x:v>
      </x:c>
      <x:c r="N43" s="100" t="n">
        <x:v>0.9106554458538413</x:v>
      </x:c>
      <x:c r="O43" s="101" t="b">
        <x:v>1</x:v>
      </x:c>
      <x:c r="P43" t="str">
        <x:v>/Users/jvidale/Documents/Research/FaultScanR/output/20260722_181326_2487/CI_40353552</x:v>
      </x:c>
    </x:row>
    <x:row r="44">
      <x:c r="A44" t="str">
        <x:v>CI_40353552</x:v>
      </x:c>
      <x:c r="B44" s="99" t="str">
        <x:v>00081</x:v>
      </x:c>
      <x:c r="C44" t="str">
        <x:v>Z</x:v>
      </x:c>
      <x:c r="D44" t="str">
        <x:v>R</x:v>
      </x:c>
      <x:c r="E44" t="str">
        <x:v>time shift</x:v>
      </x:c>
      <x:c r="F44" t="str">
        <x:v>S</x:v>
      </x:c>
      <x:c r="G44" s="100" t="n">
        <x:v>3</x:v>
      </x:c>
      <x:c r="H44" s="100" t="n">
        <x:v>10</x:v>
      </x:c>
      <x:c r="I44" s="100" t="n">
        <x:v>250</x:v>
      </x:c>
      <x:c r="J44" s="100" t="n">
        <x:v>-0.168</x:v>
      </x:c>
      <x:c r="K44" s="100" t="n">
        <x:v>-0.1655329486984503</x:v>
      </x:c>
      <x:c r="L44" s="100" t="n">
        <x:v>-0.002467051301549755</x:v>
      </x:c>
      <x:c r="M44" s="100" t="n">
        <x:v>-42</x:v>
      </x:c>
      <x:c r="N44" s="100" t="n">
        <x:v>0.9917706647529617</x:v>
      </x:c>
      <x:c r="O44" s="101" t="b">
        <x:v>1</x:v>
      </x:c>
      <x:c r="P44" t="str">
        <x:v>/Users/jvidale/Documents/Research/FaultScanR/output/20260722_181326_2487/CI_40353552</x:v>
      </x:c>
    </x:row>
    <x:row r="45">
      <x:c r="A45" t="str">
        <x:v>CI_40353552</x:v>
      </x:c>
      <x:c r="B45" s="99" t="str">
        <x:v>00082</x:v>
      </x:c>
      <x:c r="C45" t="str">
        <x:v>Z</x:v>
      </x:c>
      <x:c r="D45" t="str">
        <x:v>R</x:v>
      </x:c>
      <x:c r="E45" t="str">
        <x:v>time shift</x:v>
      </x:c>
      <x:c r="F45" t="str">
        <x:v>S</x:v>
      </x:c>
      <x:c r="G45" s="100" t="n">
        <x:v>3</x:v>
      </x:c>
      <x:c r="H45" s="100" t="n">
        <x:v>10</x:v>
      </x:c>
      <x:c r="I45" s="100" t="n">
        <x:v>250</x:v>
      </x:c>
      <x:c r="J45" s="100" t="n">
        <x:v>-0.172</x:v>
      </x:c>
      <x:c r="K45" s="100" t="n">
        <x:v>-0.1586705553656875</x:v>
      </x:c>
      <x:c r="L45" s="100" t="n">
        <x:v>-0.01332944463431246</x:v>
      </x:c>
      <x:c r="M45" s="100" t="n">
        <x:v>-43</x:v>
      </x:c>
      <x:c r="N45" s="100" t="n">
        <x:v>0.8854235360541372</x:v>
      </x:c>
      <x:c r="O45" s="101" t="b">
        <x:v>1</x:v>
      </x:c>
      <x:c r="P45" t="str">
        <x:v>/Users/jvidale/Documents/Research/FaultScanR/output/20260722_181326_2487/CI_40353552</x:v>
      </x:c>
    </x:row>
    <x:row r="46">
      <x:c r="A46" t="str">
        <x:v>CI_40353552</x:v>
      </x:c>
      <x:c r="B46" s="99" t="str">
        <x:v>00083</x:v>
      </x:c>
      <x:c r="C46" t="str">
        <x:v>Z</x:v>
      </x:c>
      <x:c r="D46" t="str">
        <x:v>R</x:v>
      </x:c>
      <x:c r="E46" t="str">
        <x:v>time shift</x:v>
      </x:c>
      <x:c r="F46" t="str">
        <x:v>S</x:v>
      </x:c>
      <x:c r="G46" s="100" t="n">
        <x:v>3</x:v>
      </x:c>
      <x:c r="H46" s="100" t="n">
        <x:v>10</x:v>
      </x:c>
      <x:c r="I46" s="100" t="n">
        <x:v>250</x:v>
      </x:c>
      <x:c r="J46" s="100" t="n">
        <x:v>-0.164</x:v>
      </x:c>
      <x:c r="K46" s="100" t="n">
        <x:v>-0.1528874656254571</x:v>
      </x:c>
      <x:c r="L46" s="100" t="n">
        <x:v>-0.01111253437454293</x:v>
      </x:c>
      <x:c r="M46" s="100" t="n">
        <x:v>-41</x:v>
      </x:c>
      <x:c r="N46" s="100" t="n">
        <x:v>0.7444332636593939</x:v>
      </x:c>
      <x:c r="O46" s="101" t="b">
        <x:v>1</x:v>
      </x:c>
      <x:c r="P46" t="str">
        <x:v>/Users/jvidale/Documents/Research/FaultScanR/output/20260722_181326_2487/CI_40353552</x:v>
      </x:c>
    </x:row>
    <x:row r="47">
      <x:c r="A47" t="str">
        <x:v>CI_40353552</x:v>
      </x:c>
      <x:c r="B47" s="99" t="str">
        <x:v>00084</x:v>
      </x:c>
      <x:c r="C47" t="str">
        <x:v>Z</x:v>
      </x:c>
      <x:c r="D47" t="str">
        <x:v>R</x:v>
      </x:c>
      <x:c r="E47" t="str">
        <x:v>time shift</x:v>
      </x:c>
      <x:c r="F47" t="str">
        <x:v>S</x:v>
      </x:c>
      <x:c r="G47" s="100" t="n">
        <x:v>3</x:v>
      </x:c>
      <x:c r="H47" s="100" t="n">
        <x:v>10</x:v>
      </x:c>
      <x:c r="I47" s="100" t="n">
        <x:v>250</x:v>
      </x:c>
      <x:c r="J47" s="100" t="n">
        <x:v>-0.124</x:v>
      </x:c>
      <x:c r="K47" s="100" t="n">
        <x:v>-0.1428436703134839</x:v>
      </x:c>
      <x:c r="L47" s="100" t="n">
        <x:v>0.01884367031348388</x:v>
      </x:c>
      <x:c r="M47" s="100" t="n">
        <x:v>-31</x:v>
      </x:c>
      <x:c r="N47" s="100" t="n">
        <x:v>0.8212980854504001</x:v>
      </x:c>
      <x:c r="O47" s="101" t="b">
        <x:v>1</x:v>
      </x:c>
      <x:c r="P47" t="str">
        <x:v>/Users/jvidale/Documents/Research/FaultScanR/output/20260722_181326_2487/CI_40353552</x:v>
      </x:c>
    </x:row>
    <x:row r="48">
      <x:c r="A48" t="str">
        <x:v>CI_40353552</x:v>
      </x:c>
      <x:c r="B48" s="99" t="str">
        <x:v>00086</x:v>
      </x:c>
      <x:c r="C48" t="str">
        <x:v>Z</x:v>
      </x:c>
      <x:c r="D48" t="str">
        <x:v>R</x:v>
      </x:c>
      <x:c r="E48" t="str">
        <x:v>time shift</x:v>
      </x:c>
      <x:c r="F48" t="str">
        <x:v>S</x:v>
      </x:c>
      <x:c r="G48" s="100" t="n">
        <x:v>3</x:v>
      </x:c>
      <x:c r="H48" s="100" t="n">
        <x:v>10</x:v>
      </x:c>
      <x:c r="I48" s="100" t="n">
        <x:v>250</x:v>
      </x:c>
      <x:c r="J48" s="100" t="n">
        <x:v>-0.116</x:v>
      </x:c>
      <x:c r="K48" s="100" t="n">
        <x:v>-0.1199537129472006</x:v>
      </x:c>
      <x:c r="L48" s="100" t="n">
        <x:v>0.00395371294720058</x:v>
      </x:c>
      <x:c r="M48" s="100" t="n">
        <x:v>-29</x:v>
      </x:c>
      <x:c r="N48" s="100" t="n">
        <x:v>0.8280741927567438</x:v>
      </x:c>
      <x:c r="O48" s="101" t="b">
        <x:v>1</x:v>
      </x:c>
      <x:c r="P48" t="str">
        <x:v>/Users/jvidale/Documents/Research/FaultScanR/output/20260722_181326_2487/CI_40353552</x:v>
      </x:c>
    </x:row>
    <x:row r="49">
      <x:c r="A49" t="str">
        <x:v>CI_40353552</x:v>
      </x:c>
      <x:c r="B49" s="99" t="str">
        <x:v>00087</x:v>
      </x:c>
      <x:c r="C49" t="str">
        <x:v>Z</x:v>
      </x:c>
      <x:c r="D49" t="str">
        <x:v>R</x:v>
      </x:c>
      <x:c r="E49" t="str">
        <x:v>time shift</x:v>
      </x:c>
      <x:c r="F49" t="str">
        <x:v>S</x:v>
      </x:c>
      <x:c r="G49" s="100" t="n">
        <x:v>3</x:v>
      </x:c>
      <x:c r="H49" s="100" t="n">
        <x:v>10</x:v>
      </x:c>
      <x:c r="I49" s="100" t="n">
        <x:v>250</x:v>
      </x:c>
      <x:c r="J49" s="100" t="n">
        <x:v>-0.1</x:v>
      </x:c>
      <x:c r="K49" s="100" t="n">
        <x:v>-0.112442401357395</x:v>
      </x:c>
      <x:c r="L49" s="100" t="n">
        <x:v>0.01244240135739502</x:v>
      </x:c>
      <x:c r="M49" s="100" t="n">
        <x:v>-25</x:v>
      </x:c>
      <x:c r="N49" s="100" t="n">
        <x:v>0.9387660704076806</x:v>
      </x:c>
      <x:c r="O49" s="101" t="b">
        <x:v>1</x:v>
      </x:c>
      <x:c r="P49" t="str">
        <x:v>/Users/jvidale/Documents/Research/FaultScanR/output/20260722_181326_2487/CI_40353552</x:v>
      </x:c>
    </x:row>
    <x:row r="50">
      <x:c r="A50" t="str">
        <x:v>CI_40353552</x:v>
      </x:c>
      <x:c r="B50" s="99" t="str">
        <x:v>00088</x:v>
      </x:c>
      <x:c r="C50" t="str">
        <x:v>Z</x:v>
      </x:c>
      <x:c r="D50" t="str">
        <x:v>R</x:v>
      </x:c>
      <x:c r="E50" t="str">
        <x:v>time shift</x:v>
      </x:c>
      <x:c r="F50" t="str">
        <x:v>S</x:v>
      </x:c>
      <x:c r="G50" s="100" t="n">
        <x:v>3</x:v>
      </x:c>
      <x:c r="H50" s="100" t="n">
        <x:v>10</x:v>
      </x:c>
      <x:c r="I50" s="100" t="n">
        <x:v>250</x:v>
      </x:c>
      <x:c r="J50" s="100" t="n">
        <x:v>-0.056</x:v>
      </x:c>
      <x:c r="K50" s="100" t="n">
        <x:v>-0.1054168015060393</x:v>
      </x:c>
      <x:c r="L50" s="100" t="n">
        <x:v>0.04941680150603927</x:v>
      </x:c>
      <x:c r="M50" s="100" t="n">
        <x:v>-14</x:v>
      </x:c>
      <x:c r="N50" s="100" t="n">
        <x:v>0.7705080893463988</x:v>
      </x:c>
      <x:c r="O50" s="101" t="b">
        <x:v>1</x:v>
      </x:c>
      <x:c r="P50" t="str">
        <x:v>/Users/jvidale/Documents/Research/FaultScanR/output/20260722_181326_2487/CI_40353552</x:v>
      </x:c>
    </x:row>
    <x:row r="51">
      <x:c r="A51" t="str">
        <x:v>CI_40353552</x:v>
      </x:c>
      <x:c r="B51" s="99" t="str">
        <x:v>00089</x:v>
      </x:c>
      <x:c r="C51" t="str">
        <x:v>Z</x:v>
      </x:c>
      <x:c r="D51" t="str">
        <x:v>R</x:v>
      </x:c>
      <x:c r="E51" t="str">
        <x:v>time shift</x:v>
      </x:c>
      <x:c r="F51" t="str">
        <x:v>S</x:v>
      </x:c>
      <x:c r="G51" s="100" t="n">
        <x:v>3</x:v>
      </x:c>
      <x:c r="H51" s="100" t="n">
        <x:v>10</x:v>
      </x:c>
      <x:c r="I51" s="100" t="n">
        <x:v>250</x:v>
      </x:c>
      <x:c r="J51" s="100" t="n">
        <x:v>-0.088</x:v>
      </x:c>
      <x:c r="K51" s="100" t="n">
        <x:v>-0.0973642377887769</x:v>
      </x:c>
      <x:c r="L51" s="100" t="n">
        <x:v>0.009364237788776902</x:v>
      </x:c>
      <x:c r="M51" s="100" t="n">
        <x:v>-22</x:v>
      </x:c>
      <x:c r="N51" s="100" t="n">
        <x:v>0.8781340895768578</x:v>
      </x:c>
      <x:c r="O51" s="101" t="b">
        <x:v>1</x:v>
      </x:c>
      <x:c r="P51" t="str">
        <x:v>/Users/jvidale/Documents/Research/FaultScanR/output/20260722_181326_2487/CI_40353552</x:v>
      </x:c>
    </x:row>
    <x:row r="52">
      <x:c r="A52" t="str">
        <x:v>CI_40353552</x:v>
      </x:c>
      <x:c r="B52" s="99" t="str">
        <x:v>00090</x:v>
      </x:c>
      <x:c r="C52" t="str">
        <x:v>Z</x:v>
      </x:c>
      <x:c r="D52" t="str">
        <x:v>R</x:v>
      </x:c>
      <x:c r="E52" t="str">
        <x:v>time shift</x:v>
      </x:c>
      <x:c r="F52" t="str">
        <x:v>S</x:v>
      </x:c>
      <x:c r="G52" s="100" t="n">
        <x:v>3</x:v>
      </x:c>
      <x:c r="H52" s="100" t="n">
        <x:v>10</x:v>
      </x:c>
      <x:c r="I52" s="100" t="n">
        <x:v>250</x:v>
      </x:c>
      <x:c r="J52" s="100" t="n">
        <x:v>-0.04</x:v>
      </x:c>
      <x:c r="K52" s="100" t="n">
        <x:v>-0.0863154051070465</x:v>
      </x:c>
      <x:c r="L52" s="100" t="n">
        <x:v>0.04631540510704649</x:v>
      </x:c>
      <x:c r="M52" s="100" t="n">
        <x:v>-10</x:v>
      </x:c>
      <x:c r="N52" s="100" t="n">
        <x:v>0.5362899864047985</x:v>
      </x:c>
      <x:c r="O52" s="101" t="b">
        <x:v>0</x:v>
      </x:c>
      <x:c r="P52" t="str">
        <x:v>/Users/jvidale/Documents/Research/FaultScanR/output/20260722_181326_2487/CI_40353552</x:v>
      </x:c>
    </x:row>
    <x:row r="53">
      <x:c r="A53" t="str">
        <x:v>CI_40353552</x:v>
      </x:c>
      <x:c r="B53" s="99" t="str">
        <x:v>00091</x:v>
      </x:c>
      <x:c r="C53" t="str">
        <x:v>Z</x:v>
      </x:c>
      <x:c r="D53" t="str">
        <x:v>R</x:v>
      </x:c>
      <x:c r="E53" t="str">
        <x:v>time shift</x:v>
      </x:c>
      <x:c r="F53" t="str">
        <x:v>S</x:v>
      </x:c>
      <x:c r="G53" s="100" t="n">
        <x:v>3</x:v>
      </x:c>
      <x:c r="H53" s="100" t="n">
        <x:v>10</x:v>
      </x:c>
      <x:c r="I53" s="100" t="n">
        <x:v>250</x:v>
      </x:c>
      <x:c r="J53" s="100" t="n">
        <x:v>-0.124</x:v>
      </x:c>
      <x:c r="K53" s="100" t="n">
        <x:v>-0.07766888825793927</x:v>
      </x:c>
      <x:c r="L53" s="100" t="n">
        <x:v>-0.04633111174206073</x:v>
      </x:c>
      <x:c r="M53" s="100" t="n">
        <x:v>-31</x:v>
      </x:c>
      <x:c r="N53" s="100" t="n">
        <x:v>0.6652442905501204</x:v>
      </x:c>
      <x:c r="O53" s="101" t="b">
        <x:v>1</x:v>
      </x:c>
      <x:c r="P53" t="str">
        <x:v>/Users/jvidale/Documents/Research/FaultScanR/output/20260722_181326_2487/CI_40353552</x:v>
      </x:c>
    </x:row>
    <x:row r="54">
      <x:c r="A54" t="str">
        <x:v>CI_40353552</x:v>
      </x:c>
      <x:c r="B54" s="99" t="str">
        <x:v>00092</x:v>
      </x:c>
      <x:c r="C54" t="str">
        <x:v>Z</x:v>
      </x:c>
      <x:c r="D54" t="str">
        <x:v>R</x:v>
      </x:c>
      <x:c r="E54" t="str">
        <x:v>time shift</x:v>
      </x:c>
      <x:c r="F54" t="str">
        <x:v>S</x:v>
      </x:c>
      <x:c r="G54" s="100" t="n">
        <x:v>3</x:v>
      </x:c>
      <x:c r="H54" s="100" t="n">
        <x:v>10</x:v>
      </x:c>
      <x:c r="I54" s="100" t="n">
        <x:v>250</x:v>
      </x:c>
      <x:c r="J54" s="100" t="n">
        <x:v>-0.02</x:v>
      </x:c>
      <x:c r="K54" s="100" t="n">
        <x:v>-0.06754409192407707</x:v>
      </x:c>
      <x:c r="L54" s="100" t="n">
        <x:v>0.04754409192407706</x:v>
      </x:c>
      <x:c r="M54" s="100" t="n">
        <x:v>-5</x:v>
      </x:c>
      <x:c r="N54" s="100" t="n">
        <x:v>0.9200078588716172</x:v>
      </x:c>
      <x:c r="O54" s="101" t="b">
        <x:v>1</x:v>
      </x:c>
      <x:c r="P54" t="str">
        <x:v>/Users/jvidale/Documents/Research/FaultScanR/output/20260722_181326_2487/CI_40353552</x:v>
      </x:c>
    </x:row>
    <x:row r="55">
      <x:c r="A55" t="str">
        <x:v>CI_40353552</x:v>
      </x:c>
      <x:c r="B55" s="99" t="str">
        <x:v>00093</x:v>
      </x:c>
      <x:c r="C55" t="str">
        <x:v>Z</x:v>
      </x:c>
      <x:c r="D55" t="str">
        <x:v>R</x:v>
      </x:c>
      <x:c r="E55" t="str">
        <x:v>time shift</x:v>
      </x:c>
      <x:c r="F55" t="str">
        <x:v>S</x:v>
      </x:c>
      <x:c r="G55" s="100" t="n">
        <x:v>3</x:v>
      </x:c>
      <x:c r="H55" s="100" t="n">
        <x:v>10</x:v>
      </x:c>
      <x:c r="I55" s="100" t="n">
        <x:v>250</x:v>
      </x:c>
      <x:c r="J55" s="100" t="n">
        <x:v>-0.008</x:v>
      </x:c>
      <x:c r="K55" s="100" t="n">
        <x:v>-0.05784488224828621</x:v>
      </x:c>
      <x:c r="L55" s="100" t="n">
        <x:v>0.04984488224828621</x:v>
      </x:c>
      <x:c r="M55" s="100" t="n">
        <x:v>-2</x:v>
      </x:c>
      <x:c r="N55" s="100" t="n">
        <x:v>0.9555982097193993</x:v>
      </x:c>
      <x:c r="O55" s="101" t="b">
        <x:v>1</x:v>
      </x:c>
      <x:c r="P55" t="str">
        <x:v>/Users/jvidale/Documents/Research/FaultScanR/output/20260722_181326_2487/CI_40353552</x:v>
      </x:c>
    </x:row>
    <x:row r="56">
      <x:c r="A56" t="str">
        <x:v>CI_40353552</x:v>
      </x:c>
      <x:c r="B56" s="99" t="str">
        <x:v>00094</x:v>
      </x:c>
      <x:c r="C56" t="str">
        <x:v>Z</x:v>
      </x:c>
      <x:c r="D56" t="str">
        <x:v>R</x:v>
      </x:c>
      <x:c r="E56" t="str">
        <x:v>time shift</x:v>
      </x:c>
      <x:c r="F56" t="str">
        <x:v>S</x:v>
      </x:c>
      <x:c r="G56" s="100" t="n">
        <x:v>3</x:v>
      </x:c>
      <x:c r="H56" s="100" t="n">
        <x:v>10</x:v>
      </x:c>
      <x:c r="I56" s="100" t="n">
        <x:v>250</x:v>
      </x:c>
      <x:c r="J56" s="100" t="n">
        <x:v>-0.18</x:v>
      </x:c>
      <x:c r="K56" s="100" t="n">
        <x:v>-0.1681301239769608</x:v>
      </x:c>
      <x:c r="L56" s="100" t="n">
        <x:v>-0.01186987602303918</x:v>
      </x:c>
      <x:c r="M56" s="100" t="n">
        <x:v>-45</x:v>
      </x:c>
      <x:c r="N56" s="100" t="n">
        <x:v>0.8815983810332383</x:v>
      </x:c>
      <x:c r="O56" s="101" t="b">
        <x:v>1</x:v>
      </x:c>
      <x:c r="P56" t="str">
        <x:v>/Users/jvidale/Documents/Research/FaultScanR/output/20260722_181326_2487/CI_40353552</x:v>
      </x:c>
    </x:row>
    <x:row r="57">
      <x:c r="A57" t="str">
        <x:v>CI_40353552</x:v>
      </x:c>
      <x:c r="B57" s="99" t="str">
        <x:v>00095</x:v>
      </x:c>
      <x:c r="C57" t="str">
        <x:v>Z</x:v>
      </x:c>
      <x:c r="D57" t="str">
        <x:v>R</x:v>
      </x:c>
      <x:c r="E57" t="str">
        <x:v>time shift</x:v>
      </x:c>
      <x:c r="F57" t="str">
        <x:v>S</x:v>
      </x:c>
      <x:c r="G57" s="100" t="n">
        <x:v>3</x:v>
      </x:c>
      <x:c r="H57" s="100" t="n">
        <x:v>10</x:v>
      </x:c>
      <x:c r="I57" s="100" t="n">
        <x:v>250</x:v>
      </x:c>
      <x:c r="J57" s="100" t="n">
        <x:v>-0.176</x:v>
      </x:c>
      <x:c r="K57" s="100" t="n">
        <x:v>-0.1593408354547456</x:v>
      </x:c>
      <x:c r="L57" s="100" t="n">
        <x:v>-0.01665916454525435</x:v>
      </x:c>
      <x:c r="M57" s="100" t="n">
        <x:v>-44</x:v>
      </x:c>
      <x:c r="N57" s="100" t="n">
        <x:v>0.8891536835063705</x:v>
      </x:c>
      <x:c r="O57" s="101" t="b">
        <x:v>1</x:v>
      </x:c>
      <x:c r="P57" t="str">
        <x:v>/Users/jvidale/Documents/Research/FaultScanR/output/20260722_181326_2487/CI_40353552</x:v>
      </x:c>
    </x:row>
    <x:row r="58">
      <x:c r="A58" t="str">
        <x:v>CI_40353552</x:v>
      </x:c>
      <x:c r="B58" s="99" t="str">
        <x:v>00096</x:v>
      </x:c>
      <x:c r="C58" t="str">
        <x:v>Z</x:v>
      </x:c>
      <x:c r="D58" t="str">
        <x:v>R</x:v>
      </x:c>
      <x:c r="E58" t="str">
        <x:v>time shift</x:v>
      </x:c>
      <x:c r="F58" t="str">
        <x:v>S</x:v>
      </x:c>
      <x:c r="G58" s="100" t="n">
        <x:v>3</x:v>
      </x:c>
      <x:c r="H58" s="100" t="n">
        <x:v>10</x:v>
      </x:c>
      <x:c r="I58" s="100" t="n">
        <x:v>250</x:v>
      </x:c>
      <x:c r="J58" s="100" t="n">
        <x:v>-0.16</x:v>
      </x:c>
      <x:c r="K58" s="100" t="n">
        <x:v>-0.1501268594925627</x:v>
      </x:c>
      <x:c r="L58" s="100" t="n">
        <x:v>-0.009873140507437345</x:v>
      </x:c>
      <x:c r="M58" s="100" t="n">
        <x:v>-40</x:v>
      </x:c>
      <x:c r="N58" s="100" t="n">
        <x:v>0.9210931948234745</x:v>
      </x:c>
      <x:c r="O58" s="101" t="b">
        <x:v>1</x:v>
      </x:c>
      <x:c r="P58" t="str">
        <x:v>/Users/jvidale/Documents/Research/FaultScanR/output/20260722_181326_2487/CI_40353552</x:v>
      </x:c>
    </x:row>
    <x:row r="59">
      <x:c r="A59" t="str">
        <x:v>CI_40353552</x:v>
      </x:c>
      <x:c r="B59" s="99" t="str">
        <x:v>00097</x:v>
      </x:c>
      <x:c r="C59" t="str">
        <x:v>Z</x:v>
      </x:c>
      <x:c r="D59" t="str">
        <x:v>R</x:v>
      </x:c>
      <x:c r="E59" t="str">
        <x:v>time shift</x:v>
      </x:c>
      <x:c r="F59" t="str">
        <x:v>S</x:v>
      </x:c>
      <x:c r="G59" s="100" t="n">
        <x:v>3</x:v>
      </x:c>
      <x:c r="H59" s="100" t="n">
        <x:v>10</x:v>
      </x:c>
      <x:c r="I59" s="100" t="n">
        <x:v>250</x:v>
      </x:c>
      <x:c r="J59" s="100" t="n">
        <x:v>-0.152</x:v>
      </x:c>
      <x:c r="K59" s="100" t="n">
        <x:v>-0.1443913094409428</x:v>
      </x:c>
      <x:c r="L59" s="100" t="n">
        <x:v>-0.007608690559057191</x:v>
      </x:c>
      <x:c r="M59" s="100" t="n">
        <x:v>-38</x:v>
      </x:c>
      <x:c r="N59" s="100" t="n">
        <x:v>0.9690772544763708</x:v>
      </x:c>
      <x:c r="O59" s="101" t="b">
        <x:v>1</x:v>
      </x:c>
      <x:c r="P59" t="str">
        <x:v>/Users/jvidale/Documents/Research/FaultScanR/output/20260722_181326_2487/CI_40353552</x:v>
      </x:c>
    </x:row>
    <x:row r="60">
      <x:c r="A60" t="str">
        <x:v>CI_40353552</x:v>
      </x:c>
      <x:c r="B60" s="99" t="str">
        <x:v>00098</x:v>
      </x:c>
      <x:c r="C60" t="str">
        <x:v>Z</x:v>
      </x:c>
      <x:c r="D60" t="str">
        <x:v>R</x:v>
      </x:c>
      <x:c r="E60" t="str">
        <x:v>time shift</x:v>
      </x:c>
      <x:c r="F60" t="str">
        <x:v>S</x:v>
      </x:c>
      <x:c r="G60" s="100" t="n">
        <x:v>3</x:v>
      </x:c>
      <x:c r="H60" s="100" t="n">
        <x:v>10</x:v>
      </x:c>
      <x:c r="I60" s="100" t="n">
        <x:v>250</x:v>
      </x:c>
      <x:c r="J60" s="100" t="n">
        <x:v>-0.144</x:v>
      </x:c>
      <x:c r="K60" s="100" t="n">
        <x:v>-0.1325773191556943</x:v>
      </x:c>
      <x:c r="L60" s="100" t="n">
        <x:v>-0.01142268084430573</x:v>
      </x:c>
      <x:c r="M60" s="100" t="n">
        <x:v>-36</x:v>
      </x:c>
      <x:c r="N60" s="100" t="n">
        <x:v>0.9168816079323374</x:v>
      </x:c>
      <x:c r="O60" s="101" t="b">
        <x:v>1</x:v>
      </x:c>
      <x:c r="P60" t="str">
        <x:v>/Users/jvidale/Documents/Research/FaultScanR/output/20260722_181326_2487/CI_40353552</x:v>
      </x:c>
    </x:row>
    <x:row r="61">
      <x:c r="A61" t="str">
        <x:v>CI_40353552</x:v>
      </x:c>
      <x:c r="B61" s="99" t="str">
        <x:v>00099</x:v>
      </x:c>
      <x:c r="C61" t="str">
        <x:v>Z</x:v>
      </x:c>
      <x:c r="D61" t="str">
        <x:v>R</x:v>
      </x:c>
      <x:c r="E61" t="str">
        <x:v>time shift</x:v>
      </x:c>
      <x:c r="F61" t="str">
        <x:v>S</x:v>
      </x:c>
      <x:c r="G61" s="100" t="n">
        <x:v>3</x:v>
      </x:c>
      <x:c r="H61" s="100" t="n">
        <x:v>10</x:v>
      </x:c>
      <x:c r="I61" s="100" t="n">
        <x:v>250</x:v>
      </x:c>
      <x:c r="J61" s="100" t="n">
        <x:v>-0.132</x:v>
      </x:c>
      <x:c r="K61" s="100" t="n">
        <x:v>-0.1261573754804424</x:v>
      </x:c>
      <x:c r="L61" s="100" t="n">
        <x:v>-0.005842624519557638</x:v>
      </x:c>
      <x:c r="M61" s="100" t="n">
        <x:v>-33</x:v>
      </x:c>
      <x:c r="N61" s="100" t="n">
        <x:v>0.9537533824397165</x:v>
      </x:c>
      <x:c r="O61" s="101" t="b">
        <x:v>1</x:v>
      </x:c>
      <x:c r="P61" t="str">
        <x:v>/Users/jvidale/Documents/Research/FaultScanR/output/20260722_181326_2487/CI_40353552</x:v>
      </x:c>
    </x:row>
    <x:row r="62">
      <x:c r="A62" t="str">
        <x:v>CI_40353552</x:v>
      </x:c>
      <x:c r="B62" s="99" t="str">
        <x:v>00101</x:v>
      </x:c>
      <x:c r="C62" t="str">
        <x:v>Z</x:v>
      </x:c>
      <x:c r="D62" t="str">
        <x:v>R</x:v>
      </x:c>
      <x:c r="E62" t="str">
        <x:v>time shift</x:v>
      </x:c>
      <x:c r="F62" t="str">
        <x:v>S</x:v>
      </x:c>
      <x:c r="G62" s="100" t="n">
        <x:v>3</x:v>
      </x:c>
      <x:c r="H62" s="100" t="n">
        <x:v>10</x:v>
      </x:c>
      <x:c r="I62" s="100" t="n">
        <x:v>250</x:v>
      </x:c>
      <x:c r="J62" s="100" t="n">
        <x:v>-0.108</x:v>
      </x:c>
      <x:c r="K62" s="100" t="n">
        <x:v>-0.1056526298029672</x:v>
      </x:c>
      <x:c r="L62" s="100" t="n">
        <x:v>-0.002347370197032808</x:v>
      </x:c>
      <x:c r="M62" s="100" t="n">
        <x:v>-27</x:v>
      </x:c>
      <x:c r="N62" s="100" t="n">
        <x:v>0.9827935311468776</x:v>
      </x:c>
      <x:c r="O62" s="101" t="b">
        <x:v>1</x:v>
      </x:c>
      <x:c r="P62" t="str">
        <x:v>/Users/jvidale/Documents/Research/FaultScanR/output/20260722_181326_2487/CI_40353552</x:v>
      </x:c>
    </x:row>
    <x:row r="63">
      <x:c r="A63" t="str">
        <x:v>CI_40353552</x:v>
      </x:c>
      <x:c r="B63" s="99" t="str">
        <x:v>00102</x:v>
      </x:c>
      <x:c r="C63" t="str">
        <x:v>Z</x:v>
      </x:c>
      <x:c r="D63" t="str">
        <x:v>R</x:v>
      </x:c>
      <x:c r="E63" t="str">
        <x:v>time shift</x:v>
      </x:c>
      <x:c r="F63" t="str">
        <x:v>S</x:v>
      </x:c>
      <x:c r="G63" s="100" t="n">
        <x:v>3</x:v>
      </x:c>
      <x:c r="H63" s="100" t="n">
        <x:v>10</x:v>
      </x:c>
      <x:c r="I63" s="100" t="n">
        <x:v>250</x:v>
      </x:c>
      <x:c r="J63" s="100" t="n">
        <x:v>-0.088</x:v>
      </x:c>
      <x:c r="K63" s="100" t="n">
        <x:v>-0.0999305126178518</x:v>
      </x:c>
      <x:c r="L63" s="100" t="n">
        <x:v>0.0119305126178518</x:v>
      </x:c>
      <x:c r="M63" s="100" t="n">
        <x:v>-22</x:v>
      </x:c>
      <x:c r="N63" s="100" t="n">
        <x:v>0.9496227730806106</x:v>
      </x:c>
      <x:c r="O63" s="101" t="b">
        <x:v>1</x:v>
      </x:c>
      <x:c r="P63" t="str">
        <x:v>/Users/jvidale/Documents/Research/FaultScanR/output/20260722_181326_2487/CI_40353552</x:v>
      </x:c>
    </x:row>
    <x:row r="64">
      <x:c r="A64" t="str">
        <x:v>CI_40353552</x:v>
      </x:c>
      <x:c r="B64" s="99" t="str">
        <x:v>00103</x:v>
      </x:c>
      <x:c r="C64" t="str">
        <x:v>Z</x:v>
      </x:c>
      <x:c r="D64" t="str">
        <x:v>R</x:v>
      </x:c>
      <x:c r="E64" t="str">
        <x:v>time shift</x:v>
      </x:c>
      <x:c r="F64" t="str">
        <x:v>S</x:v>
      </x:c>
      <x:c r="G64" s="100" t="n">
        <x:v>3</x:v>
      </x:c>
      <x:c r="H64" s="100" t="n">
        <x:v>10</x:v>
      </x:c>
      <x:c r="I64" s="100" t="n">
        <x:v>250</x:v>
      </x:c>
      <x:c r="J64" s="100" t="n">
        <x:v>-0.044</x:v>
      </x:c>
      <x:c r="K64" s="100" t="n">
        <x:v>-0.0935082664631226</x:v>
      </x:c>
      <x:c r="L64" s="100" t="n">
        <x:v>0.0495082664631226</x:v>
      </x:c>
      <x:c r="M64" s="100" t="n">
        <x:v>-11</x:v>
      </x:c>
      <x:c r="N64" s="100" t="n">
        <x:v>0.5870672132178967</x:v>
      </x:c>
      <x:c r="O64" s="101" t="b">
        <x:v>0</x:v>
      </x:c>
      <x:c r="P64" t="str">
        <x:v>/Users/jvidale/Documents/Research/FaultScanR/output/20260722_181326_2487/CI_40353552</x:v>
      </x:c>
    </x:row>
    <x:row r="65">
      <x:c r="A65" t="str">
        <x:v>CI_40353552</x:v>
      </x:c>
      <x:c r="B65" s="99" t="str">
        <x:v>00104</x:v>
      </x:c>
      <x:c r="C65" t="str">
        <x:v>Z</x:v>
      </x:c>
      <x:c r="D65" t="str">
        <x:v>R</x:v>
      </x:c>
      <x:c r="E65" t="str">
        <x:v>time shift</x:v>
      </x:c>
      <x:c r="F65" t="str">
        <x:v>S</x:v>
      </x:c>
      <x:c r="G65" s="100" t="n">
        <x:v>3</x:v>
      </x:c>
      <x:c r="H65" s="100" t="n">
        <x:v>10</x:v>
      </x:c>
      <x:c r="I65" s="100" t="n">
        <x:v>250</x:v>
      </x:c>
      <x:c r="J65" s="100" t="n">
        <x:v>-0.036</x:v>
      </x:c>
      <x:c r="K65" s="100" t="n">
        <x:v>-0.08287038729118024</x:v>
      </x:c>
      <x:c r="L65" s="100" t="n">
        <x:v>0.04687038729118024</x:v>
      </x:c>
      <x:c r="M65" s="100" t="n">
        <x:v>-9</x:v>
      </x:c>
      <x:c r="N65" s="100" t="n">
        <x:v>0.4621819652331445</x:v>
      </x:c>
      <x:c r="O65" s="101" t="b">
        <x:v>0</x:v>
      </x:c>
      <x:c r="P65" t="str">
        <x:v>/Users/jvidale/Documents/Research/FaultScanR/output/20260722_181326_2487/CI_40353552</x:v>
      </x:c>
    </x:row>
    <x:row r="66">
      <x:c r="A66" t="str">
        <x:v>CI_40353552</x:v>
      </x:c>
      <x:c r="B66" s="99" t="str">
        <x:v>00105</x:v>
      </x:c>
      <x:c r="C66" t="str">
        <x:v>Z</x:v>
      </x:c>
      <x:c r="D66" t="str">
        <x:v>R</x:v>
      </x:c>
      <x:c r="E66" t="str">
        <x:v>time shift</x:v>
      </x:c>
      <x:c r="F66" t="str">
        <x:v>S</x:v>
      </x:c>
      <x:c r="G66" s="100" t="n">
        <x:v>3</x:v>
      </x:c>
      <x:c r="H66" s="100" t="n">
        <x:v>10</x:v>
      </x:c>
      <x:c r="I66" s="100" t="n">
        <x:v>250</x:v>
      </x:c>
      <x:c r="J66" s="100" t="n">
        <x:v>-0.028</x:v>
      </x:c>
      <x:c r="K66" s="100" t="n">
        <x:v>-0.07337671183174521</x:v>
      </x:c>
      <x:c r="L66" s="100" t="n">
        <x:v>0.04537671183174521</x:v>
      </x:c>
      <x:c r="M66" s="100" t="n">
        <x:v>-7</x:v>
      </x:c>
      <x:c r="N66" s="100" t="n">
        <x:v>0.5567916780547221</x:v>
      </x:c>
      <x:c r="O66" s="101" t="b">
        <x:v>0</x:v>
      </x:c>
      <x:c r="P66" t="str">
        <x:v>/Users/jvidale/Documents/Research/FaultScanR/output/20260722_181326_2487/CI_40353552</x:v>
      </x:c>
    </x:row>
    <x:row r="67">
      <x:c r="A67" t="str">
        <x:v>CI_40353552</x:v>
      </x:c>
      <x:c r="B67" s="99" t="str">
        <x:v>00106</x:v>
      </x:c>
      <x:c r="C67" t="str">
        <x:v>Z</x:v>
      </x:c>
      <x:c r="D67" t="str">
        <x:v>R</x:v>
      </x:c>
      <x:c r="E67" t="str">
        <x:v>time shift</x:v>
      </x:c>
      <x:c r="F67" t="str">
        <x:v>S</x:v>
      </x:c>
      <x:c r="G67" s="100" t="n">
        <x:v>3</x:v>
      </x:c>
      <x:c r="H67" s="100" t="n">
        <x:v>10</x:v>
      </x:c>
      <x:c r="I67" s="100" t="n">
        <x:v>250</x:v>
      </x:c>
      <x:c r="J67" s="100" t="n">
        <x:v>-0.016</x:v>
      </x:c>
      <x:c r="K67" s="100" t="n">
        <x:v>-0.06320344472238837</x:v>
      </x:c>
      <x:c r="L67" s="100" t="n">
        <x:v>0.04720344472238837</x:v>
      </x:c>
      <x:c r="M67" s="100" t="n">
        <x:v>-4</x:v>
      </x:c>
      <x:c r="N67" s="100" t="n">
        <x:v>0.3883759475617143</x:v>
      </x:c>
      <x:c r="O67" s="101" t="b">
        <x:v>0</x:v>
      </x:c>
      <x:c r="P67" t="str">
        <x:v>/Users/jvidale/Documents/Research/FaultScanR/output/20260722_181326_2487/CI_40353552</x:v>
      </x:c>
    </x:row>
    <x:row r="68">
      <x:c r="A68" t="str">
        <x:v>CI_40353552</x:v>
      </x:c>
      <x:c r="B68" s="99" t="str">
        <x:v>00108</x:v>
      </x:c>
      <x:c r="C68" t="str">
        <x:v>Z</x:v>
      </x:c>
      <x:c r="D68" t="str">
        <x:v>R</x:v>
      </x:c>
      <x:c r="E68" t="str">
        <x:v>time shift</x:v>
      </x:c>
      <x:c r="F68" t="str">
        <x:v>S</x:v>
      </x:c>
      <x:c r="G68" s="100" t="n">
        <x:v>3</x:v>
      </x:c>
      <x:c r="H68" s="100" t="n">
        <x:v>10</x:v>
      </x:c>
      <x:c r="I68" s="100" t="n">
        <x:v>250</x:v>
      </x:c>
      <x:c r="J68" s="100" t="n">
        <x:v>0</x:v>
      </x:c>
      <x:c r="K68" s="100" t="n">
        <x:v>-0.0464625904667697</x:v>
      </x:c>
      <x:c r="L68" s="100" t="n">
        <x:v>0.0464625904667697</x:v>
      </x:c>
      <x:c r="M68" s="100" t="n">
        <x:v>0</x:v>
      </x:c>
      <x:c r="N68" s="100" t="n">
        <x:v>0.9120801095740617</x:v>
      </x:c>
      <x:c r="O68" s="101" t="b">
        <x:v>1</x:v>
      </x:c>
      <x:c r="P68" t="str">
        <x:v>/Users/jvidale/Documents/Research/FaultScanR/output/20260722_181326_2487/CI_40353552</x:v>
      </x:c>
    </x:row>
    <x:row r="69">
      <x:c r="A69" t="str">
        <x:v>CI_40353552</x:v>
      </x:c>
      <x:c r="B69" s="99" t="str">
        <x:v>00109</x:v>
      </x:c>
      <x:c r="C69" t="str">
        <x:v>Z</x:v>
      </x:c>
      <x:c r="D69" t="str">
        <x:v>R</x:v>
      </x:c>
      <x:c r="E69" t="str">
        <x:v>time shift</x:v>
      </x:c>
      <x:c r="F69" t="str">
        <x:v>S</x:v>
      </x:c>
      <x:c r="G69" s="100" t="n">
        <x:v>3</x:v>
      </x:c>
      <x:c r="H69" s="100" t="n">
        <x:v>10</x:v>
      </x:c>
      <x:c r="I69" s="100" t="n">
        <x:v>250</x:v>
      </x:c>
      <x:c r="J69" s="100" t="n">
        <x:v>0.012</x:v>
      </x:c>
      <x:c r="K69" s="100" t="n">
        <x:v>-0.03561748788714603</x:v>
      </x:c>
      <x:c r="L69" s="100" t="n">
        <x:v>0.04761748788714602</x:v>
      </x:c>
      <x:c r="M69" s="100" t="n">
        <x:v>3</x:v>
      </x:c>
      <x:c r="N69" s="100" t="n">
        <x:v>0.9590913358134723</x:v>
      </x:c>
      <x:c r="O69" s="101" t="b">
        <x:v>1</x:v>
      </x:c>
      <x:c r="P69" t="str">
        <x:v>/Users/jvidale/Documents/Research/FaultScanR/output/20260722_181326_2487/CI_40353552</x:v>
      </x:c>
    </x:row>
    <x:row r="70">
      <x:c r="A70" t="str">
        <x:v>CI_40353552</x:v>
      </x:c>
      <x:c r="B70" s="99" t="str">
        <x:v>00110</x:v>
      </x:c>
      <x:c r="C70" t="str">
        <x:v>Z</x:v>
      </x:c>
      <x:c r="D70" t="str">
        <x:v>R</x:v>
      </x:c>
      <x:c r="E70" t="str">
        <x:v>time shift</x:v>
      </x:c>
      <x:c r="F70" t="str">
        <x:v>S</x:v>
      </x:c>
      <x:c r="G70" s="100" t="n">
        <x:v>3</x:v>
      </x:c>
      <x:c r="H70" s="100" t="n">
        <x:v>10</x:v>
      </x:c>
      <x:c r="I70" s="100" t="n">
        <x:v>250</x:v>
      </x:c>
      <x:c r="J70" s="100" t="n">
        <x:v>-0.144</x:v>
      </x:c>
      <x:c r="K70" s="100" t="n">
        <x:v>-0.1485057980117039</x:v>
      </x:c>
      <x:c r="L70" s="100" t="n">
        <x:v>0.004505798011703949</x:v>
      </x:c>
      <x:c r="M70" s="100" t="n">
        <x:v>-36</x:v>
      </x:c>
      <x:c r="N70" s="100" t="n">
        <x:v>0.9414299837258889</x:v>
      </x:c>
      <x:c r="O70" s="101" t="b">
        <x:v>1</x:v>
      </x:c>
      <x:c r="P70" t="str">
        <x:v>/Users/jvidale/Documents/Research/FaultScanR/output/20260722_181326_2487/CI_40353552</x:v>
      </x:c>
    </x:row>
    <x:row r="71">
      <x:c r="A71" t="str">
        <x:v>CI_40353552</x:v>
      </x:c>
      <x:c r="B71" s="99" t="str">
        <x:v>00111</x:v>
      </x:c>
      <x:c r="C71" t="str">
        <x:v>Z</x:v>
      </x:c>
      <x:c r="D71" t="str">
        <x:v>R</x:v>
      </x:c>
      <x:c r="E71" t="str">
        <x:v>time shift</x:v>
      </x:c>
      <x:c r="F71" t="str">
        <x:v>S</x:v>
      </x:c>
      <x:c r="G71" s="100" t="n">
        <x:v>3</x:v>
      </x:c>
      <x:c r="H71" s="100" t="n">
        <x:v>10</x:v>
      </x:c>
      <x:c r="I71" s="100" t="n">
        <x:v>250</x:v>
      </x:c>
      <x:c r="J71" s="100" t="n">
        <x:v>-0.14</x:v>
      </x:c>
      <x:c r="K71" s="100" t="n">
        <x:v>-0.1352371544012279</x:v>
      </x:c>
      <x:c r="L71" s="100" t="n">
        <x:v>-0.004762845598772159</x:v>
      </x:c>
      <x:c r="M71" s="100" t="n">
        <x:v>-35</x:v>
      </x:c>
      <x:c r="N71" s="100" t="n">
        <x:v>0.9168195488418753</x:v>
      </x:c>
      <x:c r="O71" s="101" t="b">
        <x:v>1</x:v>
      </x:c>
      <x:c r="P71" t="str">
        <x:v>/Users/jvidale/Documents/Research/FaultScanR/output/20260722_181326_2487/CI_40353552</x:v>
      </x:c>
    </x:row>
    <x:row r="72">
      <x:c r="A72" t="str">
        <x:v>CI_40353552</x:v>
      </x:c>
      <x:c r="B72" s="99" t="str">
        <x:v>00112</x:v>
      </x:c>
      <x:c r="C72" t="str">
        <x:v>Z</x:v>
      </x:c>
      <x:c r="D72" t="str">
        <x:v>R</x:v>
      </x:c>
      <x:c r="E72" t="str">
        <x:v>time shift</x:v>
      </x:c>
      <x:c r="F72" t="str">
        <x:v>S</x:v>
      </x:c>
      <x:c r="G72" s="100" t="n">
        <x:v>3</x:v>
      </x:c>
      <x:c r="H72" s="100" t="n">
        <x:v>10</x:v>
      </x:c>
      <x:c r="I72" s="100" t="n">
        <x:v>250</x:v>
      </x:c>
      <x:c r="J72" s="100" t="n">
        <x:v>-0.136</x:v>
      </x:c>
      <x:c r="K72" s="100" t="n">
        <x:v>-0.1272050287654594</x:v>
      </x:c>
      <x:c r="L72" s="100" t="n">
        <x:v>-0.00879497123454065</x:v>
      </x:c>
      <x:c r="M72" s="100" t="n">
        <x:v>-34</x:v>
      </x:c>
      <x:c r="N72" s="100" t="n">
        <x:v>0.9366439464022978</x:v>
      </x:c>
      <x:c r="O72" s="101" t="b">
        <x:v>1</x:v>
      </x:c>
      <x:c r="P72" t="str">
        <x:v>/Users/jvidale/Documents/Research/FaultScanR/output/20260722_181326_2487/CI_40353552</x:v>
      </x:c>
    </x:row>
    <x:row r="73">
      <x:c r="A73" t="str">
        <x:v>CI_40353552</x:v>
      </x:c>
      <x:c r="B73" s="99" t="str">
        <x:v>00113</x:v>
      </x:c>
      <x:c r="C73" t="str">
        <x:v>Z</x:v>
      </x:c>
      <x:c r="D73" t="str">
        <x:v>R</x:v>
      </x:c>
      <x:c r="E73" t="str">
        <x:v>time shift</x:v>
      </x:c>
      <x:c r="F73" t="str">
        <x:v>S</x:v>
      </x:c>
      <x:c r="G73" s="100" t="n">
        <x:v>3</x:v>
      </x:c>
      <x:c r="H73" s="100" t="n">
        <x:v>10</x:v>
      </x:c>
      <x:c r="I73" s="100" t="n">
        <x:v>250</x:v>
      </x:c>
      <x:c r="J73" s="100" t="n">
        <x:v>-0.132</x:v>
      </x:c>
      <x:c r="K73" s="100" t="n">
        <x:v>-0.1218184958826001</x:v>
      </x:c>
      <x:c r="L73" s="100" t="n">
        <x:v>-0.01018150411739993</x:v>
      </x:c>
      <x:c r="M73" s="100" t="n">
        <x:v>-33</x:v>
      </x:c>
      <x:c r="N73" s="100" t="n">
        <x:v>0.9464549205698366</x:v>
      </x:c>
      <x:c r="O73" s="101" t="b">
        <x:v>1</x:v>
      </x:c>
      <x:c r="P73" t="str">
        <x:v>/Users/jvidale/Documents/Research/FaultScanR/output/20260722_181326_2487/CI_40353552</x:v>
      </x:c>
    </x:row>
    <x:row r="74">
      <x:c r="A74" t="str">
        <x:v>CI_40353552</x:v>
      </x:c>
      <x:c r="B74" s="99" t="str">
        <x:v>00114</x:v>
      </x:c>
      <x:c r="C74" t="str">
        <x:v>Z</x:v>
      </x:c>
      <x:c r="D74" t="str">
        <x:v>R</x:v>
      </x:c>
      <x:c r="E74" t="str">
        <x:v>time shift</x:v>
      </x:c>
      <x:c r="F74" t="str">
        <x:v>S</x:v>
      </x:c>
      <x:c r="G74" s="100" t="n">
        <x:v>3</x:v>
      </x:c>
      <x:c r="H74" s="100" t="n">
        <x:v>10</x:v>
      </x:c>
      <x:c r="I74" s="100" t="n">
        <x:v>250</x:v>
      </x:c>
      <x:c r="J74" s="100" t="n">
        <x:v>-0.116</x:v>
      </x:c>
      <x:c r="K74" s="100" t="n">
        <x:v>-0.1105125664332212</x:v>
      </x:c>
      <x:c r="L74" s="100" t="n">
        <x:v>-0.005487433566778846</x:v>
      </x:c>
      <x:c r="M74" s="100" t="n">
        <x:v>-29</x:v>
      </x:c>
      <x:c r="N74" s="100" t="n">
        <x:v>0.9163075344849707</x:v>
      </x:c>
      <x:c r="O74" s="101" t="b">
        <x:v>1</x:v>
      </x:c>
      <x:c r="P74" t="str">
        <x:v>/Users/jvidale/Documents/Research/FaultScanR/output/20260722_181326_2487/CI_40353552</x:v>
      </x:c>
    </x:row>
    <x:row r="75">
      <x:c r="A75" t="str">
        <x:v>CI_40353552</x:v>
      </x:c>
      <x:c r="B75" s="99" t="str">
        <x:v>00115</x:v>
      </x:c>
      <x:c r="C75" t="str">
        <x:v>Z</x:v>
      </x:c>
      <x:c r="D75" t="str">
        <x:v>R</x:v>
      </x:c>
      <x:c r="E75" t="str">
        <x:v>time shift</x:v>
      </x:c>
      <x:c r="F75" t="str">
        <x:v>S</x:v>
      </x:c>
      <x:c r="G75" s="100" t="n">
        <x:v>3</x:v>
      </x:c>
      <x:c r="H75" s="100" t="n">
        <x:v>10</x:v>
      </x:c>
      <x:c r="I75" s="100" t="n">
        <x:v>250</x:v>
      </x:c>
      <x:c r="J75" s="100" t="n">
        <x:v>-0.112</x:v>
      </x:c>
      <x:c r="K75" s="100" t="n">
        <x:v>-0.1063905803773908</x:v>
      </x:c>
      <x:c r="L75" s="100" t="n">
        <x:v>-0.005609419622609205</x:v>
      </x:c>
      <x:c r="M75" s="100" t="n">
        <x:v>-28</x:v>
      </x:c>
      <x:c r="N75" s="100" t="n">
        <x:v>0.9636302862311458</x:v>
      </x:c>
      <x:c r="O75" s="101" t="b">
        <x:v>1</x:v>
      </x:c>
      <x:c r="P75" t="str">
        <x:v>/Users/jvidale/Documents/Research/FaultScanR/output/20260722_181326_2487/CI_40353552</x:v>
      </x:c>
    </x:row>
    <x:row r="76">
      <x:c r="A76" t="str">
        <x:v>CI_40353552</x:v>
      </x:c>
      <x:c r="B76" s="99" t="str">
        <x:v>00116</x:v>
      </x:c>
      <x:c r="C76" t="str">
        <x:v>Z</x:v>
      </x:c>
      <x:c r="D76" t="str">
        <x:v>R</x:v>
      </x:c>
      <x:c r="E76" t="str">
        <x:v>time shift</x:v>
      </x:c>
      <x:c r="F76" t="str">
        <x:v>S</x:v>
      </x:c>
      <x:c r="G76" s="100" t="n">
        <x:v>3</x:v>
      </x:c>
      <x:c r="H76" s="100" t="n">
        <x:v>10</x:v>
      </x:c>
      <x:c r="I76" s="100" t="n">
        <x:v>250</x:v>
      </x:c>
      <x:c r="J76" s="100" t="n">
        <x:v>-0.096</x:v>
      </x:c>
      <x:c r="K76" s="100" t="n">
        <x:v>-0.0949340007627999</x:v>
      </x:c>
      <x:c r="L76" s="100" t="n">
        <x:v>-0.001065999237200105</x:v>
      </x:c>
      <x:c r="M76" s="100" t="n">
        <x:v>-24</x:v>
      </x:c>
      <x:c r="N76" s="100" t="n">
        <x:v>0.9936815846962876</x:v>
      </x:c>
      <x:c r="O76" s="101" t="b">
        <x:v>1</x:v>
      </x:c>
      <x:c r="P76" t="str">
        <x:v>/Users/jvidale/Documents/Research/FaultScanR/output/20260722_181326_2487/CI_40353552</x:v>
      </x:c>
    </x:row>
    <x:row r="77">
      <x:c r="A77" t="str">
        <x:v>CI_40353552</x:v>
      </x:c>
      <x:c r="B77" s="99" t="str">
        <x:v>00117</x:v>
      </x:c>
      <x:c r="C77" t="str">
        <x:v>Z</x:v>
      </x:c>
      <x:c r="D77" t="str">
        <x:v>R</x:v>
      </x:c>
      <x:c r="E77" t="str">
        <x:v>time shift</x:v>
      </x:c>
      <x:c r="F77" t="str">
        <x:v>S</x:v>
      </x:c>
      <x:c r="G77" s="100" t="n">
        <x:v>3</x:v>
      </x:c>
      <x:c r="H77" s="100" t="n">
        <x:v>10</x:v>
      </x:c>
      <x:c r="I77" s="100" t="n">
        <x:v>250</x:v>
      </x:c>
      <x:c r="J77" s="100" t="n">
        <x:v>-0.092</x:v>
      </x:c>
      <x:c r="K77" s="100" t="n">
        <x:v>-0.088266436878504</x:v>
      </x:c>
      <x:c r="L77" s="100" t="n">
        <x:v>-0.003733563121496003</x:v>
      </x:c>
      <x:c r="M77" s="100" t="n">
        <x:v>-23</x:v>
      </x:c>
      <x:c r="N77" s="100" t="n">
        <x:v>0.9675445948164859</x:v>
      </x:c>
      <x:c r="O77" s="101" t="b">
        <x:v>1</x:v>
      </x:c>
      <x:c r="P77" t="str">
        <x:v>/Users/jvidale/Documents/Research/FaultScanR/output/20260722_181326_2487/CI_40353552</x:v>
      </x:c>
    </x:row>
    <x:row r="78">
      <x:c r="A78" t="str">
        <x:v>CI_40353552</x:v>
      </x:c>
      <x:c r="B78" s="99" t="str">
        <x:v>00118</x:v>
      </x:c>
      <x:c r="C78" t="str">
        <x:v>Z</x:v>
      </x:c>
      <x:c r="D78" t="str">
        <x:v>R</x:v>
      </x:c>
      <x:c r="E78" t="str">
        <x:v>time shift</x:v>
      </x:c>
      <x:c r="F78" t="str">
        <x:v>S</x:v>
      </x:c>
      <x:c r="G78" s="100" t="n">
        <x:v>3</x:v>
      </x:c>
      <x:c r="H78" s="100" t="n">
        <x:v>10</x:v>
      </x:c>
      <x:c r="I78" s="100" t="n">
        <x:v>250</x:v>
      </x:c>
      <x:c r="J78" s="100" t="n">
        <x:v>-0.112</x:v>
      </x:c>
      <x:c r="K78" s="100" t="n">
        <x:v>-0.07740815638025289</x:v>
      </x:c>
      <x:c r="L78" s="100" t="n">
        <x:v>-0.03459184361974711</x:v>
      </x:c>
      <x:c r="M78" s="100" t="n">
        <x:v>-28</x:v>
      </x:c>
      <x:c r="N78" s="100" t="n">
        <x:v>0.5013659368577166</x:v>
      </x:c>
      <x:c r="O78" s="101" t="b">
        <x:v>0</x:v>
      </x:c>
      <x:c r="P78" t="str">
        <x:v>/Users/jvidale/Documents/Research/FaultScanR/output/20260722_181326_2487/CI_40353552</x:v>
      </x:c>
    </x:row>
    <x:row r="79">
      <x:c r="A79" t="str">
        <x:v>CI_40353552</x:v>
      </x:c>
      <x:c r="B79" s="99" t="str">
        <x:v>00119</x:v>
      </x:c>
      <x:c r="C79" t="str">
        <x:v>Z</x:v>
      </x:c>
      <x:c r="D79" t="str">
        <x:v>R</x:v>
      </x:c>
      <x:c r="E79" t="str">
        <x:v>time shift</x:v>
      </x:c>
      <x:c r="F79" t="str">
        <x:v>S</x:v>
      </x:c>
      <x:c r="G79" s="100" t="n">
        <x:v>3</x:v>
      </x:c>
      <x:c r="H79" s="100" t="n">
        <x:v>10</x:v>
      </x:c>
      <x:c r="I79" s="100" t="n">
        <x:v>250</x:v>
      </x:c>
      <x:c r="J79" s="100" t="n">
        <x:v>-0.028</x:v>
      </x:c>
      <x:c r="K79" s="100" t="n">
        <x:v>-0.07183201821272611</x:v>
      </x:c>
      <x:c r="L79" s="100" t="n">
        <x:v>0.04383201821272611</x:v>
      </x:c>
      <x:c r="M79" s="100" t="n">
        <x:v>-7</x:v>
      </x:c>
      <x:c r="N79" s="100" t="n">
        <x:v>0.7013572825823253</x:v>
      </x:c>
      <x:c r="O79" s="101" t="b">
        <x:v>1</x:v>
      </x:c>
      <x:c r="P79" t="str">
        <x:v>/Users/jvidale/Documents/Research/FaultScanR/output/20260722_181326_2487/CI_40353552</x:v>
      </x:c>
    </x:row>
    <x:row r="80">
      <x:c r="A80" t="str">
        <x:v>CI_40353552</x:v>
      </x:c>
      <x:c r="B80" s="99" t="str">
        <x:v>00120</x:v>
      </x:c>
      <x:c r="C80" t="str">
        <x:v>Z</x:v>
      </x:c>
      <x:c r="D80" t="str">
        <x:v>R</x:v>
      </x:c>
      <x:c r="E80" t="str">
        <x:v>time shift</x:v>
      </x:c>
      <x:c r="F80" t="str">
        <x:v>S</x:v>
      </x:c>
      <x:c r="G80" s="100" t="n">
        <x:v>3</x:v>
      </x:c>
      <x:c r="H80" s="100" t="n">
        <x:v>10</x:v>
      </x:c>
      <x:c r="I80" s="100" t="n">
        <x:v>250</x:v>
      </x:c>
      <x:c r="J80" s="100" t="n">
        <x:v>-0.096</x:v>
      </x:c>
      <x:c r="K80" s="100" t="n">
        <x:v>-0.06214687135342256</x:v>
      </x:c>
      <x:c r="L80" s="100" t="n">
        <x:v>-0.03385312864657744</x:v>
      </x:c>
      <x:c r="M80" s="100" t="n">
        <x:v>-24</x:v>
      </x:c>
      <x:c r="N80" s="100" t="n">
        <x:v>0.7041084684803167</x:v>
      </x:c>
      <x:c r="O80" s="101" t="b">
        <x:v>1</x:v>
      </x:c>
      <x:c r="P80" t="str">
        <x:v>/Users/jvidale/Documents/Research/FaultScanR/output/20260722_181326_2487/CI_40353552</x:v>
      </x:c>
    </x:row>
    <x:row r="81">
      <x:c r="A81" t="str">
        <x:v>CI_40353552</x:v>
      </x:c>
      <x:c r="B81" s="99" t="str">
        <x:v>00121</x:v>
      </x:c>
      <x:c r="C81" t="str">
        <x:v>Z</x:v>
      </x:c>
      <x:c r="D81" t="str">
        <x:v>R</x:v>
      </x:c>
      <x:c r="E81" t="str">
        <x:v>time shift</x:v>
      </x:c>
      <x:c r="F81" t="str">
        <x:v>S</x:v>
      </x:c>
      <x:c r="G81" s="100" t="n">
        <x:v>3</x:v>
      </x:c>
      <x:c r="H81" s="100" t="n">
        <x:v>10</x:v>
      </x:c>
      <x:c r="I81" s="100" t="n">
        <x:v>250</x:v>
      </x:c>
      <x:c r="J81" s="100" t="n">
        <x:v>-0.068</x:v>
      </x:c>
      <x:c r="K81" s="100" t="n">
        <x:v>-0.05019646444002657</x:v>
      </x:c>
      <x:c r="L81" s="100" t="n">
        <x:v>-0.01780353555997344</x:v>
      </x:c>
      <x:c r="M81" s="100" t="n">
        <x:v>-17</x:v>
      </x:c>
      <x:c r="N81" s="100" t="n">
        <x:v>0.7876503701614138</x:v>
      </x:c>
      <x:c r="O81" s="101" t="b">
        <x:v>1</x:v>
      </x:c>
      <x:c r="P81" t="str">
        <x:v>/Users/jvidale/Documents/Research/FaultScanR/output/20260722_181326_2487/CI_40353552</x:v>
      </x:c>
    </x:row>
    <x:row r="82">
      <x:c r="A82" t="str">
        <x:v>CI_40353552</x:v>
      </x:c>
      <x:c r="B82" s="99" t="str">
        <x:v>00122</x:v>
      </x:c>
      <x:c r="C82" t="str">
        <x:v>Z</x:v>
      </x:c>
      <x:c r="D82" t="str">
        <x:v>R</x:v>
      </x:c>
      <x:c r="E82" t="str">
        <x:v>time shift</x:v>
      </x:c>
      <x:c r="F82" t="str">
        <x:v>S</x:v>
      </x:c>
      <x:c r="G82" s="100" t="n">
        <x:v>3</x:v>
      </x:c>
      <x:c r="H82" s="100" t="n">
        <x:v>10</x:v>
      </x:c>
      <x:c r="I82" s="100" t="n">
        <x:v>250</x:v>
      </x:c>
      <x:c r="J82" s="100" t="n">
        <x:v>0</x:v>
      </x:c>
      <x:c r="K82" s="100" t="n">
        <x:v>-0.04414131123702347</x:v>
      </x:c>
      <x:c r="L82" s="100" t="n">
        <x:v>0.04414131123702347</x:v>
      </x:c>
      <x:c r="M82" s="100" t="n">
        <x:v>0</x:v>
      </x:c>
      <x:c r="N82" s="100" t="n">
        <x:v>0.8323044858748252</x:v>
      </x:c>
      <x:c r="O82" s="101" t="b">
        <x:v>1</x:v>
      </x:c>
      <x:c r="P82" t="str">
        <x:v>/Users/jvidale/Documents/Research/FaultScanR/output/20260722_181326_2487/CI_40353552</x:v>
      </x:c>
    </x:row>
    <x:row r="83">
      <x:c r="A83" t="str">
        <x:v>CI_40353552</x:v>
      </x:c>
      <x:c r="B83" s="99" t="str">
        <x:v>00123</x:v>
      </x:c>
      <x:c r="C83" t="str">
        <x:v>Z</x:v>
      </x:c>
      <x:c r="D83" t="str">
        <x:v>R</x:v>
      </x:c>
      <x:c r="E83" t="str">
        <x:v>time shift</x:v>
      </x:c>
      <x:c r="F83" t="str">
        <x:v>S</x:v>
      </x:c>
      <x:c r="G83" s="100" t="n">
        <x:v>3</x:v>
      </x:c>
      <x:c r="H83" s="100" t="n">
        <x:v>10</x:v>
      </x:c>
      <x:c r="I83" s="100" t="n">
        <x:v>250</x:v>
      </x:c>
      <x:c r="J83" s="100" t="n">
        <x:v>0.008</x:v>
      </x:c>
      <x:c r="K83" s="100" t="n">
        <x:v>-0.03245850068524803</x:v>
      </x:c>
      <x:c r="L83" s="100" t="n">
        <x:v>0.04045850068524803</x:v>
      </x:c>
      <x:c r="M83" s="100" t="n">
        <x:v>2</x:v>
      </x:c>
      <x:c r="N83" s="100" t="n">
        <x:v>0.9491576895212832</x:v>
      </x:c>
      <x:c r="O83" s="101" t="b">
        <x:v>1</x:v>
      </x:c>
      <x:c r="P83" t="str">
        <x:v>/Users/jvidale/Documents/Research/FaultScanR/output/20260722_181326_2487/CI_40353552</x:v>
      </x:c>
    </x:row>
    <x:row r="84">
      <x:c r="A84" t="str">
        <x:v>CI_40353552</x:v>
      </x:c>
      <x:c r="B84" s="99" t="str">
        <x:v>00124</x:v>
      </x:c>
      <x:c r="C84" t="str">
        <x:v>Z</x:v>
      </x:c>
      <x:c r="D84" t="str">
        <x:v>R</x:v>
      </x:c>
      <x:c r="E84" t="str">
        <x:v>time shift</x:v>
      </x:c>
      <x:c r="F84" t="str">
        <x:v>S</x:v>
      </x:c>
      <x:c r="G84" s="100" t="n">
        <x:v>3</x:v>
      </x:c>
      <x:c r="H84" s="100" t="n">
        <x:v>10</x:v>
      </x:c>
      <x:c r="I84" s="100" t="n">
        <x:v>250</x:v>
      </x:c>
      <x:c r="J84" s="100" t="n">
        <x:v>0.016</x:v>
      </x:c>
      <x:c r="K84" s="100" t="n">
        <x:v>-0.02651927945166044</x:v>
      </x:c>
      <x:c r="L84" s="100" t="n">
        <x:v>0.04251927945166044</x:v>
      </x:c>
      <x:c r="M84" s="100" t="n">
        <x:v>4</x:v>
      </x:c>
      <x:c r="N84" s="100" t="n">
        <x:v>0.9763289287262531</x:v>
      </x:c>
      <x:c r="O84" s="101" t="b">
        <x:v>1</x:v>
      </x:c>
      <x:c r="P84" t="str">
        <x:v>/Users/jvidale/Documents/Research/FaultScanR/output/20260722_181326_2487/CI_40353552</x:v>
      </x:c>
    </x:row>
    <x:row r="85">
      <x:c r="A85" t="str">
        <x:v>CI_40353552</x:v>
      </x:c>
      <x:c r="B85" s="99" t="str">
        <x:v>00125</x:v>
      </x:c>
      <x:c r="C85" t="str">
        <x:v>Z</x:v>
      </x:c>
      <x:c r="D85" t="str">
        <x:v>R</x:v>
      </x:c>
      <x:c r="E85" t="str">
        <x:v>time shift</x:v>
      </x:c>
      <x:c r="F85" t="str">
        <x:v>S</x:v>
      </x:c>
      <x:c r="G85" s="100" t="n">
        <x:v>3</x:v>
      </x:c>
      <x:c r="H85" s="100" t="n">
        <x:v>10</x:v>
      </x:c>
      <x:c r="I85" s="100" t="n">
        <x:v>250</x:v>
      </x:c>
      <x:c r="J85" s="100" t="n">
        <x:v>0.032</x:v>
      </x:c>
      <x:c r="K85" s="100" t="n">
        <x:v>-0.01625096466129605</x:v>
      </x:c>
      <x:c r="L85" s="100" t="n">
        <x:v>0.04825096466129605</x:v>
      </x:c>
      <x:c r="M85" s="100" t="n">
        <x:v>8</x:v>
      </x:c>
      <x:c r="N85" s="100" t="n">
        <x:v>0.8148799807588222</x:v>
      </x:c>
      <x:c r="O85" s="101" t="b">
        <x:v>1</x:v>
      </x:c>
      <x:c r="P85" t="str">
        <x:v>/Users/jvidale/Documents/Research/FaultScanR/output/20260722_181326_2487/CI_40353552</x:v>
      </x:c>
    </x:row>
    <x:row r="86">
      <x:c r="A86" t="str">
        <x:v>CI_40353552</x:v>
      </x:c>
      <x:c r="B86" s="99" t="str">
        <x:v>00126</x:v>
      </x:c>
      <x:c r="C86" t="str">
        <x:v>Z</x:v>
      </x:c>
      <x:c r="D86" t="str">
        <x:v>R</x:v>
      </x:c>
      <x:c r="E86" t="str">
        <x:v>time shift</x:v>
      </x:c>
      <x:c r="F86" t="str">
        <x:v>S</x:v>
      </x:c>
      <x:c r="G86" s="100" t="n">
        <x:v>3</x:v>
      </x:c>
      <x:c r="H86" s="100" t="n">
        <x:v>10</x:v>
      </x:c>
      <x:c r="I86" s="100" t="n">
        <x:v>250</x:v>
      </x:c>
      <x:c r="J86" s="100" t="n">
        <x:v>-0.116</x:v>
      </x:c>
      <x:c r="K86" s="100" t="n">
        <x:v>-0.1231005111553243</x:v>
      </x:c>
      <x:c r="L86" s="100" t="n">
        <x:v>0.007100511155324271</x:v>
      </x:c>
      <x:c r="M86" s="100" t="n">
        <x:v>-29</x:v>
      </x:c>
      <x:c r="N86" s="100" t="n">
        <x:v>0.98982279623481</x:v>
      </x:c>
      <x:c r="O86" s="101" t="b">
        <x:v>1</x:v>
      </x:c>
      <x:c r="P86" t="str">
        <x:v>/Users/jvidale/Documents/Research/FaultScanR/output/20260722_181326_2487/CI_40353552</x:v>
      </x:c>
    </x:row>
    <x:row r="87">
      <x:c r="A87" t="str">
        <x:v>CI_40353552</x:v>
      </x:c>
      <x:c r="B87" s="99" t="str">
        <x:v>00127</x:v>
      </x:c>
      <x:c r="C87" t="str">
        <x:v>Z</x:v>
      </x:c>
      <x:c r="D87" t="str">
        <x:v>R</x:v>
      </x:c>
      <x:c r="E87" t="str">
        <x:v>time shift</x:v>
      </x:c>
      <x:c r="F87" t="str">
        <x:v>S</x:v>
      </x:c>
      <x:c r="G87" s="100" t="n">
        <x:v>3</x:v>
      </x:c>
      <x:c r="H87" s="100" t="n">
        <x:v>10</x:v>
      </x:c>
      <x:c r="I87" s="100" t="n">
        <x:v>250</x:v>
      </x:c>
      <x:c r="J87" s="100" t="n">
        <x:v>-0.12</x:v>
      </x:c>
      <x:c r="K87" s="100" t="n">
        <x:v>-0.1154106141133022</x:v>
      </x:c>
      <x:c r="L87" s="100" t="n">
        <x:v>-0.004589385886697772</x:v>
      </x:c>
      <x:c r="M87" s="100" t="n">
        <x:v>-30</x:v>
      </x:c>
      <x:c r="N87" s="100" t="n">
        <x:v>0.9141963594846436</x:v>
      </x:c>
      <x:c r="O87" s="101" t="b">
        <x:v>1</x:v>
      </x:c>
      <x:c r="P87" t="str">
        <x:v>/Users/jvidale/Documents/Research/FaultScanR/output/20260722_181326_2487/CI_40353552</x:v>
      </x:c>
    </x:row>
    <x:row r="88">
      <x:c r="A88" t="str">
        <x:v>CI_40353552</x:v>
      </x:c>
      <x:c r="B88" s="99" t="str">
        <x:v>00128</x:v>
      </x:c>
      <x:c r="C88" t="str">
        <x:v>Z</x:v>
      </x:c>
      <x:c r="D88" t="str">
        <x:v>R</x:v>
      </x:c>
      <x:c r="E88" t="str">
        <x:v>time shift</x:v>
      </x:c>
      <x:c r="F88" t="str">
        <x:v>S</x:v>
      </x:c>
      <x:c r="G88" s="100" t="n">
        <x:v>3</x:v>
      </x:c>
      <x:c r="H88" s="100" t="n">
        <x:v>10</x:v>
      </x:c>
      <x:c r="I88" s="100" t="n">
        <x:v>250</x:v>
      </x:c>
      <x:c r="J88" s="100" t="n">
        <x:v>-0.112</x:v>
      </x:c>
      <x:c r="K88" s="100" t="n">
        <x:v>-0.1069643851136712</x:v>
      </x:c>
      <x:c r="L88" s="100" t="n">
        <x:v>-0.005035614886328768</x:v>
      </x:c>
      <x:c r="M88" s="100" t="n">
        <x:v>-28</x:v>
      </x:c>
      <x:c r="N88" s="100" t="n">
        <x:v>0.9477621523164861</x:v>
      </x:c>
      <x:c r="O88" s="101" t="b">
        <x:v>1</x:v>
      </x:c>
      <x:c r="P88" t="str">
        <x:v>/Users/jvidale/Documents/Research/FaultScanR/output/20260722_181326_2487/CI_40353552</x:v>
      </x:c>
    </x:row>
    <x:row r="89">
      <x:c r="A89" t="str">
        <x:v>CI_40353552</x:v>
      </x:c>
      <x:c r="B89" s="99" t="str">
        <x:v>00129</x:v>
      </x:c>
      <x:c r="C89" t="str">
        <x:v>Z</x:v>
      </x:c>
      <x:c r="D89" t="str">
        <x:v>R</x:v>
      </x:c>
      <x:c r="E89" t="str">
        <x:v>time shift</x:v>
      </x:c>
      <x:c r="F89" t="str">
        <x:v>S</x:v>
      </x:c>
      <x:c r="G89" s="100" t="n">
        <x:v>3</x:v>
      </x:c>
      <x:c r="H89" s="100" t="n">
        <x:v>10</x:v>
      </x:c>
      <x:c r="I89" s="100" t="n">
        <x:v>250</x:v>
      </x:c>
      <x:c r="J89" s="100" t="n">
        <x:v>-0.108</x:v>
      </x:c>
      <x:c r="K89" s="100" t="n">
        <x:v>-0.09845838412740626</x:v>
      </x:c>
      <x:c r="L89" s="100" t="n">
        <x:v>-0.009541615872593737</x:v>
      </x:c>
      <x:c r="M89" s="100" t="n">
        <x:v>-27</x:v>
      </x:c>
      <x:c r="N89" s="100" t="n">
        <x:v>0.9071134953466773</x:v>
      </x:c>
      <x:c r="O89" s="101" t="b">
        <x:v>1</x:v>
      </x:c>
      <x:c r="P89" t="str">
        <x:v>/Users/jvidale/Documents/Research/FaultScanR/output/20260722_181326_2487/CI_40353552</x:v>
      </x:c>
    </x:row>
    <x:row r="90">
      <x:c r="A90" t="str">
        <x:v>CI_40353552</x:v>
      </x:c>
      <x:c r="B90" s="99" t="str">
        <x:v>00130</x:v>
      </x:c>
      <x:c r="C90" t="str">
        <x:v>Z</x:v>
      </x:c>
      <x:c r="D90" t="str">
        <x:v>R</x:v>
      </x:c>
      <x:c r="E90" t="str">
        <x:v>time shift</x:v>
      </x:c>
      <x:c r="F90" t="str">
        <x:v>S</x:v>
      </x:c>
      <x:c r="G90" s="100" t="n">
        <x:v>3</x:v>
      </x:c>
      <x:c r="H90" s="100" t="n">
        <x:v>10</x:v>
      </x:c>
      <x:c r="I90" s="100" t="n">
        <x:v>250</x:v>
      </x:c>
      <x:c r="J90" s="100" t="n">
        <x:v>-0.104</x:v>
      </x:c>
      <x:c r="K90" s="100" t="n">
        <x:v>-0.09116665253382461</x:v>
      </x:c>
      <x:c r="L90" s="100" t="n">
        <x:v>-0.01283334746617538</x:v>
      </x:c>
      <x:c r="M90" s="100" t="n">
        <x:v>-26</x:v>
      </x:c>
      <x:c r="N90" s="100" t="n">
        <x:v>0.9353868837696785</x:v>
      </x:c>
      <x:c r="O90" s="101" t="b">
        <x:v>1</x:v>
      </x:c>
      <x:c r="P90" t="str">
        <x:v>/Users/jvidale/Documents/Research/FaultScanR/output/20260722_181326_2487/CI_40353552</x:v>
      </x:c>
    </x:row>
    <x:row r="91">
      <x:c r="A91" t="str">
        <x:v>CI_40353552</x:v>
      </x:c>
      <x:c r="B91" s="99" t="str">
        <x:v>00131</x:v>
      </x:c>
      <x:c r="C91" t="str">
        <x:v>Z</x:v>
      </x:c>
      <x:c r="D91" t="str">
        <x:v>R</x:v>
      </x:c>
      <x:c r="E91" t="str">
        <x:v>time shift</x:v>
      </x:c>
      <x:c r="F91" t="str">
        <x:v>S</x:v>
      </x:c>
      <x:c r="G91" s="100" t="n">
        <x:v>3</x:v>
      </x:c>
      <x:c r="H91" s="100" t="n">
        <x:v>10</x:v>
      </x:c>
      <x:c r="I91" s="100" t="n">
        <x:v>250</x:v>
      </x:c>
      <x:c r="J91" s="100" t="n">
        <x:v>-0.092</x:v>
      </x:c>
      <x:c r="K91" s="100" t="n">
        <x:v>-0.08327592287761654</x:v>
      </x:c>
      <x:c r="L91" s="100" t="n">
        <x:v>-0.008724077122383461</x:v>
      </x:c>
      <x:c r="M91" s="100" t="n">
        <x:v>-23</x:v>
      </x:c>
      <x:c r="N91" s="100" t="n">
        <x:v>0.9842347461026802</x:v>
      </x:c>
      <x:c r="O91" s="101" t="b">
        <x:v>1</x:v>
      </x:c>
      <x:c r="P91" t="str">
        <x:v>/Users/jvidale/Documents/Research/FaultScanR/output/20260722_181326_2487/CI_40353552</x:v>
      </x:c>
    </x:row>
    <x:row r="92">
      <x:c r="A92" t="str">
        <x:v>CI_40353552</x:v>
      </x:c>
      <x:c r="B92" s="99" t="str">
        <x:v>00132</x:v>
      </x:c>
      <x:c r="C92" t="str">
        <x:v>Z</x:v>
      </x:c>
      <x:c r="D92" t="str">
        <x:v>R</x:v>
      </x:c>
      <x:c r="E92" t="str">
        <x:v>time shift</x:v>
      </x:c>
      <x:c r="F92" t="str">
        <x:v>S</x:v>
      </x:c>
      <x:c r="G92" s="100" t="n">
        <x:v>3</x:v>
      </x:c>
      <x:c r="H92" s="100" t="n">
        <x:v>10</x:v>
      </x:c>
      <x:c r="I92" s="100" t="n">
        <x:v>250</x:v>
      </x:c>
      <x:c r="J92" s="100" t="n">
        <x:v>-0.064</x:v>
      </x:c>
      <x:c r="K92" s="100" t="n">
        <x:v>-0.0741621271987869</x:v>
      </x:c>
      <x:c r="L92" s="100" t="n">
        <x:v>0.0101621271987869</x:v>
      </x:c>
      <x:c r="M92" s="100" t="n">
        <x:v>-16</x:v>
      </x:c>
      <x:c r="N92" s="100" t="n">
        <x:v>0.7504743514041647</x:v>
      </x:c>
      <x:c r="O92" s="101" t="b">
        <x:v>1</x:v>
      </x:c>
      <x:c r="P92" t="str">
        <x:v>/Users/jvidale/Documents/Research/FaultScanR/output/20260722_181326_2487/CI_40353552</x:v>
      </x:c>
    </x:row>
    <x:row r="93">
      <x:c r="A93" t="str">
        <x:v>CI_40353552</x:v>
      </x:c>
      <x:c r="B93" s="99" t="str">
        <x:v>00133</x:v>
      </x:c>
      <x:c r="C93" t="str">
        <x:v>Z</x:v>
      </x:c>
      <x:c r="D93" t="str">
        <x:v>R</x:v>
      </x:c>
      <x:c r="E93" t="str">
        <x:v>time shift</x:v>
      </x:c>
      <x:c r="F93" t="str">
        <x:v>S</x:v>
      </x:c>
      <x:c r="G93" s="100" t="n">
        <x:v>3</x:v>
      </x:c>
      <x:c r="H93" s="100" t="n">
        <x:v>10</x:v>
      </x:c>
      <x:c r="I93" s="100" t="n">
        <x:v>250</x:v>
      </x:c>
      <x:c r="J93" s="100" t="n">
        <x:v>-0.068</x:v>
      </x:c>
      <x:c r="K93" s="100" t="n">
        <x:v>-0.06323519367419284</x:v>
      </x:c>
      <x:c r="L93" s="100" t="n">
        <x:v>-0.004764806325807169</x:v>
      </x:c>
      <x:c r="M93" s="100" t="n">
        <x:v>-17</x:v>
      </x:c>
      <x:c r="N93" s="100" t="n">
        <x:v>0.9689782660846952</x:v>
      </x:c>
      <x:c r="O93" s="101" t="b">
        <x:v>1</x:v>
      </x:c>
      <x:c r="P93" t="str">
        <x:v>/Users/jvidale/Documents/Research/FaultScanR/output/20260722_181326_2487/CI_40353552</x:v>
      </x:c>
    </x:row>
    <x:row r="94">
      <x:c r="A94" t="str">
        <x:v>CI_40353552</x:v>
      </x:c>
      <x:c r="B94" s="99" t="str">
        <x:v>00134</x:v>
      </x:c>
      <x:c r="C94" t="str">
        <x:v>Z</x:v>
      </x:c>
      <x:c r="D94" t="str">
        <x:v>R</x:v>
      </x:c>
      <x:c r="E94" t="str">
        <x:v>time shift</x:v>
      </x:c>
      <x:c r="F94" t="str">
        <x:v>S</x:v>
      </x:c>
      <x:c r="G94" s="100" t="n">
        <x:v>3</x:v>
      </x:c>
      <x:c r="H94" s="100" t="n">
        <x:v>10</x:v>
      </x:c>
      <x:c r="I94" s="100" t="n">
        <x:v>250</x:v>
      </x:c>
      <x:c r="J94" s="100" t="n">
        <x:v>-0.06</x:v>
      </x:c>
      <x:c r="K94" s="100" t="n">
        <x:v>-0.05731273416310145</x:v>
      </x:c>
      <x:c r="L94" s="100" t="n">
        <x:v>-0.002687265836898545</x:v>
      </x:c>
      <x:c r="M94" s="100" t="n">
        <x:v>-15</x:v>
      </x:c>
      <x:c r="N94" s="100" t="n">
        <x:v>0.8430355066896406</x:v>
      </x:c>
      <x:c r="O94" s="101" t="b">
        <x:v>1</x:v>
      </x:c>
      <x:c r="P94" t="str">
        <x:v>/Users/jvidale/Documents/Research/FaultScanR/output/20260722_181326_2487/CI_40353552</x:v>
      </x:c>
    </x:row>
    <x:row r="95">
      <x:c r="A95" t="str">
        <x:v>CI_40353552</x:v>
      </x:c>
      <x:c r="B95" s="99" t="str">
        <x:v>00135</x:v>
      </x:c>
      <x:c r="C95" t="str">
        <x:v>Z</x:v>
      </x:c>
      <x:c r="D95" t="str">
        <x:v>R</x:v>
      </x:c>
      <x:c r="E95" t="str">
        <x:v>time shift</x:v>
      </x:c>
      <x:c r="F95" t="str">
        <x:v>S</x:v>
      </x:c>
      <x:c r="G95" s="100" t="n">
        <x:v>3</x:v>
      </x:c>
      <x:c r="H95" s="100" t="n">
        <x:v>10</x:v>
      </x:c>
      <x:c r="I95" s="100" t="n">
        <x:v>250</x:v>
      </x:c>
      <x:c r="J95" s="100" t="n">
        <x:v>-0.08</x:v>
      </x:c>
      <x:c r="K95" s="100" t="n">
        <x:v>-0.04594567302124819</x:v>
      </x:c>
      <x:c r="L95" s="100" t="n">
        <x:v>-0.03405432697875181</x:v>
      </x:c>
      <x:c r="M95" s="100" t="n">
        <x:v>-20</x:v>
      </x:c>
      <x:c r="N95" s="100" t="n">
        <x:v>0.7185841128528264</x:v>
      </x:c>
      <x:c r="O95" s="101" t="b">
        <x:v>1</x:v>
      </x:c>
      <x:c r="P95" t="str">
        <x:v>/Users/jvidale/Documents/Research/FaultScanR/output/20260722_181326_2487/CI_40353552</x:v>
      </x:c>
    </x:row>
    <x:row r="96">
      <x:c r="A96" t="str">
        <x:v>CI_40353552</x:v>
      </x:c>
      <x:c r="B96" s="99" t="str">
        <x:v>00136</x:v>
      </x:c>
      <x:c r="C96" t="str">
        <x:v>Z</x:v>
      </x:c>
      <x:c r="D96" t="str">
        <x:v>R</x:v>
      </x:c>
      <x:c r="E96" t="str">
        <x:v>time shift</x:v>
      </x:c>
      <x:c r="F96" t="str">
        <x:v>S</x:v>
      </x:c>
      <x:c r="G96" s="100" t="n">
        <x:v>3</x:v>
      </x:c>
      <x:c r="H96" s="100" t="n">
        <x:v>10</x:v>
      </x:c>
      <x:c r="I96" s="100" t="n">
        <x:v>250</x:v>
      </x:c>
      <x:c r="J96" s="100" t="n">
        <x:v>0.008</x:v>
      </x:c>
      <x:c r="K96" s="100" t="n">
        <x:v>-0.03871444818476455</x:v>
      </x:c>
      <x:c r="L96" s="100" t="n">
        <x:v>0.04671444818476455</x:v>
      </x:c>
      <x:c r="M96" s="100" t="n">
        <x:v>2</x:v>
      </x:c>
      <x:c r="N96" s="100" t="n">
        <x:v>0.6454640587718801</x:v>
      </x:c>
      <x:c r="O96" s="101" t="b">
        <x:v>1</x:v>
      </x:c>
      <x:c r="P96" t="str">
        <x:v>/Users/jvidale/Documents/Research/FaultScanR/output/20260722_181326_2487/CI_40353552</x:v>
      </x:c>
    </x:row>
    <x:row r="97">
      <x:c r="A97" t="str">
        <x:v>CI_40353552</x:v>
      </x:c>
      <x:c r="B97" s="99" t="str">
        <x:v>00137</x:v>
      </x:c>
      <x:c r="C97" t="str">
        <x:v>Z</x:v>
      </x:c>
      <x:c r="D97" t="str">
        <x:v>R</x:v>
      </x:c>
      <x:c r="E97" t="str">
        <x:v>time shift</x:v>
      </x:c>
      <x:c r="F97" t="str">
        <x:v>S</x:v>
      </x:c>
      <x:c r="G97" s="100" t="n">
        <x:v>3</x:v>
      </x:c>
      <x:c r="H97" s="100" t="n">
        <x:v>10</x:v>
      </x:c>
      <x:c r="I97" s="100" t="n">
        <x:v>250</x:v>
      </x:c>
      <x:c r="J97" s="100" t="n">
        <x:v>-0.04</x:v>
      </x:c>
      <x:c r="K97" s="100" t="n">
        <x:v>-0.03000583822136971</x:v>
      </x:c>
      <x:c r="L97" s="100" t="n">
        <x:v>-0.009994161778630294</x:v>
      </x:c>
      <x:c r="M97" s="100" t="n">
        <x:v>-10</x:v>
      </x:c>
      <x:c r="N97" s="100" t="n">
        <x:v>0.955499867259321</x:v>
      </x:c>
      <x:c r="O97" s="101" t="b">
        <x:v>1</x:v>
      </x:c>
      <x:c r="P97" t="str">
        <x:v>/Users/jvidale/Documents/Research/FaultScanR/output/20260722_181326_2487/CI_40353552</x:v>
      </x:c>
    </x:row>
    <x:row r="98">
      <x:c r="A98" t="str">
        <x:v>CI_40353552</x:v>
      </x:c>
      <x:c r="B98" s="99" t="str">
        <x:v>00138</x:v>
      </x:c>
      <x:c r="C98" t="str">
        <x:v>Z</x:v>
      </x:c>
      <x:c r="D98" t="str">
        <x:v>R</x:v>
      </x:c>
      <x:c r="E98" t="str">
        <x:v>time shift</x:v>
      </x:c>
      <x:c r="F98" t="str">
        <x:v>S</x:v>
      </x:c>
      <x:c r="G98" s="100" t="n">
        <x:v>3</x:v>
      </x:c>
      <x:c r="H98" s="100" t="n">
        <x:v>10</x:v>
      </x:c>
      <x:c r="I98" s="100" t="n">
        <x:v>250</x:v>
      </x:c>
      <x:c r="J98" s="100" t="n">
        <x:v>0.028</x:v>
      </x:c>
      <x:c r="K98" s="100" t="n">
        <x:v>-0.02101710210657881</x:v>
      </x:c>
      <x:c r="L98" s="100" t="n">
        <x:v>0.04901710210657881</x:v>
      </x:c>
      <x:c r="M98" s="100" t="n">
        <x:v>7</x:v>
      </x:c>
      <x:c r="N98" s="100" t="n">
        <x:v>0.8223361997731389</x:v>
      </x:c>
      <x:c r="O98" s="101" t="b">
        <x:v>1</x:v>
      </x:c>
      <x:c r="P98" t="str">
        <x:v>/Users/jvidale/Documents/Research/FaultScanR/output/20260722_181326_2487/CI_40353552</x:v>
      </x:c>
    </x:row>
    <x:row r="99">
      <x:c r="A99" t="str">
        <x:v>CI_40353552</x:v>
      </x:c>
      <x:c r="B99" s="99" t="str">
        <x:v>00139</x:v>
      </x:c>
      <x:c r="C99" t="str">
        <x:v>Z</x:v>
      </x:c>
      <x:c r="D99" t="str">
        <x:v>R</x:v>
      </x:c>
      <x:c r="E99" t="str">
        <x:v>time shift</x:v>
      </x:c>
      <x:c r="F99" t="str">
        <x:v>S</x:v>
      </x:c>
      <x:c r="G99" s="100" t="n">
        <x:v>3</x:v>
      </x:c>
      <x:c r="H99" s="100" t="n">
        <x:v>10</x:v>
      </x:c>
      <x:c r="I99" s="100" t="n">
        <x:v>250</x:v>
      </x:c>
      <x:c r="J99" s="100" t="n">
        <x:v>0.036</x:v>
      </x:c>
      <x:c r="K99" s="100" t="n">
        <x:v>-0.010925321103473</x:v>
      </x:c>
      <x:c r="L99" s="100" t="n">
        <x:v>0.04692532110347299</x:v>
      </x:c>
      <x:c r="M99" s="100" t="n">
        <x:v>9</x:v>
      </x:c>
      <x:c r="N99" s="100" t="n">
        <x:v>0.9261707001533899</x:v>
      </x:c>
      <x:c r="O99" s="101" t="b">
        <x:v>1</x:v>
      </x:c>
      <x:c r="P99" t="str">
        <x:v>/Users/jvidale/Documents/Research/FaultScanR/output/20260722_181326_2487/CI_40353552</x:v>
      </x:c>
    </x:row>
    <x:row r="100">
      <x:c r="A100" t="str">
        <x:v>CI_40353552</x:v>
      </x:c>
      <x:c r="B100" s="99" t="str">
        <x:v>00140</x:v>
      </x:c>
      <x:c r="C100" t="str">
        <x:v>Z</x:v>
      </x:c>
      <x:c r="D100" t="str">
        <x:v>R</x:v>
      </x:c>
      <x:c r="E100" t="str">
        <x:v>time shift</x:v>
      </x:c>
      <x:c r="F100" t="str">
        <x:v>S</x:v>
      </x:c>
      <x:c r="G100" s="100" t="n">
        <x:v>3</x:v>
      </x:c>
      <x:c r="H100" s="100" t="n">
        <x:v>10</x:v>
      </x:c>
      <x:c r="I100" s="100" t="n">
        <x:v>250</x:v>
      </x:c>
      <x:c r="J100" s="100" t="n">
        <x:v>0.044</x:v>
      </x:c>
      <x:c r="K100" s="100" t="n">
        <x:v>-0.002275866222340994</x:v>
      </x:c>
      <x:c r="L100" s="100" t="n">
        <x:v>0.04627586622234099</x:v>
      </x:c>
      <x:c r="M100" s="100" t="n">
        <x:v>11</x:v>
      </x:c>
      <x:c r="N100" s="100" t="n">
        <x:v>0.6882502652950725</x:v>
      </x:c>
      <x:c r="O100" s="101" t="b">
        <x:v>1</x:v>
      </x:c>
      <x:c r="P100" t="str">
        <x:v>/Users/jvidale/Documents/Research/FaultScanR/output/20260722_181326_2487/CI_40353552</x:v>
      </x:c>
    </x:row>
    <x:row r="101">
      <x:c r="A101" t="str">
        <x:v>CI_40353552</x:v>
      </x:c>
      <x:c r="B101" s="99" t="str">
        <x:v>00141</x:v>
      </x:c>
      <x:c r="C101" t="str">
        <x:v>Z</x:v>
      </x:c>
      <x:c r="D101" t="str">
        <x:v>R</x:v>
      </x:c>
      <x:c r="E101" t="str">
        <x:v>time shift</x:v>
      </x:c>
      <x:c r="F101" t="str">
        <x:v>S</x:v>
      </x:c>
      <x:c r="G101" s="100" t="n">
        <x:v>3</x:v>
      </x:c>
      <x:c r="H101" s="100" t="n">
        <x:v>10</x:v>
      </x:c>
      <x:c r="I101" s="100" t="n">
        <x:v>250</x:v>
      </x:c>
      <x:c r="J101" s="100" t="n">
        <x:v>0.056</x:v>
      </x:c>
      <x:c r="K101" s="100" t="n">
        <x:v>0.0060850158263559</x:v>
      </x:c>
      <x:c r="L101" s="100" t="n">
        <x:v>0.0499149841736441</x:v>
      </x:c>
      <x:c r="M101" s="100" t="n">
        <x:v>14</x:v>
      </x:c>
      <x:c r="N101" s="100" t="n">
        <x:v>0.4094589935871993</x:v>
      </x:c>
      <x:c r="O101" s="101" t="b">
        <x:v>0</x:v>
      </x:c>
      <x:c r="P101" t="str">
        <x:v>/Users/jvidale/Documents/Research/FaultScanR/output/20260722_181326_2487/CI_40353552</x:v>
      </x:c>
    </x:row>
    <x:row r="102">
      <x:c r="A102" t="str">
        <x:v>CI_40353552</x:v>
      </x:c>
      <x:c r="B102" s="99" t="str">
        <x:v>00142</x:v>
      </x:c>
      <x:c r="C102" t="str">
        <x:v>Z</x:v>
      </x:c>
      <x:c r="D102" t="str">
        <x:v>R</x:v>
      </x:c>
      <x:c r="E102" t="str">
        <x:v>time shift</x:v>
      </x:c>
      <x:c r="F102" t="str">
        <x:v>S</x:v>
      </x:c>
      <x:c r="G102" s="100" t="n">
        <x:v>3</x:v>
      </x:c>
      <x:c r="H102" s="100" t="n">
        <x:v>10</x:v>
      </x:c>
      <x:c r="I102" s="100" t="n">
        <x:v>250</x:v>
      </x:c>
      <x:c r="J102" s="100" t="n">
        <x:v>-0.092</x:v>
      </x:c>
      <x:c r="K102" s="100" t="n">
        <x:v>-0.1025488780764912</x:v>
      </x:c>
      <x:c r="L102" s="100" t="n">
        <x:v>0.01054887807649116</x:v>
      </x:c>
      <x:c r="M102" s="100" t="n">
        <x:v>-23</x:v>
      </x:c>
      <x:c r="N102" s="100" t="n">
        <x:v>0.9530524685122186</x:v>
      </x:c>
      <x:c r="O102" s="101" t="b">
        <x:v>1</x:v>
      </x:c>
      <x:c r="P102" t="str">
        <x:v>/Users/jvidale/Documents/Research/FaultScanR/output/20260722_181326_2487/CI_40353552</x:v>
      </x:c>
    </x:row>
    <x:row r="103">
      <x:c r="A103" t="str">
        <x:v>CI_40353552</x:v>
      </x:c>
      <x:c r="B103" s="99" t="str">
        <x:v>00143</x:v>
      </x:c>
      <x:c r="C103" t="str">
        <x:v>Z</x:v>
      </x:c>
      <x:c r="D103" t="str">
        <x:v>R</x:v>
      </x:c>
      <x:c r="E103" t="str">
        <x:v>time shift</x:v>
      </x:c>
      <x:c r="F103" t="str">
        <x:v>S</x:v>
      </x:c>
      <x:c r="G103" s="100" t="n">
        <x:v>3</x:v>
      </x:c>
      <x:c r="H103" s="100" t="n">
        <x:v>10</x:v>
      </x:c>
      <x:c r="I103" s="100" t="n">
        <x:v>250</x:v>
      </x:c>
      <x:c r="J103" s="100" t="n">
        <x:v>-0.088</x:v>
      </x:c>
      <x:c r="K103" s="100" t="n">
        <x:v>-0.09452421555392387</x:v>
      </x:c>
      <x:c r="L103" s="100" t="n">
        <x:v>0.006524215553923879</x:v>
      </x:c>
      <x:c r="M103" s="100" t="n">
        <x:v>-22</x:v>
      </x:c>
      <x:c r="N103" s="100" t="n">
        <x:v>0.9698901235989985</x:v>
      </x:c>
      <x:c r="O103" s="101" t="b">
        <x:v>1</x:v>
      </x:c>
      <x:c r="P103" t="str">
        <x:v>/Users/jvidale/Documents/Research/FaultScanR/output/20260722_181326_2487/CI_40353552</x:v>
      </x:c>
    </x:row>
    <x:row r="104">
      <x:c r="A104" t="str">
        <x:v>CI_40353552</x:v>
      </x:c>
      <x:c r="B104" s="99" t="str">
        <x:v>00144</x:v>
      </x:c>
      <x:c r="C104" t="str">
        <x:v>Z</x:v>
      </x:c>
      <x:c r="D104" t="str">
        <x:v>R</x:v>
      </x:c>
      <x:c r="E104" t="str">
        <x:v>time shift</x:v>
      </x:c>
      <x:c r="F104" t="str">
        <x:v>S</x:v>
      </x:c>
      <x:c r="G104" s="100" t="n">
        <x:v>3</x:v>
      </x:c>
      <x:c r="H104" s="100" t="n">
        <x:v>10</x:v>
      </x:c>
      <x:c r="I104" s="100" t="n">
        <x:v>250</x:v>
      </x:c>
      <x:c r="J104" s="100" t="n">
        <x:v>-0.088</x:v>
      </x:c>
      <x:c r="K104" s="100" t="n">
        <x:v>-0.08368446518572448</x:v>
      </x:c>
      <x:c r="L104" s="100" t="n">
        <x:v>-0.004315534814275518</x:v>
      </x:c>
      <x:c r="M104" s="100" t="n">
        <x:v>-22</x:v>
      </x:c>
      <x:c r="N104" s="100" t="n">
        <x:v>0.9695512292366868</x:v>
      </x:c>
      <x:c r="O104" s="101" t="b">
        <x:v>1</x:v>
      </x:c>
      <x:c r="P104" t="str">
        <x:v>/Users/jvidale/Documents/Research/FaultScanR/output/20260722_181326_2487/CI_40353552</x:v>
      </x:c>
    </x:row>
    <x:row r="105">
      <x:c r="A105" t="str">
        <x:v>CI_40353552</x:v>
      </x:c>
      <x:c r="B105" s="99" t="str">
        <x:v>00145</x:v>
      </x:c>
      <x:c r="C105" t="str">
        <x:v>Z</x:v>
      </x:c>
      <x:c r="D105" t="str">
        <x:v>R</x:v>
      </x:c>
      <x:c r="E105" t="str">
        <x:v>time shift</x:v>
      </x:c>
      <x:c r="F105" t="str">
        <x:v>S</x:v>
      </x:c>
      <x:c r="G105" s="100" t="n">
        <x:v>3</x:v>
      </x:c>
      <x:c r="H105" s="100" t="n">
        <x:v>10</x:v>
      </x:c>
      <x:c r="I105" s="100" t="n">
        <x:v>250</x:v>
      </x:c>
      <x:c r="J105" s="100" t="n">
        <x:v>-0.084</x:v>
      </x:c>
      <x:c r="K105" s="100" t="n">
        <x:v>-0.07623982829218079</x:v>
      </x:c>
      <x:c r="L105" s="100" t="n">
        <x:v>-0.007760171707819216</x:v>
      </x:c>
      <x:c r="M105" s="100" t="n">
        <x:v>-21</x:v>
      </x:c>
      <x:c r="N105" s="100" t="n">
        <x:v>0.941465324862711</x:v>
      </x:c>
      <x:c r="O105" s="101" t="b">
        <x:v>1</x:v>
      </x:c>
      <x:c r="P105" t="str">
        <x:v>/Users/jvidale/Documents/Research/FaultScanR/output/20260722_181326_2487/CI_40353552</x:v>
      </x:c>
    </x:row>
    <x:row r="106">
      <x:c r="A106" t="str">
        <x:v>CI_40353552</x:v>
      </x:c>
      <x:c r="B106" s="99" t="str">
        <x:v>00146</x:v>
      </x:c>
      <x:c r="C106" t="str">
        <x:v>Z</x:v>
      </x:c>
      <x:c r="D106" t="str">
        <x:v>R</x:v>
      </x:c>
      <x:c r="E106" t="str">
        <x:v>time shift</x:v>
      </x:c>
      <x:c r="F106" t="str">
        <x:v>S</x:v>
      </x:c>
      <x:c r="G106" s="100" t="n">
        <x:v>3</x:v>
      </x:c>
      <x:c r="H106" s="100" t="n">
        <x:v>10</x:v>
      </x:c>
      <x:c r="I106" s="100" t="n">
        <x:v>250</x:v>
      </x:c>
      <x:c r="J106" s="100" t="n">
        <x:v>-0.076</x:v>
      </x:c>
      <x:c r="K106" s="100" t="n">
        <x:v>-0.06967063944699436</x:v>
      </x:c>
      <x:c r="L106" s="100" t="n">
        <x:v>-0.006329360553005633</x:v>
      </x:c>
      <x:c r="M106" s="100" t="n">
        <x:v>-19</x:v>
      </x:c>
      <x:c r="N106" s="100" t="n">
        <x:v>0.9636955276478637</x:v>
      </x:c>
      <x:c r="O106" s="101" t="b">
        <x:v>1</x:v>
      </x:c>
      <x:c r="P106" t="str">
        <x:v>/Users/jvidale/Documents/Research/FaultScanR/output/20260722_181326_2487/CI_40353552</x:v>
      </x:c>
    </x:row>
    <x:row r="107">
      <x:c r="A107" t="str">
        <x:v>CI_40353552</x:v>
      </x:c>
      <x:c r="B107" s="99" t="str">
        <x:v>00147</x:v>
      </x:c>
      <x:c r="C107" t="str">
        <x:v>Z</x:v>
      </x:c>
      <x:c r="D107" t="str">
        <x:v>R</x:v>
      </x:c>
      <x:c r="E107" t="str">
        <x:v>time shift</x:v>
      </x:c>
      <x:c r="F107" t="str">
        <x:v>S</x:v>
      </x:c>
      <x:c r="G107" s="100" t="n">
        <x:v>3</x:v>
      </x:c>
      <x:c r="H107" s="100" t="n">
        <x:v>10</x:v>
      </x:c>
      <x:c r="I107" s="100" t="n">
        <x:v>250</x:v>
      </x:c>
      <x:c r="J107" s="100" t="n">
        <x:v>-0.068</x:v>
      </x:c>
      <x:c r="K107" s="100" t="n">
        <x:v>-0.05826402980090961</x:v>
      </x:c>
      <x:c r="L107" s="100" t="n">
        <x:v>-0.009735970199090394</x:v>
      </x:c>
      <x:c r="M107" s="100" t="n">
        <x:v>-17</x:v>
      </x:c>
      <x:c r="N107" s="100" t="n">
        <x:v>0.9667911104798782</x:v>
      </x:c>
      <x:c r="O107" s="101" t="b">
        <x:v>1</x:v>
      </x:c>
      <x:c r="P107" t="str">
        <x:v>/Users/jvidale/Documents/Research/FaultScanR/output/20260722_181326_2487/CI_40353552</x:v>
      </x:c>
    </x:row>
    <x:row r="108">
      <x:c r="A108" t="str">
        <x:v>CI_40353552</x:v>
      </x:c>
      <x:c r="B108" s="99" t="str">
        <x:v>00148</x:v>
      </x:c>
      <x:c r="C108" t="str">
        <x:v>Z</x:v>
      </x:c>
      <x:c r="D108" t="str">
        <x:v>R</x:v>
      </x:c>
      <x:c r="E108" t="str">
        <x:v>time shift</x:v>
      </x:c>
      <x:c r="F108" t="str">
        <x:v>S</x:v>
      </x:c>
      <x:c r="G108" s="100" t="n">
        <x:v>3</x:v>
      </x:c>
      <x:c r="H108" s="100" t="n">
        <x:v>10</x:v>
      </x:c>
      <x:c r="I108" s="100" t="n">
        <x:v>250</x:v>
      </x:c>
      <x:c r="J108" s="100" t="n">
        <x:v>-0.1</x:v>
      </x:c>
      <x:c r="K108" s="100" t="n">
        <x:v>-0.05213733147830268</x:v>
      </x:c>
      <x:c r="L108" s="100" t="n">
        <x:v>-0.04786266852169732</x:v>
      </x:c>
      <x:c r="M108" s="100" t="n">
        <x:v>-25</x:v>
      </x:c>
      <x:c r="N108" s="100" t="n">
        <x:v>0.7998818380489437</x:v>
      </x:c>
      <x:c r="O108" s="101" t="b">
        <x:v>1</x:v>
      </x:c>
      <x:c r="P108" t="str">
        <x:v>/Users/jvidale/Documents/Research/FaultScanR/output/20260722_181326_2487/CI_40353552</x:v>
      </x:c>
    </x:row>
    <x:row r="109">
      <x:c r="A109" t="str">
        <x:v>CI_40353552</x:v>
      </x:c>
      <x:c r="B109" s="99" t="str">
        <x:v>00149</x:v>
      </x:c>
      <x:c r="C109" t="str">
        <x:v>Z</x:v>
      </x:c>
      <x:c r="D109" t="str">
        <x:v>R</x:v>
      </x:c>
      <x:c r="E109" t="str">
        <x:v>time shift</x:v>
      </x:c>
      <x:c r="F109" t="str">
        <x:v>S</x:v>
      </x:c>
      <x:c r="G109" s="100" t="n">
        <x:v>3</x:v>
      </x:c>
      <x:c r="H109" s="100" t="n">
        <x:v>10</x:v>
      </x:c>
      <x:c r="I109" s="100" t="n">
        <x:v>250</x:v>
      </x:c>
      <x:c r="J109" s="100" t="n">
        <x:v>-0.048</x:v>
      </x:c>
      <x:c r="K109" s="100" t="n">
        <x:v>-0.04295805435831301</x:v>
      </x:c>
      <x:c r="L109" s="100" t="n">
        <x:v>-0.005041945641686987</x:v>
      </x:c>
      <x:c r="M109" s="100" t="n">
        <x:v>-12</x:v>
      </x:c>
      <x:c r="N109" s="100" t="n">
        <x:v>0.9889044688240246</x:v>
      </x:c>
      <x:c r="O109" s="101" t="b">
        <x:v>1</x:v>
      </x:c>
      <x:c r="P109" t="str">
        <x:v>/Users/jvidale/Documents/Research/FaultScanR/output/20260722_181326_2487/CI_40353552</x:v>
      </x:c>
    </x:row>
    <x:row r="110">
      <x:c r="A110" t="str">
        <x:v>CI_40353552</x:v>
      </x:c>
      <x:c r="B110" s="99" t="str">
        <x:v>00150</x:v>
      </x:c>
      <x:c r="C110" t="str">
        <x:v>Z</x:v>
      </x:c>
      <x:c r="D110" t="str">
        <x:v>R</x:v>
      </x:c>
      <x:c r="E110" t="str">
        <x:v>time shift</x:v>
      </x:c>
      <x:c r="F110" t="str">
        <x:v>S</x:v>
      </x:c>
      <x:c r="G110" s="100" t="n">
        <x:v>3</x:v>
      </x:c>
      <x:c r="H110" s="100" t="n">
        <x:v>10</x:v>
      </x:c>
      <x:c r="I110" s="100" t="n">
        <x:v>250</x:v>
      </x:c>
      <x:c r="J110" s="100" t="n">
        <x:v>-0.056</x:v>
      </x:c>
      <x:c r="K110" s="100" t="n">
        <x:v>-0.03318617762539322</x:v>
      </x:c>
      <x:c r="L110" s="100" t="n">
        <x:v>-0.02281382237460678</x:v>
      </x:c>
      <x:c r="M110" s="100" t="n">
        <x:v>-14</x:v>
      </x:c>
      <x:c r="N110" s="100" t="n">
        <x:v>0.8650488990996326</x:v>
      </x:c>
      <x:c r="O110" s="101" t="b">
        <x:v>1</x:v>
      </x:c>
      <x:c r="P110" t="str">
        <x:v>/Users/jvidale/Documents/Research/FaultScanR/output/20260722_181326_2487/CI_40353552</x:v>
      </x:c>
    </x:row>
    <x:row r="111">
      <x:c r="A111" t="str">
        <x:v>CI_40353552</x:v>
      </x:c>
      <x:c r="B111" s="99" t="str">
        <x:v>00151</x:v>
      </x:c>
      <x:c r="C111" t="str">
        <x:v>Z</x:v>
      </x:c>
      <x:c r="D111" t="str">
        <x:v>R</x:v>
      </x:c>
      <x:c r="E111" t="str">
        <x:v>time shift</x:v>
      </x:c>
      <x:c r="F111" t="str">
        <x:v>S</x:v>
      </x:c>
      <x:c r="G111" s="100" t="n">
        <x:v>3</x:v>
      </x:c>
      <x:c r="H111" s="100" t="n">
        <x:v>10</x:v>
      </x:c>
      <x:c r="I111" s="100" t="n">
        <x:v>250</x:v>
      </x:c>
      <x:c r="J111" s="100" t="n">
        <x:v>-0.02</x:v>
      </x:c>
      <x:c r="K111" s="100" t="n">
        <x:v>-0.02624234883085563</x:v>
      </x:c>
      <x:c r="L111" s="100" t="n">
        <x:v>0.006242348830855633</x:v>
      </x:c>
      <x:c r="M111" s="100" t="n">
        <x:v>-5</x:v>
      </x:c>
      <x:c r="N111" s="100" t="n">
        <x:v>0.5849674288604484</x:v>
      </x:c>
      <x:c r="O111" s="101" t="b">
        <x:v>0</x:v>
      </x:c>
      <x:c r="P111" t="str">
        <x:v>/Users/jvidale/Documents/Research/FaultScanR/output/20260722_181326_2487/CI_40353552</x:v>
      </x:c>
    </x:row>
    <x:row r="112">
      <x:c r="A112" t="str">
        <x:v>CI_40353552</x:v>
      </x:c>
      <x:c r="B112" s="99" t="str">
        <x:v>00152</x:v>
      </x:c>
      <x:c r="C112" t="str">
        <x:v>Z</x:v>
      </x:c>
      <x:c r="D112" t="str">
        <x:v>R</x:v>
      </x:c>
      <x:c r="E112" t="str">
        <x:v>time shift</x:v>
      </x:c>
      <x:c r="F112" t="str">
        <x:v>S</x:v>
      </x:c>
      <x:c r="G112" s="100" t="n">
        <x:v>3</x:v>
      </x:c>
      <x:c r="H112" s="100" t="n">
        <x:v>10</x:v>
      </x:c>
      <x:c r="I112" s="100" t="n">
        <x:v>250</x:v>
      </x:c>
      <x:c r="J112" s="100" t="n">
        <x:v>0.008</x:v>
      </x:c>
      <x:c r="K112" s="100" t="n">
        <x:v>-0.0156320410573505</x:v>
      </x:c>
      <x:c r="L112" s="100" t="n">
        <x:v>0.0236320410573505</x:v>
      </x:c>
      <x:c r="M112" s="100" t="n">
        <x:v>2</x:v>
      </x:c>
      <x:c r="N112" s="100" t="n">
        <x:v>0.4345060109941073</x:v>
      </x:c>
      <x:c r="O112" s="101" t="b">
        <x:v>0</x:v>
      </x:c>
      <x:c r="P112" t="str">
        <x:v>/Users/jvidale/Documents/Research/FaultScanR/output/20260722_181326_2487/CI_40353552</x:v>
      </x:c>
    </x:row>
    <x:row r="113">
      <x:c r="A113" t="str">
        <x:v>CI_40353552</x:v>
      </x:c>
      <x:c r="B113" s="99" t="str">
        <x:v>00153</x:v>
      </x:c>
      <x:c r="C113" t="str">
        <x:v>Z</x:v>
      </x:c>
      <x:c r="D113" t="str">
        <x:v>R</x:v>
      </x:c>
      <x:c r="E113" t="str">
        <x:v>time shift</x:v>
      </x:c>
      <x:c r="F113" t="str">
        <x:v>S</x:v>
      </x:c>
      <x:c r="G113" s="100" t="n">
        <x:v>3</x:v>
      </x:c>
      <x:c r="H113" s="100" t="n">
        <x:v>10</x:v>
      </x:c>
      <x:c r="I113" s="100" t="n">
        <x:v>250</x:v>
      </x:c>
      <x:c r="J113" s="100" t="n">
        <x:v>0.036</x:v>
      </x:c>
      <x:c r="K113" s="100" t="n">
        <x:v>-0.008941317092467038</x:v>
      </x:c>
      <x:c r="L113" s="100" t="n">
        <x:v>0.04494131709246704</x:v>
      </x:c>
      <x:c r="M113" s="100" t="n">
        <x:v>9</x:v>
      </x:c>
      <x:c r="N113" s="100" t="n">
        <x:v>0.8215696695871634</x:v>
      </x:c>
      <x:c r="O113" s="101" t="b">
        <x:v>1</x:v>
      </x:c>
      <x:c r="P113" t="str">
        <x:v>/Users/jvidale/Documents/Research/FaultScanR/output/20260722_181326_2487/CI_40353552</x:v>
      </x:c>
    </x:row>
    <x:row r="114">
      <x:c r="A114" t="str">
        <x:v>CI_40353552</x:v>
      </x:c>
      <x:c r="B114" s="99" t="str">
        <x:v>00155</x:v>
      </x:c>
      <x:c r="C114" t="str">
        <x:v>Z</x:v>
      </x:c>
      <x:c r="D114" t="str">
        <x:v>R</x:v>
      </x:c>
      <x:c r="E114" t="str">
        <x:v>time shift</x:v>
      </x:c>
      <x:c r="F114" t="str">
        <x:v>S</x:v>
      </x:c>
      <x:c r="G114" s="100" t="n">
        <x:v>3</x:v>
      </x:c>
      <x:c r="H114" s="100" t="n">
        <x:v>10</x:v>
      </x:c>
      <x:c r="I114" s="100" t="n">
        <x:v>250</x:v>
      </x:c>
      <x:c r="J114" s="100" t="n">
        <x:v>0.056</x:v>
      </x:c>
      <x:c r="K114" s="100" t="n">
        <x:v>0.00928788256823232</x:v>
      </x:c>
      <x:c r="L114" s="100" t="n">
        <x:v>0.04671211743176768</x:v>
      </x:c>
      <x:c r="M114" s="100" t="n">
        <x:v>14</x:v>
      </x:c>
      <x:c r="N114" s="100" t="n">
        <x:v>0.5844488266094695</x:v>
      </x:c>
      <x:c r="O114" s="101" t="b">
        <x:v>0</x:v>
      </x:c>
      <x:c r="P114" t="str">
        <x:v>/Users/jvidale/Documents/Research/FaultScanR/output/20260722_181326_2487/CI_40353552</x:v>
      </x:c>
    </x:row>
    <x:row r="115">
      <x:c r="A115" t="str">
        <x:v>CI_40353552</x:v>
      </x:c>
      <x:c r="B115" s="99" t="str">
        <x:v>00156</x:v>
      </x:c>
      <x:c r="C115" t="str">
        <x:v>Z</x:v>
      </x:c>
      <x:c r="D115" t="str">
        <x:v>R</x:v>
      </x:c>
      <x:c r="E115" t="str">
        <x:v>time shift</x:v>
      </x:c>
      <x:c r="F115" t="str">
        <x:v>S</x:v>
      </x:c>
      <x:c r="G115" s="100" t="n">
        <x:v>3</x:v>
      </x:c>
      <x:c r="H115" s="100" t="n">
        <x:v>10</x:v>
      </x:c>
      <x:c r="I115" s="100" t="n">
        <x:v>250</x:v>
      </x:c>
      <x:c r="J115" s="100" t="n">
        <x:v>0.068</x:v>
      </x:c>
      <x:c r="K115" s="100" t="n">
        <x:v>0.02100922498805069</x:v>
      </x:c>
      <x:c r="L115" s="100" t="n">
        <x:v>0.04699077501194932</x:v>
      </x:c>
      <x:c r="M115" s="100" t="n">
        <x:v>17</x:v>
      </x:c>
      <x:c r="N115" s="100" t="n">
        <x:v>0.7107823053470051</x:v>
      </x:c>
      <x:c r="O115" s="101" t="b">
        <x:v>1</x:v>
      </x:c>
      <x:c r="P115" t="str">
        <x:v>/Users/jvidale/Documents/Research/FaultScanR/output/20260722_181326_2487/CI_40353552</x:v>
      </x:c>
    </x:row>
    <x:row r="116">
      <x:c r="A116" t="str">
        <x:v>CI_40353552</x:v>
      </x:c>
      <x:c r="B116" s="99" t="str">
        <x:v>00157</x:v>
      </x:c>
      <x:c r="C116" t="str">
        <x:v>Z</x:v>
      </x:c>
      <x:c r="D116" t="str">
        <x:v>R</x:v>
      </x:c>
      <x:c r="E116" t="str">
        <x:v>time shift</x:v>
      </x:c>
      <x:c r="F116" t="str">
        <x:v>S</x:v>
      </x:c>
      <x:c r="G116" s="100" t="n">
        <x:v>3</x:v>
      </x:c>
      <x:c r="H116" s="100" t="n">
        <x:v>10</x:v>
      </x:c>
      <x:c r="I116" s="100" t="n">
        <x:v>250</x:v>
      </x:c>
      <x:c r="J116" s="100" t="n">
        <x:v>0.076</x:v>
      </x:c>
      <x:c r="K116" s="100" t="n">
        <x:v>0.02918479630279158</x:v>
      </x:c>
      <x:c r="L116" s="100" t="n">
        <x:v>0.04681520369720842</x:v>
      </x:c>
      <x:c r="M116" s="100" t="n">
        <x:v>19</x:v>
      </x:c>
      <x:c r="N116" s="100" t="n">
        <x:v>0.2587822270127887</x:v>
      </x:c>
      <x:c r="O116" s="101" t="b">
        <x:v>0</x:v>
      </x:c>
      <x:c r="P116" t="str">
        <x:v>/Users/jvidale/Documents/Research/FaultScanR/output/20260722_181326_2487/CI_40353552</x:v>
      </x:c>
    </x:row>
    <x:row r="117">
      <x:c r="A117" t="str">
        <x:v>CI_40353552</x:v>
      </x:c>
      <x:c r="B117" s="99" t="str">
        <x:v>00158</x:v>
      </x:c>
      <x:c r="C117" t="str">
        <x:v>Z</x:v>
      </x:c>
      <x:c r="D117" t="str">
        <x:v>R</x:v>
      </x:c>
      <x:c r="E117" t="str">
        <x:v>time shift</x:v>
      </x:c>
      <x:c r="F117" t="str">
        <x:v>S</x:v>
      </x:c>
      <x:c r="G117" s="100" t="n">
        <x:v>3</x:v>
      </x:c>
      <x:c r="H117" s="100" t="n">
        <x:v>10</x:v>
      </x:c>
      <x:c r="I117" s="100" t="n">
        <x:v>250</x:v>
      </x:c>
      <x:c r="J117" s="100" t="n">
        <x:v>-0.076</x:v>
      </x:c>
      <x:c r="K117" s="100" t="n">
        <x:v>-0.07828517466826757</x:v>
      </x:c>
      <x:c r="L117" s="100" t="n">
        <x:v>0.002285174668267567</x:v>
      </x:c>
      <x:c r="M117" s="100" t="n">
        <x:v>-19</x:v>
      </x:c>
      <x:c r="N117" s="100" t="n">
        <x:v>0.9259547554157714</x:v>
      </x:c>
      <x:c r="O117" s="101" t="b">
        <x:v>1</x:v>
      </x:c>
      <x:c r="P117" t="str">
        <x:v>/Users/jvidale/Documents/Research/FaultScanR/output/20260722_181326_2487/CI_40353552</x:v>
      </x:c>
    </x:row>
    <x:row r="118">
      <x:c r="A118" t="str">
        <x:v>CI_40353552</x:v>
      </x:c>
      <x:c r="B118" s="99" t="str">
        <x:v>00160</x:v>
      </x:c>
      <x:c r="C118" t="str">
        <x:v>Z</x:v>
      </x:c>
      <x:c r="D118" t="str">
        <x:v>R</x:v>
      </x:c>
      <x:c r="E118" t="str">
        <x:v>time shift</x:v>
      </x:c>
      <x:c r="F118" t="str">
        <x:v>S</x:v>
      </x:c>
      <x:c r="G118" s="100" t="n">
        <x:v>3</x:v>
      </x:c>
      <x:c r="H118" s="100" t="n">
        <x:v>10</x:v>
      </x:c>
      <x:c r="I118" s="100" t="n">
        <x:v>250</x:v>
      </x:c>
      <x:c r="J118" s="100" t="n">
        <x:v>-0.064</x:v>
      </x:c>
      <x:c r="K118" s="100" t="n">
        <x:v>-0.06168630083169724</x:v>
      </x:c>
      <x:c r="L118" s="100" t="n">
        <x:v>-0.002313699168302763</x:v>
      </x:c>
      <x:c r="M118" s="100" t="n">
        <x:v>-16</x:v>
      </x:c>
      <x:c r="N118" s="100" t="n">
        <x:v>0.9588006055482335</x:v>
      </x:c>
      <x:c r="O118" s="101" t="b">
        <x:v>1</x:v>
      </x:c>
      <x:c r="P118" t="str">
        <x:v>/Users/jvidale/Documents/Research/FaultScanR/output/20260722_181326_2487/CI_40353552</x:v>
      </x:c>
    </x:row>
    <x:row r="119">
      <x:c r="A119" t="str">
        <x:v>CI_40353552</x:v>
      </x:c>
      <x:c r="B119" s="99" t="str">
        <x:v>00162</x:v>
      </x:c>
      <x:c r="C119" t="str">
        <x:v>Z</x:v>
      </x:c>
      <x:c r="D119" t="str">
        <x:v>R</x:v>
      </x:c>
      <x:c r="E119" t="str">
        <x:v>time shift</x:v>
      </x:c>
      <x:c r="F119" t="str">
        <x:v>S</x:v>
      </x:c>
      <x:c r="G119" s="100" t="n">
        <x:v>3</x:v>
      </x:c>
      <x:c r="H119" s="100" t="n">
        <x:v>10</x:v>
      </x:c>
      <x:c r="I119" s="100" t="n">
        <x:v>250</x:v>
      </x:c>
      <x:c r="J119" s="100" t="n">
        <x:v>-0.052</x:v>
      </x:c>
      <x:c r="K119" s="100" t="n">
        <x:v>-0.04889376344206831</x:v>
      </x:c>
      <x:c r="L119" s="100" t="n">
        <x:v>-0.003106236557931692</x:v>
      </x:c>
      <x:c r="M119" s="100" t="n">
        <x:v>-13</x:v>
      </x:c>
      <x:c r="N119" s="100" t="n">
        <x:v>0.9627388587997177</x:v>
      </x:c>
      <x:c r="O119" s="101" t="b">
        <x:v>1</x:v>
      </x:c>
      <x:c r="P119" t="str">
        <x:v>/Users/jvidale/Documents/Research/FaultScanR/output/20260722_181326_2487/CI_40353552</x:v>
      </x:c>
    </x:row>
    <x:row r="120">
      <x:c r="A120" t="str">
        <x:v>CI_40353552</x:v>
      </x:c>
      <x:c r="B120" s="99" t="str">
        <x:v>00163</x:v>
      </x:c>
      <x:c r="C120" t="str">
        <x:v>Z</x:v>
      </x:c>
      <x:c r="D120" t="str">
        <x:v>R</x:v>
      </x:c>
      <x:c r="E120" t="str">
        <x:v>time shift</x:v>
      </x:c>
      <x:c r="F120" t="str">
        <x:v>S</x:v>
      </x:c>
      <x:c r="G120" s="100" t="n">
        <x:v>3</x:v>
      </x:c>
      <x:c r="H120" s="100" t="n">
        <x:v>10</x:v>
      </x:c>
      <x:c r="I120" s="100" t="n">
        <x:v>250</x:v>
      </x:c>
      <x:c r="J120" s="100" t="n">
        <x:v>-0.048</x:v>
      </x:c>
      <x:c r="K120" s="100" t="n">
        <x:v>-0.04012931418619203</x:v>
      </x:c>
      <x:c r="L120" s="100" t="n">
        <x:v>-0.007870685813807968</x:v>
      </x:c>
      <x:c r="M120" s="100" t="n">
        <x:v>-12</x:v>
      </x:c>
      <x:c r="N120" s="100" t="n">
        <x:v>0.9717575785138495</x:v>
      </x:c>
      <x:c r="O120" s="101" t="b">
        <x:v>1</x:v>
      </x:c>
      <x:c r="P120" t="str">
        <x:v>/Users/jvidale/Documents/Research/FaultScanR/output/20260722_181326_2487/CI_40353552</x:v>
      </x:c>
    </x:row>
    <x:row r="121">
      <x:c r="A121" t="str">
        <x:v>CI_40353552</x:v>
      </x:c>
      <x:c r="B121" s="99" t="str">
        <x:v>00164</x:v>
      </x:c>
      <x:c r="C121" t="str">
        <x:v>Z</x:v>
      </x:c>
      <x:c r="D121" t="str">
        <x:v>R</x:v>
      </x:c>
      <x:c r="E121" t="str">
        <x:v>time shift</x:v>
      </x:c>
      <x:c r="F121" t="str">
        <x:v>S</x:v>
      </x:c>
      <x:c r="G121" s="100" t="n">
        <x:v>3</x:v>
      </x:c>
      <x:c r="H121" s="100" t="n">
        <x:v>10</x:v>
      </x:c>
      <x:c r="I121" s="100" t="n">
        <x:v>250</x:v>
      </x:c>
      <x:c r="J121" s="100" t="n">
        <x:v>-0.032</x:v>
      </x:c>
      <x:c r="K121" s="100" t="n">
        <x:v>-0.03124321849203682</x:v>
      </x:c>
      <x:c r="L121" s="100" t="n">
        <x:v>-0.0007567815079631834</x:v>
      </x:c>
      <x:c r="M121" s="100" t="n">
        <x:v>-8</x:v>
      </x:c>
      <x:c r="N121" s="100" t="n">
        <x:v>0.9965121684044179</x:v>
      </x:c>
      <x:c r="O121" s="101" t="b">
        <x:v>1</x:v>
      </x:c>
      <x:c r="P121" t="str">
        <x:v>/Users/jvidale/Documents/Research/FaultScanR/output/20260722_181326_2487/CI_40353552</x:v>
      </x:c>
    </x:row>
    <x:row r="122">
      <x:c r="A122" t="str">
        <x:v>CI_40353552</x:v>
      </x:c>
      <x:c r="B122" s="99" t="str">
        <x:v>00165</x:v>
      </x:c>
      <x:c r="C122" t="str">
        <x:v>Z</x:v>
      </x:c>
      <x:c r="D122" t="str">
        <x:v>R</x:v>
      </x:c>
      <x:c r="E122" t="str">
        <x:v>time shift</x:v>
      </x:c>
      <x:c r="F122" t="str">
        <x:v>S</x:v>
      </x:c>
      <x:c r="G122" s="100" t="n">
        <x:v>3</x:v>
      </x:c>
      <x:c r="H122" s="100" t="n">
        <x:v>10</x:v>
      </x:c>
      <x:c r="I122" s="100" t="n">
        <x:v>250</x:v>
      </x:c>
      <x:c r="J122" s="100" t="n">
        <x:v>-0.04</x:v>
      </x:c>
      <x:c r="K122" s="100" t="n">
        <x:v>-0.02086479212839887</x:v>
      </x:c>
      <x:c r="L122" s="100" t="n">
        <x:v>-0.01913520787160113</x:v>
      </x:c>
      <x:c r="M122" s="100" t="n">
        <x:v>-10</x:v>
      </x:c>
      <x:c r="N122" s="100" t="n">
        <x:v>0.9667904236355365</x:v>
      </x:c>
      <x:c r="O122" s="101" t="b">
        <x:v>1</x:v>
      </x:c>
      <x:c r="P122" t="str">
        <x:v>/Users/jvidale/Documents/Research/FaultScanR/output/20260722_181326_2487/CI_40353552</x:v>
      </x:c>
    </x:row>
    <x:row r="123">
      <x:c r="A123" t="str">
        <x:v>CI_40353552</x:v>
      </x:c>
      <x:c r="B123" s="99" t="str">
        <x:v>00166</x:v>
      </x:c>
      <x:c r="C123" t="str">
        <x:v>Z</x:v>
      </x:c>
      <x:c r="D123" t="str">
        <x:v>R</x:v>
      </x:c>
      <x:c r="E123" t="str">
        <x:v>time shift</x:v>
      </x:c>
      <x:c r="F123" t="str">
        <x:v>S</x:v>
      </x:c>
      <x:c r="G123" s="100" t="n">
        <x:v>3</x:v>
      </x:c>
      <x:c r="H123" s="100" t="n">
        <x:v>10</x:v>
      </x:c>
      <x:c r="I123" s="100" t="n">
        <x:v>250</x:v>
      </x:c>
      <x:c r="J123" s="100" t="n">
        <x:v>-0.04</x:v>
      </x:c>
      <x:c r="K123" s="100" t="n">
        <x:v>-0.01315542132724268</x:v>
      </x:c>
      <x:c r="L123" s="100" t="n">
        <x:v>-0.02684457867275732</x:v>
      </x:c>
      <x:c r="M123" s="100" t="n">
        <x:v>-10</x:v>
      </x:c>
      <x:c r="N123" s="100" t="n">
        <x:v>0.7973933723358065</x:v>
      </x:c>
      <x:c r="O123" s="101" t="b">
        <x:v>1</x:v>
      </x:c>
      <x:c r="P123" t="str">
        <x:v>/Users/jvidale/Documents/Research/FaultScanR/output/20260722_181326_2487/CI_40353552</x:v>
      </x:c>
    </x:row>
    <x:row r="124">
      <x:c r="A124" t="str">
        <x:v>CI_40353552</x:v>
      </x:c>
      <x:c r="B124" s="99" t="str">
        <x:v>00167</x:v>
      </x:c>
      <x:c r="C124" t="str">
        <x:v>Z</x:v>
      </x:c>
      <x:c r="D124" t="str">
        <x:v>R</x:v>
      </x:c>
      <x:c r="E124" t="str">
        <x:v>time shift</x:v>
      </x:c>
      <x:c r="F124" t="str">
        <x:v>S</x:v>
      </x:c>
      <x:c r="G124" s="100" t="n">
        <x:v>3</x:v>
      </x:c>
      <x:c r="H124" s="100" t="n">
        <x:v>10</x:v>
      </x:c>
      <x:c r="I124" s="100" t="n">
        <x:v>250</x:v>
      </x:c>
      <x:c r="J124" s="100" t="n">
        <x:v>-0.028</x:v>
      </x:c>
      <x:c r="K124" s="100" t="n">
        <x:v>-0.004715085205584835</x:v>
      </x:c>
      <x:c r="L124" s="100" t="n">
        <x:v>-0.02328491479441517</x:v>
      </x:c>
      <x:c r="M124" s="100" t="n">
        <x:v>-7</x:v>
      </x:c>
      <x:c r="N124" s="100" t="n">
        <x:v>0.7002822101031462</x:v>
      </x:c>
      <x:c r="O124" s="101" t="b">
        <x:v>1</x:v>
      </x:c>
      <x:c r="P124" t="str">
        <x:v>/Users/jvidale/Documents/Research/FaultScanR/output/20260722_181326_2487/CI_40353552</x:v>
      </x:c>
    </x:row>
    <x:row r="125">
      <x:c r="A125" t="str">
        <x:v>CI_40353552</x:v>
      </x:c>
      <x:c r="B125" s="99" t="str">
        <x:v>00168</x:v>
      </x:c>
      <x:c r="C125" t="str">
        <x:v>Z</x:v>
      </x:c>
      <x:c r="D125" t="str">
        <x:v>R</x:v>
      </x:c>
      <x:c r="E125" t="str">
        <x:v>time shift</x:v>
      </x:c>
      <x:c r="F125" t="str">
        <x:v>S</x:v>
      </x:c>
      <x:c r="G125" s="100" t="n">
        <x:v>3</x:v>
      </x:c>
      <x:c r="H125" s="100" t="n">
        <x:v>10</x:v>
      </x:c>
      <x:c r="I125" s="100" t="n">
        <x:v>250</x:v>
      </x:c>
      <x:c r="J125" s="100" t="n">
        <x:v>0.02</x:v>
      </x:c>
      <x:c r="K125" s="100" t="n">
        <x:v>0.002163518265560604</x:v>
      </x:c>
      <x:c r="L125" s="100" t="n">
        <x:v>0.0178364817344394</x:v>
      </x:c>
      <x:c r="M125" s="100" t="n">
        <x:v>5</x:v>
      </x:c>
      <x:c r="N125" s="100" t="n">
        <x:v>0.545054338778686</x:v>
      </x:c>
      <x:c r="O125" s="101" t="b">
        <x:v>0</x:v>
      </x:c>
      <x:c r="P125" t="str">
        <x:v>/Users/jvidale/Documents/Research/FaultScanR/output/20260722_181326_2487/CI_40353552</x:v>
      </x:c>
    </x:row>
    <x:row r="126">
      <x:c r="A126" t="str">
        <x:v>CI_40353552</x:v>
      </x:c>
      <x:c r="B126" s="99" t="str">
        <x:v>00169</x:v>
      </x:c>
      <x:c r="C126" t="str">
        <x:v>Z</x:v>
      </x:c>
      <x:c r="D126" t="str">
        <x:v>R</x:v>
      </x:c>
      <x:c r="E126" t="str">
        <x:v>time shift</x:v>
      </x:c>
      <x:c r="F126" t="str">
        <x:v>S</x:v>
      </x:c>
      <x:c r="G126" s="100" t="n">
        <x:v>3</x:v>
      </x:c>
      <x:c r="H126" s="100" t="n">
        <x:v>10</x:v>
      </x:c>
      <x:c r="I126" s="100" t="n">
        <x:v>250</x:v>
      </x:c>
      <x:c r="J126" s="100" t="n">
        <x:v>0.056</x:v>
      </x:c>
      <x:c r="K126" s="100" t="n">
        <x:v>0.01441835448314777</x:v>
      </x:c>
      <x:c r="L126" s="100" t="n">
        <x:v>0.04158164551685224</x:v>
      </x:c>
      <x:c r="M126" s="100" t="n">
        <x:v>14</x:v>
      </x:c>
      <x:c r="N126" s="100" t="n">
        <x:v>0.6458977918906975</x:v>
      </x:c>
      <x:c r="O126" s="101" t="b">
        <x:v>1</x:v>
      </x:c>
      <x:c r="P126" t="str">
        <x:v>/Users/jvidale/Documents/Research/FaultScanR/output/20260722_181326_2487/CI_40353552</x:v>
      </x:c>
    </x:row>
    <x:row r="127">
      <x:c r="A127" t="str">
        <x:v>CI_40353552</x:v>
      </x:c>
      <x:c r="B127" s="99" t="str">
        <x:v>00170</x:v>
      </x:c>
      <x:c r="C127" t="str">
        <x:v>Z</x:v>
      </x:c>
      <x:c r="D127" t="str">
        <x:v>R</x:v>
      </x:c>
      <x:c r="E127" t="str">
        <x:v>time shift</x:v>
      </x:c>
      <x:c r="F127" t="str">
        <x:v>S</x:v>
      </x:c>
      <x:c r="G127" s="100" t="n">
        <x:v>3</x:v>
      </x:c>
      <x:c r="H127" s="100" t="n">
        <x:v>10</x:v>
      </x:c>
      <x:c r="I127" s="100" t="n">
        <x:v>250</x:v>
      </x:c>
      <x:c r="J127" s="100" t="n">
        <x:v>0.004</x:v>
      </x:c>
      <x:c r="K127" s="100" t="n">
        <x:v>0.02402042183057418</x:v>
      </x:c>
      <x:c r="L127" s="100" t="n">
        <x:v>-0.02002042183057418</x:v>
      </x:c>
      <x:c r="M127" s="100" t="n">
        <x:v>1</x:v>
      </x:c>
      <x:c r="N127" s="100" t="n">
        <x:v>0.8247630931773274</x:v>
      </x:c>
      <x:c r="O127" s="101" t="b">
        <x:v>1</x:v>
      </x:c>
      <x:c r="P127" t="str">
        <x:v>/Users/jvidale/Documents/Research/FaultScanR/output/20260722_181326_2487/CI_40353552</x:v>
      </x:c>
    </x:row>
    <x:row r="128">
      <x:c r="A128" t="str">
        <x:v>CI_40353552</x:v>
      </x:c>
      <x:c r="B128" s="99" t="str">
        <x:v>00172</x:v>
      </x:c>
      <x:c r="C128" t="str">
        <x:v>Z</x:v>
      </x:c>
      <x:c r="D128" t="str">
        <x:v>R</x:v>
      </x:c>
      <x:c r="E128" t="str">
        <x:v>time shift</x:v>
      </x:c>
      <x:c r="F128" t="str">
        <x:v>S</x:v>
      </x:c>
      <x:c r="G128" s="100" t="n">
        <x:v>3</x:v>
      </x:c>
      <x:c r="H128" s="100" t="n">
        <x:v>10</x:v>
      </x:c>
      <x:c r="I128" s="100" t="n">
        <x:v>250</x:v>
      </x:c>
      <x:c r="J128" s="100" t="n">
        <x:v>0.088</x:v>
      </x:c>
      <x:c r="K128" s="100" t="n">
        <x:v>0.03890657160765087</x:v>
      </x:c>
      <x:c r="L128" s="100" t="n">
        <x:v>0.04909342839234912</x:v>
      </x:c>
      <x:c r="M128" s="100" t="n">
        <x:v>22</x:v>
      </x:c>
      <x:c r="N128" s="100" t="n">
        <x:v>0.8523841113108188</x:v>
      </x:c>
      <x:c r="O128" s="101" t="b">
        <x:v>1</x:v>
      </x:c>
      <x:c r="P128" t="str">
        <x:v>/Users/jvidale/Documents/Research/FaultScanR/output/20260722_181326_2487/CI_40353552</x:v>
      </x:c>
    </x:row>
    <x:row r="129">
      <x:c r="A129" t="str">
        <x:v>CI_40353552</x:v>
      </x:c>
      <x:c r="B129" s="99" t="str">
        <x:v>00173</x:v>
      </x:c>
      <x:c r="C129" t="str">
        <x:v>Z</x:v>
      </x:c>
      <x:c r="D129" t="str">
        <x:v>R</x:v>
      </x:c>
      <x:c r="E129" t="str">
        <x:v>time shift</x:v>
      </x:c>
      <x:c r="F129" t="str">
        <x:v>S</x:v>
      </x:c>
      <x:c r="G129" s="100" t="n">
        <x:v>3</x:v>
      </x:c>
      <x:c r="H129" s="100" t="n">
        <x:v>10</x:v>
      </x:c>
      <x:c r="I129" s="100" t="n">
        <x:v>250</x:v>
      </x:c>
      <x:c r="J129" s="100" t="n">
        <x:v>0.028</x:v>
      </x:c>
      <x:c r="K129" s="100" t="n">
        <x:v>0.0496667120402563</x:v>
      </x:c>
      <x:c r="L129" s="100" t="n">
        <x:v>-0.0216667120402563</x:v>
      </x:c>
      <x:c r="M129" s="100" t="n">
        <x:v>7</x:v>
      </x:c>
      <x:c r="N129" s="100" t="n">
        <x:v>0.696886851813523</x:v>
      </x:c>
      <x:c r="O129" s="101" t="b">
        <x:v>1</x:v>
      </x:c>
      <x:c r="P129" t="str">
        <x:v>/Users/jvidale/Documents/Research/FaultScanR/output/20260722_181326_2487/CI_40353552</x:v>
      </x:c>
    </x:row>
    <x:row r="130">
      <x:c r="A130" t="str">
        <x:v>CI_40353552</x:v>
      </x:c>
      <x:c r="B130" s="99" t="str">
        <x:v>00174</x:v>
      </x:c>
      <x:c r="C130" t="str">
        <x:v>Z</x:v>
      </x:c>
      <x:c r="D130" t="str">
        <x:v>R</x:v>
      </x:c>
      <x:c r="E130" t="str">
        <x:v>time shift</x:v>
      </x:c>
      <x:c r="F130" t="str">
        <x:v>S</x:v>
      </x:c>
      <x:c r="G130" s="100" t="n">
        <x:v>3</x:v>
      </x:c>
      <x:c r="H130" s="100" t="n">
        <x:v>10</x:v>
      </x:c>
      <x:c r="I130" s="100" t="n">
        <x:v>250</x:v>
      </x:c>
      <x:c r="J130" s="100" t="n">
        <x:v>-0.06</x:v>
      </x:c>
      <x:c r="K130" s="100" t="n">
        <x:v>-0.05645382869132476</x:v>
      </x:c>
      <x:c r="L130" s="100" t="n">
        <x:v>-0.003546171308675239</x:v>
      </x:c>
      <x:c r="M130" s="100" t="n">
        <x:v>-15</x:v>
      </x:c>
      <x:c r="N130" s="100" t="n">
        <x:v>0.8854774879227416</x:v>
      </x:c>
      <x:c r="O130" s="101" t="b">
        <x:v>1</x:v>
      </x:c>
      <x:c r="P130" t="str">
        <x:v>/Users/jvidale/Documents/Research/FaultScanR/output/20260722_181326_2487/CI_40353552</x:v>
      </x:c>
    </x:row>
    <x:row r="131">
      <x:c r="A131" t="str">
        <x:v>CI_40353552</x:v>
      </x:c>
      <x:c r="B131" s="99" t="str">
        <x:v>00175</x:v>
      </x:c>
      <x:c r="C131" t="str">
        <x:v>Z</x:v>
      </x:c>
      <x:c r="D131" t="str">
        <x:v>R</x:v>
      </x:c>
      <x:c r="E131" t="str">
        <x:v>time shift</x:v>
      </x:c>
      <x:c r="F131" t="str">
        <x:v>S</x:v>
      </x:c>
      <x:c r="G131" s="100" t="n">
        <x:v>3</x:v>
      </x:c>
      <x:c r="H131" s="100" t="n">
        <x:v>10</x:v>
      </x:c>
      <x:c r="I131" s="100" t="n">
        <x:v>250</x:v>
      </x:c>
      <x:c r="J131" s="100" t="n">
        <x:v>-0.052</x:v>
      </x:c>
      <x:c r="K131" s="100" t="n">
        <x:v>-0.04867207985183697</x:v>
      </x:c>
      <x:c r="L131" s="100" t="n">
        <x:v>-0.003327920148163029</x:v>
      </x:c>
      <x:c r="M131" s="100" t="n">
        <x:v>-13</x:v>
      </x:c>
      <x:c r="N131" s="100" t="n">
        <x:v>0.8884772639421007</x:v>
      </x:c>
      <x:c r="O131" s="101" t="b">
        <x:v>1</x:v>
      </x:c>
      <x:c r="P131" t="str">
        <x:v>/Users/jvidale/Documents/Research/FaultScanR/output/20260722_181326_2487/CI_40353552</x:v>
      </x:c>
    </x:row>
    <x:row r="132">
      <x:c r="A132" t="str">
        <x:v>CI_40353552</x:v>
      </x:c>
      <x:c r="B132" s="99" t="str">
        <x:v>00176</x:v>
      </x:c>
      <x:c r="C132" t="str">
        <x:v>Z</x:v>
      </x:c>
      <x:c r="D132" t="str">
        <x:v>R</x:v>
      </x:c>
      <x:c r="E132" t="str">
        <x:v>time shift</x:v>
      </x:c>
      <x:c r="F132" t="str">
        <x:v>S</x:v>
      </x:c>
      <x:c r="G132" s="100" t="n">
        <x:v>3</x:v>
      </x:c>
      <x:c r="H132" s="100" t="n">
        <x:v>10</x:v>
      </x:c>
      <x:c r="I132" s="100" t="n">
        <x:v>250</x:v>
      </x:c>
      <x:c r="J132" s="100" t="n">
        <x:v>-0.036</x:v>
      </x:c>
      <x:c r="K132" s="100" t="n">
        <x:v>-0.03971251152305388</x:v>
      </x:c>
      <x:c r="L132" s="100" t="n">
        <x:v>0.003712511523053887</x:v>
      </x:c>
      <x:c r="M132" s="100" t="n">
        <x:v>-9</x:v>
      </x:c>
      <x:c r="N132" s="100" t="n">
        <x:v>0.9736156948869176</x:v>
      </x:c>
      <x:c r="O132" s="101" t="b">
        <x:v>1</x:v>
      </x:c>
      <x:c r="P132" t="str">
        <x:v>/Users/jvidale/Documents/Research/FaultScanR/output/20260722_181326_2487/CI_40353552</x:v>
      </x:c>
    </x:row>
    <x:row r="133">
      <x:c r="A133" t="str">
        <x:v>CI_40353552</x:v>
      </x:c>
      <x:c r="B133" s="99" t="str">
        <x:v>00177</x:v>
      </x:c>
      <x:c r="C133" t="str">
        <x:v>Z</x:v>
      </x:c>
      <x:c r="D133" t="str">
        <x:v>R</x:v>
      </x:c>
      <x:c r="E133" t="str">
        <x:v>time shift</x:v>
      </x:c>
      <x:c r="F133" t="str">
        <x:v>S</x:v>
      </x:c>
      <x:c r="G133" s="100" t="n">
        <x:v>3</x:v>
      </x:c>
      <x:c r="H133" s="100" t="n">
        <x:v>10</x:v>
      </x:c>
      <x:c r="I133" s="100" t="n">
        <x:v>250</x:v>
      </x:c>
      <x:c r="J133" s="100" t="n">
        <x:v>-0.032</x:v>
      </x:c>
      <x:c r="K133" s="100" t="n">
        <x:v>-0.03265719308067183</x:v>
      </x:c>
      <x:c r="L133" s="100" t="n">
        <x:v>0.0006571930806718307</x:v>
      </x:c>
      <x:c r="M133" s="100" t="n">
        <x:v>-8</x:v>
      </x:c>
      <x:c r="N133" s="100" t="n">
        <x:v>0.9880996225007278</x:v>
      </x:c>
      <x:c r="O133" s="101" t="b">
        <x:v>1</x:v>
      </x:c>
      <x:c r="P133" t="str">
        <x:v>/Users/jvidale/Documents/Research/FaultScanR/output/20260722_181326_2487/CI_40353552</x:v>
      </x:c>
    </x:row>
    <x:row r="134">
      <x:c r="A134" t="str">
        <x:v>CI_40353552</x:v>
      </x:c>
      <x:c r="B134" s="99" t="str">
        <x:v>00178</x:v>
      </x:c>
      <x:c r="C134" t="str">
        <x:v>Z</x:v>
      </x:c>
      <x:c r="D134" t="str">
        <x:v>R</x:v>
      </x:c>
      <x:c r="E134" t="str">
        <x:v>time shift</x:v>
      </x:c>
      <x:c r="F134" t="str">
        <x:v>S</x:v>
      </x:c>
      <x:c r="G134" s="100" t="n">
        <x:v>3</x:v>
      </x:c>
      <x:c r="H134" s="100" t="n">
        <x:v>10</x:v>
      </x:c>
      <x:c r="I134" s="100" t="n">
        <x:v>250</x:v>
      </x:c>
      <x:c r="J134" s="100" t="n">
        <x:v>-0.028</x:v>
      </x:c>
      <x:c r="K134" s="100" t="n">
        <x:v>-0.02404667269706096</x:v>
      </x:c>
      <x:c r="L134" s="100" t="n">
        <x:v>-0.003953327302939045</x:v>
      </x:c>
      <x:c r="M134" s="100" t="n">
        <x:v>-7</x:v>
      </x:c>
      <x:c r="N134" s="100" t="n">
        <x:v>0.9732383692050961</x:v>
      </x:c>
      <x:c r="O134" s="101" t="b">
        <x:v>1</x:v>
      </x:c>
      <x:c r="P134" t="str">
        <x:v>/Users/jvidale/Documents/Research/FaultScanR/output/20260722_181326_2487/CI_40353552</x:v>
      </x:c>
    </x:row>
    <x:row r="135">
      <x:c r="A135" t="str">
        <x:v>CI_40353552</x:v>
      </x:c>
      <x:c r="B135" s="99" t="str">
        <x:v>00180</x:v>
      </x:c>
      <x:c r="C135" t="str">
        <x:v>Z</x:v>
      </x:c>
      <x:c r="D135" t="str">
        <x:v>R</x:v>
      </x:c>
      <x:c r="E135" t="str">
        <x:v>time shift</x:v>
      </x:c>
      <x:c r="F135" t="str">
        <x:v>S</x:v>
      </x:c>
      <x:c r="G135" s="100" t="n">
        <x:v>3</x:v>
      </x:c>
      <x:c r="H135" s="100" t="n">
        <x:v>10</x:v>
      </x:c>
      <x:c r="I135" s="100" t="n">
        <x:v>250</x:v>
      </x:c>
      <x:c r="J135" s="100" t="n">
        <x:v>-0.004</x:v>
      </x:c>
      <x:c r="K135" s="100" t="n">
        <x:v>-0.007316887909373015</x:v>
      </x:c>
      <x:c r="L135" s="100" t="n">
        <x:v>0.003316887909373015</x:v>
      </x:c>
      <x:c r="M135" s="100" t="n">
        <x:v>-1</x:v>
      </x:c>
      <x:c r="N135" s="100" t="n">
        <x:v>0.9920329857766086</x:v>
      </x:c>
      <x:c r="O135" s="101" t="b">
        <x:v>1</x:v>
      </x:c>
      <x:c r="P135" t="str">
        <x:v>/Users/jvidale/Documents/Research/FaultScanR/output/20260722_181326_2487/CI_40353552</x:v>
      </x:c>
    </x:row>
    <x:row r="136">
      <x:c r="A136" t="str">
        <x:v>CI_40353552</x:v>
      </x:c>
      <x:c r="B136" s="99" t="str">
        <x:v>00181</x:v>
      </x:c>
      <x:c r="C136" t="str">
        <x:v>Z</x:v>
      </x:c>
      <x:c r="D136" t="str">
        <x:v>R</x:v>
      </x:c>
      <x:c r="E136" t="str">
        <x:v>time shift</x:v>
      </x:c>
      <x:c r="F136" t="str">
        <x:v>S</x:v>
      </x:c>
      <x:c r="G136" s="100" t="n">
        <x:v>3</x:v>
      </x:c>
      <x:c r="H136" s="100" t="n">
        <x:v>10</x:v>
      </x:c>
      <x:c r="I136" s="100" t="n">
        <x:v>250</x:v>
      </x:c>
      <x:c r="J136" s="100" t="n">
        <x:v>0</x:v>
      </x:c>
      <x:c r="K136" s="100" t="n">
        <x:v>0</x:v>
      </x:c>
      <x:c r="L136" s="100" t="n">
        <x:v>0</x:v>
      </x:c>
      <x:c r="M136" s="100" t="n">
        <x:v>0</x:v>
      </x:c>
      <x:c r="N136" s="100" t="n">
        <x:v>0.9655103122922313</x:v>
      </x:c>
      <x:c r="O136" s="101" t="b">
        <x:v>1</x:v>
      </x:c>
      <x:c r="P136" t="str">
        <x:v>/Users/jvidale/Documents/Research/FaultScanR/output/20260722_181326_2487/CI_40353552</x:v>
      </x:c>
    </x:row>
    <x:row r="137">
      <x:c r="A137" t="str">
        <x:v>CI_40353552</x:v>
      </x:c>
      <x:c r="B137" s="99" t="str">
        <x:v>00182</x:v>
      </x:c>
      <x:c r="C137" t="str">
        <x:v>Z</x:v>
      </x:c>
      <x:c r="D137" t="str">
        <x:v>R</x:v>
      </x:c>
      <x:c r="E137" t="str">
        <x:v>time shift</x:v>
      </x:c>
      <x:c r="F137" t="str">
        <x:v>S</x:v>
      </x:c>
      <x:c r="G137" s="100" t="n">
        <x:v>3</x:v>
      </x:c>
      <x:c r="H137" s="100" t="n">
        <x:v>10</x:v>
      </x:c>
      <x:c r="I137" s="100" t="n">
        <x:v>250</x:v>
      </x:c>
      <x:c r="J137" s="100" t="n">
        <x:v>-0.024</x:v>
      </x:c>
      <x:c r="K137" s="100" t="n">
        <x:v>0.01010476226886503</x:v>
      </x:c>
      <x:c r="L137" s="100" t="n">
        <x:v>-0.03410476226886503</x:v>
      </x:c>
      <x:c r="M137" s="100" t="n">
        <x:v>-6</x:v>
      </x:c>
      <x:c r="N137" s="100" t="n">
        <x:v>0.7999607991349744</x:v>
      </x:c>
      <x:c r="O137" s="101" t="b">
        <x:v>1</x:v>
      </x:c>
      <x:c r="P137" t="str">
        <x:v>/Users/jvidale/Documents/Research/FaultScanR/output/20260722_181326_2487/CI_40353552</x:v>
      </x:c>
    </x:row>
    <x:row r="138">
      <x:c r="A138" t="str">
        <x:v>CI_40353552</x:v>
      </x:c>
      <x:c r="B138" s="99" t="str">
        <x:v>00183</x:v>
      </x:c>
      <x:c r="C138" t="str">
        <x:v>Z</x:v>
      </x:c>
      <x:c r="D138" t="str">
        <x:v>R</x:v>
      </x:c>
      <x:c r="E138" t="str">
        <x:v>time shift</x:v>
      </x:c>
      <x:c r="F138" t="str">
        <x:v>S</x:v>
      </x:c>
      <x:c r="G138" s="100" t="n">
        <x:v>3</x:v>
      </x:c>
      <x:c r="H138" s="100" t="n">
        <x:v>10</x:v>
      </x:c>
      <x:c r="I138" s="100" t="n">
        <x:v>250</x:v>
      </x:c>
      <x:c r="J138" s="100" t="n">
        <x:v>-0.008</x:v>
      </x:c>
      <x:c r="K138" s="100" t="n">
        <x:v>0.02202401286139999</x:v>
      </x:c>
      <x:c r="L138" s="100" t="n">
        <x:v>-0.03002401286139999</x:v>
      </x:c>
      <x:c r="M138" s="100" t="n">
        <x:v>-2</x:v>
      </x:c>
      <x:c r="N138" s="100" t="n">
        <x:v>0.8210360127076327</x:v>
      </x:c>
      <x:c r="O138" s="101" t="b">
        <x:v>1</x:v>
      </x:c>
      <x:c r="P138" t="str">
        <x:v>/Users/jvidale/Documents/Research/FaultScanR/output/20260722_181326_2487/CI_40353552</x:v>
      </x:c>
    </x:row>
    <x:row r="139">
      <x:c r="A139" t="str">
        <x:v>CI_40353552</x:v>
      </x:c>
      <x:c r="B139" s="99" t="str">
        <x:v>00184</x:v>
      </x:c>
      <x:c r="C139" t="str">
        <x:v>Z</x:v>
      </x:c>
      <x:c r="D139" t="str">
        <x:v>R</x:v>
      </x:c>
      <x:c r="E139" t="str">
        <x:v>time shift</x:v>
      </x:c>
      <x:c r="F139" t="str">
        <x:v>S</x:v>
      </x:c>
      <x:c r="G139" s="100" t="n">
        <x:v>3</x:v>
      </x:c>
      <x:c r="H139" s="100" t="n">
        <x:v>10</x:v>
      </x:c>
      <x:c r="I139" s="100" t="n">
        <x:v>250</x:v>
      </x:c>
      <x:c r="J139" s="100" t="n">
        <x:v>0</x:v>
      </x:c>
      <x:c r="K139" s="100" t="n">
        <x:v>0.03037563932223186</x:v>
      </x:c>
      <x:c r="L139" s="100" t="n">
        <x:v>-0.03037563932223186</x:v>
      </x:c>
      <x:c r="M139" s="100" t="n">
        <x:v>0</x:v>
      </x:c>
      <x:c r="N139" s="100" t="n">
        <x:v>0.7263150538331966</x:v>
      </x:c>
      <x:c r="O139" s="101" t="b">
        <x:v>1</x:v>
      </x:c>
      <x:c r="P139" t="str">
        <x:v>/Users/jvidale/Documents/Research/FaultScanR/output/20260722_181326_2487/CI_40353552</x:v>
      </x:c>
    </x:row>
    <x:row r="140">
      <x:c r="A140" t="str">
        <x:v>CI_40353552</x:v>
      </x:c>
      <x:c r="B140" s="99" t="str">
        <x:v>00185</x:v>
      </x:c>
      <x:c r="C140" t="str">
        <x:v>Z</x:v>
      </x:c>
      <x:c r="D140" t="str">
        <x:v>R</x:v>
      </x:c>
      <x:c r="E140" t="str">
        <x:v>time shift</x:v>
      </x:c>
      <x:c r="F140" t="str">
        <x:v>S</x:v>
      </x:c>
      <x:c r="G140" s="100" t="n">
        <x:v>3</x:v>
      </x:c>
      <x:c r="H140" s="100" t="n">
        <x:v>10</x:v>
      </x:c>
      <x:c r="I140" s="100" t="n">
        <x:v>250</x:v>
      </x:c>
      <x:c r="J140" s="100" t="n">
        <x:v>0.036</x:v>
      </x:c>
      <x:c r="K140" s="100" t="n">
        <x:v>0.03725698332228333</x:v>
      </x:c>
      <x:c r="L140" s="100" t="n">
        <x:v>-0.001256983322283335</x:v>
      </x:c>
      <x:c r="M140" s="100" t="n">
        <x:v>9</x:v>
      </x:c>
      <x:c r="N140" s="100" t="n">
        <x:v>0.9770378140774186</x:v>
      </x:c>
      <x:c r="O140" s="101" t="b">
        <x:v>1</x:v>
      </x:c>
      <x:c r="P140" t="str">
        <x:v>/Users/jvidale/Documents/Research/FaultScanR/output/20260722_181326_2487/CI_40353552</x:v>
      </x:c>
    </x:row>
    <x:row r="141">
      <x:c r="A141" t="str">
        <x:v>CI_40353552</x:v>
      </x:c>
      <x:c r="B141" s="99" t="str">
        <x:v>00186</x:v>
      </x:c>
      <x:c r="C141" t="str">
        <x:v>Z</x:v>
      </x:c>
      <x:c r="D141" t="str">
        <x:v>R</x:v>
      </x:c>
      <x:c r="E141" t="str">
        <x:v>time shift</x:v>
      </x:c>
      <x:c r="F141" t="str">
        <x:v>S</x:v>
      </x:c>
      <x:c r="G141" s="100" t="n">
        <x:v>3</x:v>
      </x:c>
      <x:c r="H141" s="100" t="n">
        <x:v>10</x:v>
      </x:c>
      <x:c r="I141" s="100" t="n">
        <x:v>250</x:v>
      </x:c>
      <x:c r="J141" s="100" t="n">
        <x:v>0.06</x:v>
      </x:c>
      <x:c r="K141" s="100" t="n">
        <x:v>0.04453116859377815</x:v>
      </x:c>
      <x:c r="L141" s="100" t="n">
        <x:v>0.01546883140622185</x:v>
      </x:c>
      <x:c r="M141" s="100" t="n">
        <x:v>15</x:v>
      </x:c>
      <x:c r="N141" s="100" t="n">
        <x:v>0.8728320421763021</x:v>
      </x:c>
      <x:c r="O141" s="101" t="b">
        <x:v>1</x:v>
      </x:c>
      <x:c r="P141" t="str">
        <x:v>/Users/jvidale/Documents/Research/FaultScanR/output/20260722_181326_2487/CI_40353552</x:v>
      </x:c>
    </x:row>
    <x:row r="142">
      <x:c r="A142" t="str">
        <x:v>CI_40353552</x:v>
      </x:c>
      <x:c r="B142" s="99" t="str">
        <x:v>00187</x:v>
      </x:c>
      <x:c r="C142" t="str">
        <x:v>Z</x:v>
      </x:c>
      <x:c r="D142" t="str">
        <x:v>R</x:v>
      </x:c>
      <x:c r="E142" t="str">
        <x:v>time shift</x:v>
      </x:c>
      <x:c r="F142" t="str">
        <x:v>S</x:v>
      </x:c>
      <x:c r="G142" s="100" t="n">
        <x:v>3</x:v>
      </x:c>
      <x:c r="H142" s="100" t="n">
        <x:v>10</x:v>
      </x:c>
      <x:c r="I142" s="100" t="n">
        <x:v>250</x:v>
      </x:c>
      <x:c r="J142" s="100" t="n">
        <x:v>0.104</x:v>
      </x:c>
      <x:c r="K142" s="100" t="n">
        <x:v>0.05409450807524596</x:v>
      </x:c>
      <x:c r="L142" s="100" t="n">
        <x:v>0.04990549192475403</x:v>
      </x:c>
      <x:c r="M142" s="100" t="n">
        <x:v>26</x:v>
      </x:c>
      <x:c r="N142" s="100" t="n">
        <x:v>0.6548528665104195</x:v>
      </x:c>
      <x:c r="O142" s="101" t="b">
        <x:v>1</x:v>
      </x:c>
      <x:c r="P142" t="str">
        <x:v>/Users/jvidale/Documents/Research/FaultScanR/output/20260722_181326_2487/CI_40353552</x:v>
      </x:c>
    </x:row>
    <x:row r="143">
      <x:c r="A143" t="str">
        <x:v>CI_40353552</x:v>
      </x:c>
      <x:c r="B143" s="99" t="str">
        <x:v>00188</x:v>
      </x:c>
      <x:c r="C143" t="str">
        <x:v>Z</x:v>
      </x:c>
      <x:c r="D143" t="str">
        <x:v>R</x:v>
      </x:c>
      <x:c r="E143" t="str">
        <x:v>time shift</x:v>
      </x:c>
      <x:c r="F143" t="str">
        <x:v>S</x:v>
      </x:c>
      <x:c r="G143" s="100" t="n">
        <x:v>3</x:v>
      </x:c>
      <x:c r="H143" s="100" t="n">
        <x:v>10</x:v>
      </x:c>
      <x:c r="I143" s="100" t="n">
        <x:v>250</x:v>
      </x:c>
      <x:c r="J143" s="100" t="n">
        <x:v>0.112</x:v>
      </x:c>
      <x:c r="K143" s="100" t="n">
        <x:v>0.06494896727890076</x:v>
      </x:c>
      <x:c r="L143" s="100" t="n">
        <x:v>0.04705103272109924</x:v>
      </x:c>
      <x:c r="M143" s="100" t="n">
        <x:v>28</x:v>
      </x:c>
      <x:c r="N143" s="100" t="n">
        <x:v>0.6846721645535643</x:v>
      </x:c>
      <x:c r="O143" s="101" t="b">
        <x:v>1</x:v>
      </x:c>
      <x:c r="P143" t="str">
        <x:v>/Users/jvidale/Documents/Research/FaultScanR/output/20260722_181326_2487/CI_40353552</x:v>
      </x:c>
    </x:row>
    <x:row r="144">
      <x:c r="A144" t="str">
        <x:v>CI_40353552</x:v>
      </x:c>
      <x:c r="B144" s="99" t="str">
        <x:v>00189</x:v>
      </x:c>
      <x:c r="C144" t="str">
        <x:v>Z</x:v>
      </x:c>
      <x:c r="D144" t="str">
        <x:v>R</x:v>
      </x:c>
      <x:c r="E144" t="str">
        <x:v>time shift</x:v>
      </x:c>
      <x:c r="F144" t="str">
        <x:v>S</x:v>
      </x:c>
      <x:c r="G144" s="100" t="n">
        <x:v>3</x:v>
      </x:c>
      <x:c r="H144" s="100" t="n">
        <x:v>10</x:v>
      </x:c>
      <x:c r="I144" s="100" t="n">
        <x:v>250</x:v>
      </x:c>
      <x:c r="J144" s="100" t="n">
        <x:v>0.04</x:v>
      </x:c>
      <x:c r="K144" s="100" t="n">
        <x:v>0.07245136061249191</x:v>
      </x:c>
      <x:c r="L144" s="100" t="n">
        <x:v>-0.03245136061249191</x:v>
      </x:c>
      <x:c r="M144" s="100" t="n">
        <x:v>10</x:v>
      </x:c>
      <x:c r="N144" s="100" t="n">
        <x:v>0.7996608823862189</x:v>
      </x:c>
      <x:c r="O144" s="101" t="b">
        <x:v>1</x:v>
      </x:c>
      <x:c r="P144" t="str">
        <x:v>/Users/jvidale/Documents/Research/FaultScanR/output/20260722_181326_2487/CI_40353552</x:v>
      </x:c>
    </x:row>
    <x:row r="145">
      <x:c r="A145" t="str">
        <x:v>CI_40353552</x:v>
      </x:c>
      <x:c r="B145" s="99" t="str">
        <x:v>00190</x:v>
      </x:c>
      <x:c r="C145" t="str">
        <x:v>Z</x:v>
      </x:c>
      <x:c r="D145" t="str">
        <x:v>R</x:v>
      </x:c>
      <x:c r="E145" t="str">
        <x:v>time shift</x:v>
      </x:c>
      <x:c r="F145" t="str">
        <x:v>S</x:v>
      </x:c>
      <x:c r="G145" s="100" t="n">
        <x:v>3</x:v>
      </x:c>
      <x:c r="H145" s="100" t="n">
        <x:v>10</x:v>
      </x:c>
      <x:c r="I145" s="100" t="n">
        <x:v>250</x:v>
      </x:c>
      <x:c r="J145" s="100" t="n">
        <x:v>-0.048</x:v>
      </x:c>
      <x:c r="K145" s="100" t="n">
        <x:v>-0.03417174192897043</x:v>
      </x:c>
      <x:c r="L145" s="100" t="n">
        <x:v>-0.01382825807102957</x:v>
      </x:c>
      <x:c r="M145" s="100" t="n">
        <x:v>-12</x:v>
      </x:c>
      <x:c r="N145" s="100" t="n">
        <x:v>0.8442139228964224</x:v>
      </x:c>
      <x:c r="O145" s="101" t="b">
        <x:v>1</x:v>
      </x:c>
      <x:c r="P145" t="str">
        <x:v>/Users/jvidale/Documents/Research/FaultScanR/output/20260722_181326_2487/CI_40353552</x:v>
      </x:c>
    </x:row>
    <x:row r="146">
      <x:c r="A146" t="str">
        <x:v>CI_40353552</x:v>
      </x:c>
      <x:c r="B146" s="99" t="str">
        <x:v>00191</x:v>
      </x:c>
      <x:c r="C146" t="str">
        <x:v>Z</x:v>
      </x:c>
      <x:c r="D146" t="str">
        <x:v>R</x:v>
      </x:c>
      <x:c r="E146" t="str">
        <x:v>time shift</x:v>
      </x:c>
      <x:c r="F146" t="str">
        <x:v>S</x:v>
      </x:c>
      <x:c r="G146" s="100" t="n">
        <x:v>3</x:v>
      </x:c>
      <x:c r="H146" s="100" t="n">
        <x:v>10</x:v>
      </x:c>
      <x:c r="I146" s="100" t="n">
        <x:v>250</x:v>
      </x:c>
      <x:c r="J146" s="100" t="n">
        <x:v>-0.032</x:v>
      </x:c>
      <x:c r="K146" s="100" t="n">
        <x:v>-0.02457870087923997</x:v>
      </x:c>
      <x:c r="L146" s="100" t="n">
        <x:v>-0.007421299120760033</x:v>
      </x:c>
      <x:c r="M146" s="100" t="n">
        <x:v>-8</x:v>
      </x:c>
      <x:c r="N146" s="100" t="n">
        <x:v>0.8214810652224713</x:v>
      </x:c>
      <x:c r="O146" s="101" t="b">
        <x:v>1</x:v>
      </x:c>
      <x:c r="P146" t="str">
        <x:v>/Users/jvidale/Documents/Research/FaultScanR/output/20260722_181326_2487/CI_40353552</x:v>
      </x:c>
    </x:row>
    <x:row r="147">
      <x:c r="A147" t="str">
        <x:v>CI_40353552</x:v>
      </x:c>
      <x:c r="B147" s="99" t="str">
        <x:v>00192</x:v>
      </x:c>
      <x:c r="C147" t="str">
        <x:v>Z</x:v>
      </x:c>
      <x:c r="D147" t="str">
        <x:v>R</x:v>
      </x:c>
      <x:c r="E147" t="str">
        <x:v>time shift</x:v>
      </x:c>
      <x:c r="F147" t="str">
        <x:v>S</x:v>
      </x:c>
      <x:c r="G147" s="100" t="n">
        <x:v>3</x:v>
      </x:c>
      <x:c r="H147" s="100" t="n">
        <x:v>10</x:v>
      </x:c>
      <x:c r="I147" s="100" t="n">
        <x:v>250</x:v>
      </x:c>
      <x:c r="J147" s="100" t="n">
        <x:v>-0.02</x:v>
      </x:c>
      <x:c r="K147" s="100" t="n">
        <x:v>-0.01577063844334603</x:v>
      </x:c>
      <x:c r="L147" s="100" t="n">
        <x:v>-0.00422936155665397</x:v>
      </x:c>
      <x:c r="M147" s="100" t="n">
        <x:v>-5</x:v>
      </x:c>
      <x:c r="N147" s="100" t="n">
        <x:v>0.9058130397831748</x:v>
      </x:c>
      <x:c r="O147" s="101" t="b">
        <x:v>1</x:v>
      </x:c>
      <x:c r="P147" t="str">
        <x:v>/Users/jvidale/Documents/Research/FaultScanR/output/20260722_181326_2487/CI_40353552</x:v>
      </x:c>
    </x:row>
    <x:row r="148">
      <x:c r="A148" t="str">
        <x:v>CI_40353552</x:v>
      </x:c>
      <x:c r="B148" s="99" t="str">
        <x:v>00194</x:v>
      </x:c>
      <x:c r="C148" t="str">
        <x:v>Z</x:v>
      </x:c>
      <x:c r="D148" t="str">
        <x:v>R</x:v>
      </x:c>
      <x:c r="E148" t="str">
        <x:v>time shift</x:v>
      </x:c>
      <x:c r="F148" t="str">
        <x:v>S</x:v>
      </x:c>
      <x:c r="G148" s="100" t="n">
        <x:v>3</x:v>
      </x:c>
      <x:c r="H148" s="100" t="n">
        <x:v>10</x:v>
      </x:c>
      <x:c r="I148" s="100" t="n">
        <x:v>250</x:v>
      </x:c>
      <x:c r="J148" s="100" t="n">
        <x:v>0</x:v>
      </x:c>
      <x:c r="K148" s="100" t="n">
        <x:v>-0.001326493964906028</x:v>
      </x:c>
      <x:c r="L148" s="100" t="n">
        <x:v>0.001326493964906028</x:v>
      </x:c>
      <x:c r="M148" s="100" t="n">
        <x:v>0</x:v>
      </x:c>
      <x:c r="N148" s="100" t="n">
        <x:v>0.9770654264391014</x:v>
      </x:c>
      <x:c r="O148" s="101" t="b">
        <x:v>1</x:v>
      </x:c>
      <x:c r="P148" t="str">
        <x:v>/Users/jvidale/Documents/Research/FaultScanR/output/20260722_181326_2487/CI_40353552</x:v>
      </x:c>
    </x:row>
    <x:row r="149">
      <x:c r="A149" t="str">
        <x:v>CI_40353552</x:v>
      </x:c>
      <x:c r="B149" s="99" t="str">
        <x:v>00195</x:v>
      </x:c>
      <x:c r="C149" t="str">
        <x:v>Z</x:v>
      </x:c>
      <x:c r="D149" t="str">
        <x:v>R</x:v>
      </x:c>
      <x:c r="E149" t="str">
        <x:v>time shift</x:v>
      </x:c>
      <x:c r="F149" t="str">
        <x:v>S</x:v>
      </x:c>
      <x:c r="G149" s="100" t="n">
        <x:v>3</x:v>
      </x:c>
      <x:c r="H149" s="100" t="n">
        <x:v>10</x:v>
      </x:c>
      <x:c r="I149" s="100" t="n">
        <x:v>250</x:v>
      </x:c>
      <x:c r="J149" s="100" t="n">
        <x:v>0.004</x:v>
      </x:c>
      <x:c r="K149" s="100" t="n">
        <x:v>0.00366799212416602</x:v>
      </x:c>
      <x:c r="L149" s="100" t="n">
        <x:v>0.0003320078758339805</x:v>
      </x:c>
      <x:c r="M149" s="100" t="n">
        <x:v>1</x:v>
      </x:c>
      <x:c r="N149" s="100" t="n">
        <x:v>0.9772248331107316</x:v>
      </x:c>
      <x:c r="O149" s="101" t="b">
        <x:v>1</x:v>
      </x:c>
      <x:c r="P149" t="str">
        <x:v>/Users/jvidale/Documents/Research/FaultScanR/output/20260722_181326_2487/CI_40353552</x:v>
      </x:c>
    </x:row>
    <x:row r="150">
      <x:c r="A150" t="str">
        <x:v>CI_40353552</x:v>
      </x:c>
      <x:c r="B150" s="99" t="str">
        <x:v>00196</x:v>
      </x:c>
      <x:c r="C150" t="str">
        <x:v>Z</x:v>
      </x:c>
      <x:c r="D150" t="str">
        <x:v>R</x:v>
      </x:c>
      <x:c r="E150" t="str">
        <x:v>time shift</x:v>
      </x:c>
      <x:c r="F150" t="str">
        <x:v>S</x:v>
      </x:c>
      <x:c r="G150" s="100" t="n">
        <x:v>3</x:v>
      </x:c>
      <x:c r="H150" s="100" t="n">
        <x:v>10</x:v>
      </x:c>
      <x:c r="I150" s="100" t="n">
        <x:v>250</x:v>
      </x:c>
      <x:c r="J150" s="100" t="n">
        <x:v>0.016</x:v>
      </x:c>
      <x:c r="K150" s="100" t="n">
        <x:v>0.01396858533681034</x:v>
      </x:c>
      <x:c r="L150" s="100" t="n">
        <x:v>0.002031414663189665</x:v>
      </x:c>
      <x:c r="M150" s="100" t="n">
        <x:v>4</x:v>
      </x:c>
      <x:c r="N150" s="100" t="n">
        <x:v>0.9946594580954692</x:v>
      </x:c>
      <x:c r="O150" s="101" t="b">
        <x:v>1</x:v>
      </x:c>
      <x:c r="P150" t="str">
        <x:v>/Users/jvidale/Documents/Research/FaultScanR/output/20260722_181326_2487/CI_40353552</x:v>
      </x:c>
    </x:row>
    <x:row r="151">
      <x:c r="A151" t="str">
        <x:v>CI_40353552</x:v>
      </x:c>
      <x:c r="B151" s="99" t="str">
        <x:v>00197</x:v>
      </x:c>
      <x:c r="C151" t="str">
        <x:v>Z</x:v>
      </x:c>
      <x:c r="D151" t="str">
        <x:v>R</x:v>
      </x:c>
      <x:c r="E151" t="str">
        <x:v>time shift</x:v>
      </x:c>
      <x:c r="F151" t="str">
        <x:v>S</x:v>
      </x:c>
      <x:c r="G151" s="100" t="n">
        <x:v>3</x:v>
      </x:c>
      <x:c r="H151" s="100" t="n">
        <x:v>10</x:v>
      </x:c>
      <x:c r="I151" s="100" t="n">
        <x:v>250</x:v>
      </x:c>
      <x:c r="J151" s="100" t="n">
        <x:v>0.032</x:v>
      </x:c>
      <x:c r="K151" s="100" t="n">
        <x:v>0.02276564658452518</x:v>
      </x:c>
      <x:c r="L151" s="100" t="n">
        <x:v>0.009234353415474822</x:v>
      </x:c>
      <x:c r="M151" s="100" t="n">
        <x:v>8</x:v>
      </x:c>
      <x:c r="N151" s="100" t="n">
        <x:v>0.9395312301380813</x:v>
      </x:c>
      <x:c r="O151" s="101" t="b">
        <x:v>1</x:v>
      </x:c>
      <x:c r="P151" t="str">
        <x:v>/Users/jvidale/Documents/Research/FaultScanR/output/20260722_181326_2487/CI_40353552</x:v>
      </x:c>
    </x:row>
    <x:row r="152">
      <x:c r="A152" t="str">
        <x:v>CI_40353552</x:v>
      </x:c>
      <x:c r="B152" s="99" t="str">
        <x:v>00198</x:v>
      </x:c>
      <x:c r="C152" t="str">
        <x:v>Z</x:v>
      </x:c>
      <x:c r="D152" t="str">
        <x:v>R</x:v>
      </x:c>
      <x:c r="E152" t="str">
        <x:v>time shift</x:v>
      </x:c>
      <x:c r="F152" t="str">
        <x:v>S</x:v>
      </x:c>
      <x:c r="G152" s="100" t="n">
        <x:v>3</x:v>
      </x:c>
      <x:c r="H152" s="100" t="n">
        <x:v>10</x:v>
      </x:c>
      <x:c r="I152" s="100" t="n">
        <x:v>250</x:v>
      </x:c>
      <x:c r="J152" s="100" t="n">
        <x:v>0.008</x:v>
      </x:c>
      <x:c r="K152" s="100" t="n">
        <x:v>0.03158563083449817</x:v>
      </x:c>
      <x:c r="L152" s="100" t="n">
        <x:v>-0.02358563083449817</x:v>
      </x:c>
      <x:c r="M152" s="100" t="n">
        <x:v>2</x:v>
      </x:c>
      <x:c r="N152" s="100" t="n">
        <x:v>0.664795529474092</x:v>
      </x:c>
      <x:c r="O152" s="101" t="b">
        <x:v>1</x:v>
      </x:c>
      <x:c r="P152" t="str">
        <x:v>/Users/jvidale/Documents/Research/FaultScanR/output/20260722_181326_2487/CI_40353552</x:v>
      </x:c>
    </x:row>
    <x:row r="153">
      <x:c r="A153" t="str">
        <x:v>CI_40353552</x:v>
      </x:c>
      <x:c r="B153" s="99" t="str">
        <x:v>00199</x:v>
      </x:c>
      <x:c r="C153" t="str">
        <x:v>Z</x:v>
      </x:c>
      <x:c r="D153" t="str">
        <x:v>R</x:v>
      </x:c>
      <x:c r="E153" t="str">
        <x:v>time shift</x:v>
      </x:c>
      <x:c r="F153" t="str">
        <x:v>S</x:v>
      </x:c>
      <x:c r="G153" s="100" t="n">
        <x:v>3</x:v>
      </x:c>
      <x:c r="H153" s="100" t="n">
        <x:v>10</x:v>
      </x:c>
      <x:c r="I153" s="100" t="n">
        <x:v>250</x:v>
      </x:c>
      <x:c r="J153" s="100" t="n">
        <x:v>0.076</x:v>
      </x:c>
      <x:c r="K153" s="100" t="n">
        <x:v>0.04019154184312157</x:v>
      </x:c>
      <x:c r="L153" s="100" t="n">
        <x:v>0.03580845815687843</x:v>
      </x:c>
      <x:c r="M153" s="100" t="n">
        <x:v>19</x:v>
      </x:c>
      <x:c r="N153" s="100" t="n">
        <x:v>0.4516700073717943</x:v>
      </x:c>
      <x:c r="O153" s="101" t="b">
        <x:v>0</x:v>
      </x:c>
      <x:c r="P153" t="str">
        <x:v>/Users/jvidale/Documents/Research/FaultScanR/output/20260722_181326_2487/CI_40353552</x:v>
      </x:c>
    </x:row>
    <x:row r="154">
      <x:c r="A154" t="str">
        <x:v>CI_40353552</x:v>
      </x:c>
      <x:c r="B154" s="99" t="str">
        <x:v>00200</x:v>
      </x:c>
      <x:c r="C154" t="str">
        <x:v>Z</x:v>
      </x:c>
      <x:c r="D154" t="str">
        <x:v>R</x:v>
      </x:c>
      <x:c r="E154" t="str">
        <x:v>time shift</x:v>
      </x:c>
      <x:c r="F154" t="str">
        <x:v>S</x:v>
      </x:c>
      <x:c r="G154" s="100" t="n">
        <x:v>3</x:v>
      </x:c>
      <x:c r="H154" s="100" t="n">
        <x:v>10</x:v>
      </x:c>
      <x:c r="I154" s="100" t="n">
        <x:v>250</x:v>
      </x:c>
      <x:c r="J154" s="100" t="n">
        <x:v>0.028</x:v>
      </x:c>
      <x:c r="K154" s="100" t="n">
        <x:v>0.04881202337196644</x:v>
      </x:c>
      <x:c r="L154" s="100" t="n">
        <x:v>-0.02081202337196644</x:v>
      </x:c>
      <x:c r="M154" s="100" t="n">
        <x:v>7</x:v>
      </x:c>
      <x:c r="N154" s="100" t="n">
        <x:v>0.6654404029985168</x:v>
      </x:c>
      <x:c r="O154" s="101" t="b">
        <x:v>1</x:v>
      </x:c>
      <x:c r="P154" t="str">
        <x:v>/Users/jvidale/Documents/Research/FaultScanR/output/20260722_181326_2487/CI_40353552</x:v>
      </x:c>
    </x:row>
    <x:row r="155">
      <x:c r="A155" t="str">
        <x:v>CI_40353552</x:v>
      </x:c>
      <x:c r="B155" s="99" t="str">
        <x:v>00201</x:v>
      </x:c>
      <x:c r="C155" t="str">
        <x:v>Z</x:v>
      </x:c>
      <x:c r="D155" t="str">
        <x:v>R</x:v>
      </x:c>
      <x:c r="E155" t="str">
        <x:v>time shift</x:v>
      </x:c>
      <x:c r="F155" t="str">
        <x:v>S</x:v>
      </x:c>
      <x:c r="G155" s="100" t="n">
        <x:v>3</x:v>
      </x:c>
      <x:c r="H155" s="100" t="n">
        <x:v>10</x:v>
      </x:c>
      <x:c r="I155" s="100" t="n">
        <x:v>250</x:v>
      </x:c>
      <x:c r="J155" s="100" t="n">
        <x:v>0.064</x:v>
      </x:c>
      <x:c r="K155" s="100" t="n">
        <x:v>0.05768546962109422</x:v>
      </x:c>
      <x:c r="L155" s="100" t="n">
        <x:v>0.006314530378905781</x:v>
      </x:c>
      <x:c r="M155" s="100" t="n">
        <x:v>16</x:v>
      </x:c>
      <x:c r="N155" s="100" t="n">
        <x:v>0.9494482181813679</x:v>
      </x:c>
      <x:c r="O155" s="101" t="b">
        <x:v>1</x:v>
      </x:c>
      <x:c r="P155" t="str">
        <x:v>/Users/jvidale/Documents/Research/FaultScanR/output/20260722_181326_2487/CI_40353552</x:v>
      </x:c>
    </x:row>
    <x:row r="156">
      <x:c r="A156" t="str">
        <x:v>CI_40353552</x:v>
      </x:c>
      <x:c r="B156" s="99" t="str">
        <x:v>00202</x:v>
      </x:c>
      <x:c r="C156" t="str">
        <x:v>Z</x:v>
      </x:c>
      <x:c r="D156" t="str">
        <x:v>R</x:v>
      </x:c>
      <x:c r="E156" t="str">
        <x:v>time shift</x:v>
      </x:c>
      <x:c r="F156" t="str">
        <x:v>S</x:v>
      </x:c>
      <x:c r="G156" s="100" t="n">
        <x:v>3</x:v>
      </x:c>
      <x:c r="H156" s="100" t="n">
        <x:v>10</x:v>
      </x:c>
      <x:c r="I156" s="100" t="n">
        <x:v>250</x:v>
      </x:c>
      <x:c r="J156" s="100" t="n">
        <x:v>0.116</x:v>
      </x:c>
      <x:c r="K156" s="100" t="n">
        <x:v>0.06619574091277514</x:v>
      </x:c>
      <x:c r="L156" s="100" t="n">
        <x:v>0.04980425908722487</x:v>
      </x:c>
      <x:c r="M156" s="100" t="n">
        <x:v>29</x:v>
      </x:c>
      <x:c r="N156" s="100" t="n">
        <x:v>0.542550412669359</x:v>
      </x:c>
      <x:c r="O156" s="101" t="b">
        <x:v>0</x:v>
      </x:c>
      <x:c r="P156" t="str">
        <x:v>/Users/jvidale/Documents/Research/FaultScanR/output/20260722_181326_2487/CI_40353552</x:v>
      </x:c>
    </x:row>
    <x:row r="157">
      <x:c r="A157" t="str">
        <x:v>CI_40353552</x:v>
      </x:c>
      <x:c r="B157" s="99" t="str">
        <x:v>00203</x:v>
      </x:c>
      <x:c r="C157" t="str">
        <x:v>Z</x:v>
      </x:c>
      <x:c r="D157" t="str">
        <x:v>R</x:v>
      </x:c>
      <x:c r="E157" t="str">
        <x:v>time shift</x:v>
      </x:c>
      <x:c r="F157" t="str">
        <x:v>S</x:v>
      </x:c>
      <x:c r="G157" s="100" t="n">
        <x:v>3</x:v>
      </x:c>
      <x:c r="H157" s="100" t="n">
        <x:v>10</x:v>
      </x:c>
      <x:c r="I157" s="100" t="n">
        <x:v>250</x:v>
      </x:c>
      <x:c r="J157" s="100" t="n">
        <x:v>0.124</x:v>
      </x:c>
      <x:c r="K157" s="100" t="n">
        <x:v>0.07597179386647479</x:v>
      </x:c>
      <x:c r="L157" s="100" t="n">
        <x:v>0.04802820613352521</x:v>
      </x:c>
      <x:c r="M157" s="100" t="n">
        <x:v>31</x:v>
      </x:c>
      <x:c r="N157" s="100" t="n">
        <x:v>0.5880877164613749</x:v>
      </x:c>
      <x:c r="O157" s="101" t="b">
        <x:v>0</x:v>
      </x:c>
      <x:c r="P157" t="str">
        <x:v>/Users/jvidale/Documents/Research/FaultScanR/output/20260722_181326_2487/CI_40353552</x:v>
      </x:c>
    </x:row>
    <x:row r="158">
      <x:c r="A158" t="str">
        <x:v>CI_40353552</x:v>
      </x:c>
      <x:c r="B158" s="99" t="str">
        <x:v>00204</x:v>
      </x:c>
      <x:c r="C158" t="str">
        <x:v>Z</x:v>
      </x:c>
      <x:c r="D158" t="str">
        <x:v>R</x:v>
      </x:c>
      <x:c r="E158" t="str">
        <x:v>time shift</x:v>
      </x:c>
      <x:c r="F158" t="str">
        <x:v>S</x:v>
      </x:c>
      <x:c r="G158" s="100" t="n">
        <x:v>3</x:v>
      </x:c>
      <x:c r="H158" s="100" t="n">
        <x:v>10</x:v>
      </x:c>
      <x:c r="I158" s="100" t="n">
        <x:v>250</x:v>
      </x:c>
      <x:c r="J158" s="100" t="n">
        <x:v>0.064</x:v>
      </x:c>
      <x:c r="K158" s="100" t="n">
        <x:v>0.08559610271643514</x:v>
      </x:c>
      <x:c r="L158" s="100" t="n">
        <x:v>-0.02159610271643514</x:v>
      </x:c>
      <x:c r="M158" s="100" t="n">
        <x:v>16</x:v>
      </x:c>
      <x:c r="N158" s="100" t="n">
        <x:v>0.7458730732897397</x:v>
      </x:c>
      <x:c r="O158" s="101" t="b">
        <x:v>1</x:v>
      </x:c>
      <x:c r="P158" t="str">
        <x:v>/Users/jvidale/Documents/Research/FaultScanR/output/20260722_181326_2487/CI_40353552</x:v>
      </x:c>
    </x:row>
    <x:row r="159">
      <x:c r="A159" t="str">
        <x:v>CI_40353552</x:v>
      </x:c>
      <x:c r="B159" s="99" t="str">
        <x:v>00205</x:v>
      </x:c>
      <x:c r="C159" t="str">
        <x:v>Z</x:v>
      </x:c>
      <x:c r="D159" t="str">
        <x:v>R</x:v>
      </x:c>
      <x:c r="E159" t="str">
        <x:v>time shift</x:v>
      </x:c>
      <x:c r="F159" t="str">
        <x:v>S</x:v>
      </x:c>
      <x:c r="G159" s="100" t="n">
        <x:v>3</x:v>
      </x:c>
      <x:c r="H159" s="100" t="n">
        <x:v>10</x:v>
      </x:c>
      <x:c r="I159" s="100" t="n">
        <x:v>250</x:v>
      </x:c>
      <x:c r="J159" s="100" t="n">
        <x:v>0.068</x:v>
      </x:c>
      <x:c r="K159" s="100" t="n">
        <x:v>0.0935856608558101</x:v>
      </x:c>
      <x:c r="L159" s="100" t="n">
        <x:v>-0.0255856608558101</x:v>
      </x:c>
      <x:c r="M159" s="100" t="n">
        <x:v>17</x:v>
      </x:c>
      <x:c r="N159" s="100" t="n">
        <x:v>0.9214475178402715</x:v>
      </x:c>
      <x:c r="O159" s="101" t="b">
        <x:v>1</x:v>
      </x:c>
      <x:c r="P159" t="str">
        <x:v>/Users/jvidale/Documents/Research/FaultScanR/output/20260722_181326_2487/CI_40353552</x:v>
      </x:c>
    </x:row>
    <x:row r="160">
      <x:c r="A160" t="str">
        <x:v>CI_40353552</x:v>
      </x:c>
      <x:c r="B160" s="99" t="str">
        <x:v>00206</x:v>
      </x:c>
      <x:c r="C160" t="str">
        <x:v>Z</x:v>
      </x:c>
      <x:c r="D160" t="str">
        <x:v>R</x:v>
      </x:c>
      <x:c r="E160" t="str">
        <x:v>time shift</x:v>
      </x:c>
      <x:c r="F160" t="str">
        <x:v>S</x:v>
      </x:c>
      <x:c r="G160" s="100" t="n">
        <x:v>3</x:v>
      </x:c>
      <x:c r="H160" s="100" t="n">
        <x:v>10</x:v>
      </x:c>
      <x:c r="I160" s="100" t="n">
        <x:v>250</x:v>
      </x:c>
      <x:c r="J160" s="100" t="n">
        <x:v>-0.024</x:v>
      </x:c>
      <x:c r="K160" s="100" t="n">
        <x:v>-0.01329136420921895</x:v>
      </x:c>
      <x:c r="L160" s="100" t="n">
        <x:v>-0.01070863579078105</x:v>
      </x:c>
      <x:c r="M160" s="100" t="n">
        <x:v>-6</x:v>
      </x:c>
      <x:c r="N160" s="100" t="n">
        <x:v>0.8833589046578694</x:v>
      </x:c>
      <x:c r="O160" s="101" t="b">
        <x:v>1</x:v>
      </x:c>
      <x:c r="P160" t="str">
        <x:v>/Users/jvidale/Documents/Research/FaultScanR/output/20260722_181326_2487/CI_40353552</x:v>
      </x:c>
    </x:row>
    <x:row r="161">
      <x:c r="A161" t="str">
        <x:v>CI_40353552</x:v>
      </x:c>
      <x:c r="B161" s="99" t="str">
        <x:v>00207</x:v>
      </x:c>
      <x:c r="C161" t="str">
        <x:v>Z</x:v>
      </x:c>
      <x:c r="D161" t="str">
        <x:v>R</x:v>
      </x:c>
      <x:c r="E161" t="str">
        <x:v>time shift</x:v>
      </x:c>
      <x:c r="F161" t="str">
        <x:v>S</x:v>
      </x:c>
      <x:c r="G161" s="100" t="n">
        <x:v>3</x:v>
      </x:c>
      <x:c r="H161" s="100" t="n">
        <x:v>10</x:v>
      </x:c>
      <x:c r="I161" s="100" t="n">
        <x:v>250</x:v>
      </x:c>
      <x:c r="J161" s="100" t="n">
        <x:v>-0.008</x:v>
      </x:c>
      <x:c r="K161" s="100" t="n">
        <x:v>-0.001269539192363389</x:v>
      </x:c>
      <x:c r="L161" s="100" t="n">
        <x:v>-0.006730460807636611</x:v>
      </x:c>
      <x:c r="M161" s="100" t="n">
        <x:v>-2</x:v>
      </x:c>
      <x:c r="N161" s="100" t="n">
        <x:v>0.9104941306615064</x:v>
      </x:c>
      <x:c r="O161" s="101" t="b">
        <x:v>1</x:v>
      </x:c>
      <x:c r="P161" t="str">
        <x:v>/Users/jvidale/Documents/Research/FaultScanR/output/20260722_181326_2487/CI_40353552</x:v>
      </x:c>
    </x:row>
    <x:row r="162">
      <x:c r="A162" t="str">
        <x:v>CI_40353552</x:v>
      </x:c>
      <x:c r="B162" s="99" t="str">
        <x:v>00209</x:v>
      </x:c>
      <x:c r="C162" t="str">
        <x:v>Z</x:v>
      </x:c>
      <x:c r="D162" t="str">
        <x:v>R</x:v>
      </x:c>
      <x:c r="E162" t="str">
        <x:v>time shift</x:v>
      </x:c>
      <x:c r="F162" t="str">
        <x:v>S</x:v>
      </x:c>
      <x:c r="G162" s="100" t="n">
        <x:v>3</x:v>
      </x:c>
      <x:c r="H162" s="100" t="n">
        <x:v>10</x:v>
      </x:c>
      <x:c r="I162" s="100" t="n">
        <x:v>250</x:v>
      </x:c>
      <x:c r="J162" s="100" t="n">
        <x:v>0.008</x:v>
      </x:c>
      <x:c r="K162" s="100" t="n">
        <x:v>0.01396609725481657</x:v>
      </x:c>
      <x:c r="L162" s="100" t="n">
        <x:v>-0.005966097254816567</x:v>
      </x:c>
      <x:c r="M162" s="100" t="n">
        <x:v>2</x:v>
      </x:c>
      <x:c r="N162" s="100" t="n">
        <x:v>0.9090516462284577</x:v>
      </x:c>
      <x:c r="O162" s="101" t="b">
        <x:v>1</x:v>
      </x:c>
      <x:c r="P162" t="str">
        <x:v>/Users/jvidale/Documents/Research/FaultScanR/output/20260722_181326_2487/CI_40353552</x:v>
      </x:c>
    </x:row>
    <x:row r="163">
      <x:c r="A163" t="str">
        <x:v>CI_40353552</x:v>
      </x:c>
      <x:c r="B163" s="99" t="str">
        <x:v>00210</x:v>
      </x:c>
      <x:c r="C163" t="str">
        <x:v>Z</x:v>
      </x:c>
      <x:c r="D163" t="str">
        <x:v>R</x:v>
      </x:c>
      <x:c r="E163" t="str">
        <x:v>time shift</x:v>
      </x:c>
      <x:c r="F163" t="str">
        <x:v>S</x:v>
      </x:c>
      <x:c r="G163" s="100" t="n">
        <x:v>3</x:v>
      </x:c>
      <x:c r="H163" s="100" t="n">
        <x:v>10</x:v>
      </x:c>
      <x:c r="I163" s="100" t="n">
        <x:v>250</x:v>
      </x:c>
      <x:c r="J163" s="100" t="n">
        <x:v>0.012</x:v>
      </x:c>
      <x:c r="K163" s="100" t="n">
        <x:v>0.01743106341209</x:v>
      </x:c>
      <x:c r="L163" s="100" t="n">
        <x:v>-0.005431063412089997</x:v>
      </x:c>
      <x:c r="M163" s="100" t="n">
        <x:v>3</x:v>
      </x:c>
      <x:c r="N163" s="100" t="n">
        <x:v>0.9717549140874527</x:v>
      </x:c>
      <x:c r="O163" s="101" t="b">
        <x:v>1</x:v>
      </x:c>
      <x:c r="P163" t="str">
        <x:v>/Users/jvidale/Documents/Research/FaultScanR/output/20260722_181326_2487/CI_40353552</x:v>
      </x:c>
    </x:row>
    <x:row r="164">
      <x:c r="A164" t="str">
        <x:v>CI_40353552</x:v>
      </x:c>
      <x:c r="B164" s="99" t="str">
        <x:v>00211</x:v>
      </x:c>
      <x:c r="C164" t="str">
        <x:v>Z</x:v>
      </x:c>
      <x:c r="D164" t="str">
        <x:v>R</x:v>
      </x:c>
      <x:c r="E164" t="str">
        <x:v>time shift</x:v>
      </x:c>
      <x:c r="F164" t="str">
        <x:v>S</x:v>
      </x:c>
      <x:c r="G164" s="100" t="n">
        <x:v>3</x:v>
      </x:c>
      <x:c r="H164" s="100" t="n">
        <x:v>10</x:v>
      </x:c>
      <x:c r="I164" s="100" t="n">
        <x:v>250</x:v>
      </x:c>
      <x:c r="J164" s="100" t="n">
        <x:v>-0.02</x:v>
      </x:c>
      <x:c r="K164" s="100" t="n">
        <x:v>0.02677876510233457</x:v>
      </x:c>
      <x:c r="L164" s="100" t="n">
        <x:v>-0.04677876510233457</x:v>
      </x:c>
      <x:c r="M164" s="100" t="n">
        <x:v>-5</x:v>
      </x:c>
      <x:c r="N164" s="100" t="n">
        <x:v>0.9413968262606612</x:v>
      </x:c>
      <x:c r="O164" s="101" t="b">
        <x:v>1</x:v>
      </x:c>
      <x:c r="P164" t="str">
        <x:v>/Users/jvidale/Documents/Research/FaultScanR/output/20260722_181326_2487/CI_40353552</x:v>
      </x:c>
    </x:row>
    <x:row r="165">
      <x:c r="A165" t="str">
        <x:v>CI_40353552</x:v>
      </x:c>
      <x:c r="B165" s="99" t="str">
        <x:v>00212</x:v>
      </x:c>
      <x:c r="C165" t="str">
        <x:v>Z</x:v>
      </x:c>
      <x:c r="D165" t="str">
        <x:v>R</x:v>
      </x:c>
      <x:c r="E165" t="str">
        <x:v>time shift</x:v>
      </x:c>
      <x:c r="F165" t="str">
        <x:v>S</x:v>
      </x:c>
      <x:c r="G165" s="100" t="n">
        <x:v>3</x:v>
      </x:c>
      <x:c r="H165" s="100" t="n">
        <x:v>10</x:v>
      </x:c>
      <x:c r="I165" s="100" t="n">
        <x:v>250</x:v>
      </x:c>
      <x:c r="J165" s="100" t="n">
        <x:v>0.04</x:v>
      </x:c>
      <x:c r="K165" s="100" t="n">
        <x:v>0.03610956650593522</x:v>
      </x:c>
      <x:c r="L165" s="100" t="n">
        <x:v>0.003890433494064781</x:v>
      </x:c>
      <x:c r="M165" s="100" t="n">
        <x:v>10</x:v>
      </x:c>
      <x:c r="N165" s="100" t="n">
        <x:v>0.9937445758444088</x:v>
      </x:c>
      <x:c r="O165" s="101" t="b">
        <x:v>1</x:v>
      </x:c>
      <x:c r="P165" t="str">
        <x:v>/Users/jvidale/Documents/Research/FaultScanR/output/20260722_181326_2487/CI_40353552</x:v>
      </x:c>
    </x:row>
    <x:row r="166">
      <x:c r="A166" t="str">
        <x:v>CI_40353552</x:v>
      </x:c>
      <x:c r="B166" s="99" t="str">
        <x:v>00213</x:v>
      </x:c>
      <x:c r="C166" t="str">
        <x:v>Z</x:v>
      </x:c>
      <x:c r="D166" t="str">
        <x:v>R</x:v>
      </x:c>
      <x:c r="E166" t="str">
        <x:v>time shift</x:v>
      </x:c>
      <x:c r="F166" t="str">
        <x:v>S</x:v>
      </x:c>
      <x:c r="G166" s="100" t="n">
        <x:v>3</x:v>
      </x:c>
      <x:c r="H166" s="100" t="n">
        <x:v>10</x:v>
      </x:c>
      <x:c r="I166" s="100" t="n">
        <x:v>250</x:v>
      </x:c>
      <x:c r="J166" s="100" t="n">
        <x:v>0.048</x:v>
      </x:c>
      <x:c r="K166" s="100" t="n">
        <x:v>0.04324716813747909</x:v>
      </x:c>
      <x:c r="L166" s="100" t="n">
        <x:v>0.004752831862520915</x:v>
      </x:c>
      <x:c r="M166" s="100" t="n">
        <x:v>12</x:v>
      </x:c>
      <x:c r="N166" s="100" t="n">
        <x:v>0.9723730471629957</x:v>
      </x:c>
      <x:c r="O166" s="101" t="b">
        <x:v>1</x:v>
      </x:c>
      <x:c r="P166" t="str">
        <x:v>/Users/jvidale/Documents/Research/FaultScanR/output/20260722_181326_2487/CI_40353552</x:v>
      </x:c>
    </x:row>
    <x:row r="167">
      <x:c r="A167" t="str">
        <x:v>CI_40353552</x:v>
      </x:c>
      <x:c r="B167" s="99" t="str">
        <x:v>00214</x:v>
      </x:c>
      <x:c r="C167" t="str">
        <x:v>Z</x:v>
      </x:c>
      <x:c r="D167" t="str">
        <x:v>R</x:v>
      </x:c>
      <x:c r="E167" t="str">
        <x:v>time shift</x:v>
      </x:c>
      <x:c r="F167" t="str">
        <x:v>S</x:v>
      </x:c>
      <x:c r="G167" s="100" t="n">
        <x:v>3</x:v>
      </x:c>
      <x:c r="H167" s="100" t="n">
        <x:v>10</x:v>
      </x:c>
      <x:c r="I167" s="100" t="n">
        <x:v>250</x:v>
      </x:c>
      <x:c r="J167" s="100" t="n">
        <x:v>0.044</x:v>
      </x:c>
      <x:c r="K167" s="100" t="n">
        <x:v>0.06089956082169667</x:v>
      </x:c>
      <x:c r="L167" s="100" t="n">
        <x:v>-0.01689956082169668</x:v>
      </x:c>
      <x:c r="M167" s="100" t="n">
        <x:v>11</x:v>
      </x:c>
      <x:c r="N167" s="100" t="n">
        <x:v>0.880622472729533</x:v>
      </x:c>
      <x:c r="O167" s="101" t="b">
        <x:v>1</x:v>
      </x:c>
      <x:c r="P167" t="str">
        <x:v>/Users/jvidale/Documents/Research/FaultScanR/output/20260722_181326_2487/CI_40353552</x:v>
      </x:c>
    </x:row>
    <x:row r="168">
      <x:c r="A168" t="str">
        <x:v>CI_40353552</x:v>
      </x:c>
      <x:c r="B168" s="99" t="str">
        <x:v>00215</x:v>
      </x:c>
      <x:c r="C168" t="str">
        <x:v>Z</x:v>
      </x:c>
      <x:c r="D168" t="str">
        <x:v>R</x:v>
      </x:c>
      <x:c r="E168" t="str">
        <x:v>time shift</x:v>
      </x:c>
      <x:c r="F168" t="str">
        <x:v>S</x:v>
      </x:c>
      <x:c r="G168" s="100" t="n">
        <x:v>3</x:v>
      </x:c>
      <x:c r="H168" s="100" t="n">
        <x:v>10</x:v>
      </x:c>
      <x:c r="I168" s="100" t="n">
        <x:v>250</x:v>
      </x:c>
      <x:c r="J168" s="100" t="n">
        <x:v>0.104</x:v>
      </x:c>
      <x:c r="K168" s="100" t="n">
        <x:v>0.06174003841849451</x:v>
      </x:c>
      <x:c r="L168" s="100" t="n">
        <x:v>0.04225996158150548</x:v>
      </x:c>
      <x:c r="M168" s="100" t="n">
        <x:v>26</x:v>
      </x:c>
      <x:c r="N168" s="100" t="n">
        <x:v>0.6966173422033325</x:v>
      </x:c>
      <x:c r="O168" s="101" t="b">
        <x:v>1</x:v>
      </x:c>
      <x:c r="P168" t="str">
        <x:v>/Users/jvidale/Documents/Research/FaultScanR/output/20260722_181326_2487/CI_40353552</x:v>
      </x:c>
    </x:row>
    <x:row r="169">
      <x:c r="A169" t="str">
        <x:v>CI_40353552</x:v>
      </x:c>
      <x:c r="B169" s="99" t="str">
        <x:v>00216</x:v>
      </x:c>
      <x:c r="C169" t="str">
        <x:v>Z</x:v>
      </x:c>
      <x:c r="D169" t="str">
        <x:v>R</x:v>
      </x:c>
      <x:c r="E169" t="str">
        <x:v>time shift</x:v>
      </x:c>
      <x:c r="F169" t="str">
        <x:v>S</x:v>
      </x:c>
      <x:c r="G169" s="100" t="n">
        <x:v>3</x:v>
      </x:c>
      <x:c r="H169" s="100" t="n">
        <x:v>10</x:v>
      </x:c>
      <x:c r="I169" s="100" t="n">
        <x:v>250</x:v>
      </x:c>
      <x:c r="J169" s="100" t="n">
        <x:v>0.072</x:v>
      </x:c>
      <x:c r="K169" s="100" t="n">
        <x:v>0.07140874708434986</x:v>
      </x:c>
      <x:c r="L169" s="100" t="n">
        <x:v>0.0005912529156501395</x:v>
      </x:c>
      <x:c r="M169" s="100" t="n">
        <x:v>18</x:v>
      </x:c>
      <x:c r="N169" s="100" t="n">
        <x:v>0.6974971156086355</x:v>
      </x:c>
      <x:c r="O169" s="101" t="b">
        <x:v>1</x:v>
      </x:c>
      <x:c r="P169" t="str">
        <x:v>/Users/jvidale/Documents/Research/FaultScanR/output/20260722_181326_2487/CI_40353552</x:v>
      </x:c>
    </x:row>
    <x:row r="170">
      <x:c r="A170" t="str">
        <x:v>CI_40353552</x:v>
      </x:c>
      <x:c r="B170" s="99" t="str">
        <x:v>00217</x:v>
      </x:c>
      <x:c r="C170" t="str">
        <x:v>Z</x:v>
      </x:c>
      <x:c r="D170" t="str">
        <x:v>R</x:v>
      </x:c>
      <x:c r="E170" t="str">
        <x:v>time shift</x:v>
      </x:c>
      <x:c r="F170" t="str">
        <x:v>S</x:v>
      </x:c>
      <x:c r="G170" s="100" t="n">
        <x:v>3</x:v>
      </x:c>
      <x:c r="H170" s="100" t="n">
        <x:v>10</x:v>
      </x:c>
      <x:c r="I170" s="100" t="n">
        <x:v>250</x:v>
      </x:c>
      <x:c r="J170" s="100" t="n">
        <x:v>0.084</x:v>
      </x:c>
      <x:c r="K170" s="100" t="n">
        <x:v>0.08025765983667998</x:v>
      </x:c>
      <x:c r="L170" s="100" t="n">
        <x:v>0.003742340163320021</x:v>
      </x:c>
      <x:c r="M170" s="100" t="n">
        <x:v>21</x:v>
      </x:c>
      <x:c r="N170" s="100" t="n">
        <x:v>0.853631940363086</x:v>
      </x:c>
      <x:c r="O170" s="101" t="b">
        <x:v>1</x:v>
      </x:c>
      <x:c r="P170" t="str">
        <x:v>/Users/jvidale/Documents/Research/FaultScanR/output/20260722_181326_2487/CI_40353552</x:v>
      </x:c>
    </x:row>
    <x:row r="171">
      <x:c r="A171" t="str">
        <x:v>CI_40353552</x:v>
      </x:c>
      <x:c r="B171" s="99" t="str">
        <x:v>00218</x:v>
      </x:c>
      <x:c r="C171" t="str">
        <x:v>Z</x:v>
      </x:c>
      <x:c r="D171" t="str">
        <x:v>R</x:v>
      </x:c>
      <x:c r="E171" t="str">
        <x:v>time shift</x:v>
      </x:c>
      <x:c r="F171" t="str">
        <x:v>S</x:v>
      </x:c>
      <x:c r="G171" s="100" t="n">
        <x:v>3</x:v>
      </x:c>
      <x:c r="H171" s="100" t="n">
        <x:v>10</x:v>
      </x:c>
      <x:c r="I171" s="100" t="n">
        <x:v>250</x:v>
      </x:c>
      <x:c r="J171" s="100" t="n">
        <x:v>0.128</x:v>
      </x:c>
      <x:c r="K171" s="100" t="n">
        <x:v>0.09151745420377733</x:v>
      </x:c>
      <x:c r="L171" s="100" t="n">
        <x:v>0.03648254579622268</x:v>
      </x:c>
      <x:c r="M171" s="100" t="n">
        <x:v>32</x:v>
      </x:c>
      <x:c r="N171" s="100" t="n">
        <x:v>0.6869950073274178</x:v>
      </x:c>
      <x:c r="O171" s="101" t="b">
        <x:v>1</x:v>
      </x:c>
      <x:c r="P171" t="str">
        <x:v>/Users/jvidale/Documents/Research/FaultScanR/output/20260722_181326_2487/CI_40353552</x:v>
      </x:c>
    </x:row>
    <x:row r="172">
      <x:c r="A172" t="str">
        <x:v>CI_40353552</x:v>
      </x:c>
      <x:c r="B172" s="99" t="str">
        <x:v>00219</x:v>
      </x:c>
      <x:c r="C172" t="str">
        <x:v>Z</x:v>
      </x:c>
      <x:c r="D172" t="str">
        <x:v>R</x:v>
      </x:c>
      <x:c r="E172" t="str">
        <x:v>time shift</x:v>
      </x:c>
      <x:c r="F172" t="str">
        <x:v>S</x:v>
      </x:c>
      <x:c r="G172" s="100" t="n">
        <x:v>3</x:v>
      </x:c>
      <x:c r="H172" s="100" t="n">
        <x:v>10</x:v>
      </x:c>
      <x:c r="I172" s="100" t="n">
        <x:v>250</x:v>
      </x:c>
      <x:c r="J172" s="100" t="n">
        <x:v>0.148</x:v>
      </x:c>
      <x:c r="K172" s="100" t="n">
        <x:v>0.09897367554066516</x:v>
      </x:c>
      <x:c r="L172" s="100" t="n">
        <x:v>0.04902632445933483</x:v>
      </x:c>
      <x:c r="M172" s="100" t="n">
        <x:v>37</x:v>
      </x:c>
      <x:c r="N172" s="100" t="n">
        <x:v>0.5863596651774323</x:v>
      </x:c>
      <x:c r="O172" s="101" t="b">
        <x:v>0</x:v>
      </x:c>
      <x:c r="P172" t="str">
        <x:v>/Users/jvidale/Documents/Research/FaultScanR/output/20260722_181326_2487/CI_40353552</x:v>
      </x:c>
    </x:row>
    <x:row r="173">
      <x:c r="A173" t="str">
        <x:v>CI_40353552</x:v>
      </x:c>
      <x:c r="B173" s="99" t="str">
        <x:v>00220</x:v>
      </x:c>
      <x:c r="C173" t="str">
        <x:v>Z</x:v>
      </x:c>
      <x:c r="D173" t="str">
        <x:v>R</x:v>
      </x:c>
      <x:c r="E173" t="str">
        <x:v>time shift</x:v>
      </x:c>
      <x:c r="F173" t="str">
        <x:v>S</x:v>
      </x:c>
      <x:c r="G173" s="100" t="n">
        <x:v>3</x:v>
      </x:c>
      <x:c r="H173" s="100" t="n">
        <x:v>10</x:v>
      </x:c>
      <x:c r="I173" s="100" t="n">
        <x:v>250</x:v>
      </x:c>
      <x:c r="J173" s="100" t="n">
        <x:v>0.104</x:v>
      </x:c>
      <x:c r="K173" s="100" t="n">
        <x:v>0.108286234068192</x:v>
      </x:c>
      <x:c r="L173" s="100" t="n">
        <x:v>-0.004286234068192049</x:v>
      </x:c>
      <x:c r="M173" s="100" t="n">
        <x:v>26</x:v>
      </x:c>
      <x:c r="N173" s="100" t="n">
        <x:v>0.8875183973341142</x:v>
      </x:c>
      <x:c r="O173" s="101" t="b">
        <x:v>1</x:v>
      </x:c>
      <x:c r="P173" t="str">
        <x:v>/Users/jvidale/Documents/Research/FaultScanR/output/20260722_181326_2487/CI_40353552</x:v>
      </x:c>
    </x:row>
    <x:row r="174">
      <x:c r="A174" t="str">
        <x:v>CI_40353552</x:v>
      </x:c>
      <x:c r="B174" s="99" t="str">
        <x:v>00221</x:v>
      </x:c>
      <x:c r="C174" t="str">
        <x:v>Z</x:v>
      </x:c>
      <x:c r="D174" t="str">
        <x:v>R</x:v>
      </x:c>
      <x:c r="E174" t="str">
        <x:v>time shift</x:v>
      </x:c>
      <x:c r="F174" t="str">
        <x:v>S</x:v>
      </x:c>
      <x:c r="G174" s="100" t="n">
        <x:v>3</x:v>
      </x:c>
      <x:c r="H174" s="100" t="n">
        <x:v>10</x:v>
      </x:c>
      <x:c r="I174" s="100" t="n">
        <x:v>250</x:v>
      </x:c>
      <x:c r="J174" s="100" t="n">
        <x:v>0.164</x:v>
      </x:c>
      <x:c r="K174" s="100" t="n">
        <x:v>0.1176521568598261</x:v>
      </x:c>
      <x:c r="L174" s="100" t="n">
        <x:v>0.0463478431401739</x:v>
      </x:c>
      <x:c r="M174" s="100" t="n">
        <x:v>41</x:v>
      </x:c>
      <x:c r="N174" s="100" t="n">
        <x:v>0.578886629874978</x:v>
      </x:c>
      <x:c r="O174" s="101" t="b">
        <x:v>0</x:v>
      </x:c>
      <x:c r="P174" t="str">
        <x:v>/Users/jvidale/Documents/Research/FaultScanR/output/20260722_181326_2487/CI_40353552</x:v>
      </x:c>
    </x:row>
    <x:row r="175">
      <x:c r="A175" t="str">
        <x:v>CI_40353552</x:v>
      </x:c>
      <x:c r="B175" s="99" t="str">
        <x:v>00222</x:v>
      </x:c>
      <x:c r="C175" t="str">
        <x:v>Z</x:v>
      </x:c>
      <x:c r="D175" t="str">
        <x:v>R</x:v>
      </x:c>
      <x:c r="E175" t="str">
        <x:v>time shift</x:v>
      </x:c>
      <x:c r="F175" t="str">
        <x:v>S</x:v>
      </x:c>
      <x:c r="G175" s="100" t="n">
        <x:v>3</x:v>
      </x:c>
      <x:c r="H175" s="100" t="n">
        <x:v>10</x:v>
      </x:c>
      <x:c r="I175" s="100" t="n">
        <x:v>250</x:v>
      </x:c>
      <x:c r="J175" s="100" t="n">
        <x:v>0.004</x:v>
      </x:c>
      <x:c r="K175" s="100" t="n">
        <x:v>0.0115233746198049</x:v>
      </x:c>
      <x:c r="L175" s="100" t="n">
        <x:v>-0.007523374619804905</x:v>
      </x:c>
      <x:c r="M175" s="100" t="n">
        <x:v>1</x:v>
      </x:c>
      <x:c r="N175" s="100" t="n">
        <x:v>0.9495605564550206</x:v>
      </x:c>
      <x:c r="O175" s="101" t="b">
        <x:v>1</x:v>
      </x:c>
      <x:c r="P175" t="str">
        <x:v>/Users/jvidale/Documents/Research/FaultScanR/output/20260722_181326_2487/CI_40353552</x:v>
      </x:c>
    </x:row>
    <x:row r="176">
      <x:c r="A176" t="str">
        <x:v>CI_40353552</x:v>
      </x:c>
      <x:c r="B176" s="99" t="str">
        <x:v>00223</x:v>
      </x:c>
      <x:c r="C176" t="str">
        <x:v>Z</x:v>
      </x:c>
      <x:c r="D176" t="str">
        <x:v>R</x:v>
      </x:c>
      <x:c r="E176" t="str">
        <x:v>time shift</x:v>
      </x:c>
      <x:c r="F176" t="str">
        <x:v>S</x:v>
      </x:c>
      <x:c r="G176" s="100" t="n">
        <x:v>3</x:v>
      </x:c>
      <x:c r="H176" s="100" t="n">
        <x:v>10</x:v>
      </x:c>
      <x:c r="I176" s="100" t="n">
        <x:v>250</x:v>
      </x:c>
      <x:c r="J176" s="100" t="n">
        <x:v>0.008</x:v>
      </x:c>
      <x:c r="K176" s="100" t="n">
        <x:v>0.01794555350701099</x:v>
      </x:c>
      <x:c r="L176" s="100" t="n">
        <x:v>-0.009945553507010992</x:v>
      </x:c>
      <x:c r="M176" s="100" t="n">
        <x:v>2</x:v>
      </x:c>
      <x:c r="N176" s="100" t="n">
        <x:v>0.9540457491001252</x:v>
      </x:c>
      <x:c r="O176" s="101" t="b">
        <x:v>1</x:v>
      </x:c>
      <x:c r="P176" t="str">
        <x:v>/Users/jvidale/Documents/Research/FaultScanR/output/20260722_181326_2487/CI_40353552</x:v>
      </x:c>
    </x:row>
    <x:row r="177">
      <x:c r="A177" t="str">
        <x:v>CI_40353552</x:v>
      </x:c>
      <x:c r="B177" s="99" t="str">
        <x:v>00225</x:v>
      </x:c>
      <x:c r="C177" t="str">
        <x:v>Z</x:v>
      </x:c>
      <x:c r="D177" t="str">
        <x:v>R</x:v>
      </x:c>
      <x:c r="E177" t="str">
        <x:v>time shift</x:v>
      </x:c>
      <x:c r="F177" t="str">
        <x:v>S</x:v>
      </x:c>
      <x:c r="G177" s="100" t="n">
        <x:v>3</x:v>
      </x:c>
      <x:c r="H177" s="100" t="n">
        <x:v>10</x:v>
      </x:c>
      <x:c r="I177" s="100" t="n">
        <x:v>250</x:v>
      </x:c>
      <x:c r="J177" s="100" t="n">
        <x:v>-0.012</x:v>
      </x:c>
      <x:c r="K177" s="100" t="n">
        <x:v>0.03588179855884022</x:v>
      </x:c>
      <x:c r="L177" s="100" t="n">
        <x:v>-0.04788179855884021</x:v>
      </x:c>
      <x:c r="M177" s="100" t="n">
        <x:v>-3</x:v>
      </x:c>
      <x:c r="N177" s="100" t="n">
        <x:v>0.9204875971696622</x:v>
      </x:c>
      <x:c r="O177" s="101" t="b">
        <x:v>1</x:v>
      </x:c>
      <x:c r="P177" t="str">
        <x:v>/Users/jvidale/Documents/Research/FaultScanR/output/20260722_181326_2487/CI_40353552</x:v>
      </x:c>
    </x:row>
    <x:row r="178">
      <x:c r="A178" t="str">
        <x:v>CI_40353552</x:v>
      </x:c>
      <x:c r="B178" s="99" t="str">
        <x:v>00226</x:v>
      </x:c>
      <x:c r="C178" t="str">
        <x:v>Z</x:v>
      </x:c>
      <x:c r="D178" t="str">
        <x:v>R</x:v>
      </x:c>
      <x:c r="E178" t="str">
        <x:v>time shift</x:v>
      </x:c>
      <x:c r="F178" t="str">
        <x:v>S</x:v>
      </x:c>
      <x:c r="G178" s="100" t="n">
        <x:v>3</x:v>
      </x:c>
      <x:c r="H178" s="100" t="n">
        <x:v>10</x:v>
      </x:c>
      <x:c r="I178" s="100" t="n">
        <x:v>250</x:v>
      </x:c>
      <x:c r="J178" s="100" t="n">
        <x:v>0.032</x:v>
      </x:c>
      <x:c r="K178" s="100" t="n">
        <x:v>0.04306172634772665</x:v>
      </x:c>
      <x:c r="L178" s="100" t="n">
        <x:v>-0.01106172634772665</x:v>
      </x:c>
      <x:c r="M178" s="100" t="n">
        <x:v>8</x:v>
      </x:c>
      <x:c r="N178" s="100" t="n">
        <x:v>0.8917264550321603</x:v>
      </x:c>
      <x:c r="O178" s="101" t="b">
        <x:v>1</x:v>
      </x:c>
      <x:c r="P178" t="str">
        <x:v>/Users/jvidale/Documents/Research/FaultScanR/output/20260722_181326_2487/CI_40353552</x:v>
      </x:c>
    </x:row>
    <x:row r="179">
      <x:c r="A179" t="str">
        <x:v>CI_40353552</x:v>
      </x:c>
      <x:c r="B179" s="99" t="str">
        <x:v>00227</x:v>
      </x:c>
      <x:c r="C179" t="str">
        <x:v>Z</x:v>
      </x:c>
      <x:c r="D179" t="str">
        <x:v>R</x:v>
      </x:c>
      <x:c r="E179" t="str">
        <x:v>time shift</x:v>
      </x:c>
      <x:c r="F179" t="str">
        <x:v>S</x:v>
      </x:c>
      <x:c r="G179" s="100" t="n">
        <x:v>3</x:v>
      </x:c>
      <x:c r="H179" s="100" t="n">
        <x:v>10</x:v>
      </x:c>
      <x:c r="I179" s="100" t="n">
        <x:v>250</x:v>
      </x:c>
      <x:c r="J179" s="100" t="n">
        <x:v>0.052</x:v>
      </x:c>
      <x:c r="K179" s="100" t="n">
        <x:v>0.05074968759610599</x:v>
      </x:c>
      <x:c r="L179" s="100" t="n">
        <x:v>0.001250312403894012</x:v>
      </x:c>
      <x:c r="M179" s="100" t="n">
        <x:v>13</x:v>
      </x:c>
      <x:c r="N179" s="100" t="n">
        <x:v>0.9851266444101602</x:v>
      </x:c>
      <x:c r="O179" s="101" t="b">
        <x:v>1</x:v>
      </x:c>
      <x:c r="P179" t="str">
        <x:v>/Users/jvidale/Documents/Research/FaultScanR/output/20260722_181326_2487/CI_40353552</x:v>
      </x:c>
    </x:row>
    <x:row r="180">
      <x:c r="A180" t="str">
        <x:v>CI_40353552</x:v>
      </x:c>
      <x:c r="B180" s="99" t="str">
        <x:v>00228</x:v>
      </x:c>
      <x:c r="C180" t="str">
        <x:v>Z</x:v>
      </x:c>
      <x:c r="D180" t="str">
        <x:v>R</x:v>
      </x:c>
      <x:c r="E180" t="str">
        <x:v>time shift</x:v>
      </x:c>
      <x:c r="F180" t="str">
        <x:v>S</x:v>
      </x:c>
      <x:c r="G180" s="100" t="n">
        <x:v>3</x:v>
      </x:c>
      <x:c r="H180" s="100" t="n">
        <x:v>10</x:v>
      </x:c>
      <x:c r="I180" s="100" t="n">
        <x:v>250</x:v>
      </x:c>
      <x:c r="J180" s="100" t="n">
        <x:v>0.06</x:v>
      </x:c>
      <x:c r="K180" s="100" t="n">
        <x:v>0.06077091035650461</x:v>
      </x:c>
      <x:c r="L180" s="100" t="n">
        <x:v>-0.0007709103565046171</x:v>
      </x:c>
      <x:c r="M180" s="100" t="n">
        <x:v>15</x:v>
      </x:c>
      <x:c r="N180" s="100" t="n">
        <x:v>0.9867938491761374</x:v>
      </x:c>
      <x:c r="O180" s="101" t="b">
        <x:v>1</x:v>
      </x:c>
      <x:c r="P180" t="str">
        <x:v>/Users/jvidale/Documents/Research/FaultScanR/output/20260722_181326_2487/CI_40353552</x:v>
      </x:c>
    </x:row>
    <x:row r="181">
      <x:c r="A181" t="str">
        <x:v>CI_40353552</x:v>
      </x:c>
      <x:c r="B181" s="99" t="str">
        <x:v>00229</x:v>
      </x:c>
      <x:c r="C181" t="str">
        <x:v>Z</x:v>
      </x:c>
      <x:c r="D181" t="str">
        <x:v>R</x:v>
      </x:c>
      <x:c r="E181" t="str">
        <x:v>time shift</x:v>
      </x:c>
      <x:c r="F181" t="str">
        <x:v>S</x:v>
      </x:c>
      <x:c r="G181" s="100" t="n">
        <x:v>3</x:v>
      </x:c>
      <x:c r="H181" s="100" t="n">
        <x:v>10</x:v>
      </x:c>
      <x:c r="I181" s="100" t="n">
        <x:v>250</x:v>
      </x:c>
      <x:c r="J181" s="100" t="n">
        <x:v>0.064</x:v>
      </x:c>
      <x:c r="K181" s="100" t="n">
        <x:v>0.06804532163643451</x:v>
      </x:c>
      <x:c r="L181" s="100" t="n">
        <x:v>-0.004045321636434507</x:v>
      </x:c>
      <x:c r="M181" s="100" t="n">
        <x:v>16</x:v>
      </x:c>
      <x:c r="N181" s="100" t="n">
        <x:v>0.977881771745319</x:v>
      </x:c>
      <x:c r="O181" s="101" t="b">
        <x:v>1</x:v>
      </x:c>
      <x:c r="P181" t="str">
        <x:v>/Users/jvidale/Documents/Research/FaultScanR/output/20260722_181326_2487/CI_40353552</x:v>
      </x:c>
    </x:row>
    <x:row r="182">
      <x:c r="A182" t="str">
        <x:v>CI_40353552</x:v>
      </x:c>
      <x:c r="B182" s="99" t="str">
        <x:v>00230</x:v>
      </x:c>
      <x:c r="C182" t="str">
        <x:v>Z</x:v>
      </x:c>
      <x:c r="D182" t="str">
        <x:v>R</x:v>
      </x:c>
      <x:c r="E182" t="str">
        <x:v>time shift</x:v>
      </x:c>
      <x:c r="F182" t="str">
        <x:v>S</x:v>
      </x:c>
      <x:c r="G182" s="100" t="n">
        <x:v>3</x:v>
      </x:c>
      <x:c r="H182" s="100" t="n">
        <x:v>10</x:v>
      </x:c>
      <x:c r="I182" s="100" t="n">
        <x:v>250</x:v>
      </x:c>
      <x:c r="J182" s="100" t="n">
        <x:v>0.068</x:v>
      </x:c>
      <x:c r="K182" s="100" t="n">
        <x:v>0.07749545979079553</x:v>
      </x:c>
      <x:c r="L182" s="100" t="n">
        <x:v>-0.009495459790795524</x:v>
      </x:c>
      <x:c r="M182" s="100" t="n">
        <x:v>17</x:v>
      </x:c>
      <x:c r="N182" s="100" t="n">
        <x:v>0.9763275156804189</x:v>
      </x:c>
      <x:c r="O182" s="101" t="b">
        <x:v>1</x:v>
      </x:c>
      <x:c r="P182" t="str">
        <x:v>/Users/jvidale/Documents/Research/FaultScanR/output/20260722_181326_2487/CI_40353552</x:v>
      </x:c>
    </x:row>
    <x:row r="183">
      <x:c r="A183" t="str">
        <x:v>CI_40353552</x:v>
      </x:c>
      <x:c r="B183" s="99" t="str">
        <x:v>00231</x:v>
      </x:c>
      <x:c r="C183" t="str">
        <x:v>Z</x:v>
      </x:c>
      <x:c r="D183" t="str">
        <x:v>R</x:v>
      </x:c>
      <x:c r="E183" t="str">
        <x:v>time shift</x:v>
      </x:c>
      <x:c r="F183" t="str">
        <x:v>S</x:v>
      </x:c>
      <x:c r="G183" s="100" t="n">
        <x:v>3</x:v>
      </x:c>
      <x:c r="H183" s="100" t="n">
        <x:v>10</x:v>
      </x:c>
      <x:c r="I183" s="100" t="n">
        <x:v>250</x:v>
      </x:c>
      <x:c r="J183" s="100" t="n">
        <x:v>0.084</x:v>
      </x:c>
      <x:c r="K183" s="100" t="n">
        <x:v>0.0857717624622909</x:v>
      </x:c>
      <x:c r="L183" s="100" t="n">
        <x:v>-0.001771762462290896</x:v>
      </x:c>
      <x:c r="M183" s="100" t="n">
        <x:v>21</x:v>
      </x:c>
      <x:c r="N183" s="100" t="n">
        <x:v>0.8890769079690857</x:v>
      </x:c>
      <x:c r="O183" s="101" t="b">
        <x:v>1</x:v>
      </x:c>
      <x:c r="P183" t="str">
        <x:v>/Users/jvidale/Documents/Research/FaultScanR/output/20260722_181326_2487/CI_40353552</x:v>
      </x:c>
    </x:row>
    <x:row r="184">
      <x:c r="A184" t="str">
        <x:v>CI_40353552</x:v>
      </x:c>
      <x:c r="B184" s="99" t="str">
        <x:v>00232</x:v>
      </x:c>
      <x:c r="C184" t="str">
        <x:v>Z</x:v>
      </x:c>
      <x:c r="D184" t="str">
        <x:v>R</x:v>
      </x:c>
      <x:c r="E184" t="str">
        <x:v>time shift</x:v>
      </x:c>
      <x:c r="F184" t="str">
        <x:v>S</x:v>
      </x:c>
      <x:c r="G184" s="100" t="n">
        <x:v>3</x:v>
      </x:c>
      <x:c r="H184" s="100" t="n">
        <x:v>10</x:v>
      </x:c>
      <x:c r="I184" s="100" t="n">
        <x:v>250</x:v>
      </x:c>
      <x:c r="J184" s="100" t="n">
        <x:v>0.104</x:v>
      </x:c>
      <x:c r="K184" s="100" t="n">
        <x:v>0.08864247383109713</x:v>
      </x:c>
      <x:c r="L184" s="100" t="n">
        <x:v>0.01535752616890286</x:v>
      </x:c>
      <x:c r="M184" s="100" t="n">
        <x:v>26</x:v>
      </x:c>
      <x:c r="N184" s="100" t="n">
        <x:v>0.7659400872305502</x:v>
      </x:c>
      <x:c r="O184" s="101" t="b">
        <x:v>1</x:v>
      </x:c>
      <x:c r="P184" t="str">
        <x:v>/Users/jvidale/Documents/Research/FaultScanR/output/20260722_181326_2487/CI_40353552</x:v>
      </x:c>
    </x:row>
    <x:row r="185">
      <x:c r="A185" t="str">
        <x:v>CI_40353552</x:v>
      </x:c>
      <x:c r="B185" s="99" t="str">
        <x:v>00233</x:v>
      </x:c>
      <x:c r="C185" t="str">
        <x:v>Z</x:v>
      </x:c>
      <x:c r="D185" t="str">
        <x:v>R</x:v>
      </x:c>
      <x:c r="E185" t="str">
        <x:v>time shift</x:v>
      </x:c>
      <x:c r="F185" t="str">
        <x:v>S</x:v>
      </x:c>
      <x:c r="G185" s="100" t="n">
        <x:v>3</x:v>
      </x:c>
      <x:c r="H185" s="100" t="n">
        <x:v>10</x:v>
      </x:c>
      <x:c r="I185" s="100" t="n">
        <x:v>250</x:v>
      </x:c>
      <x:c r="J185" s="100" t="n">
        <x:v>0.056</x:v>
      </x:c>
      <x:c r="K185" s="100" t="n">
        <x:v>0.1021683995644223</x:v>
      </x:c>
      <x:c r="L185" s="100" t="n">
        <x:v>-0.04616839956442225</x:v>
      </x:c>
      <x:c r="M185" s="100" t="n">
        <x:v>14</x:v>
      </x:c>
      <x:c r="N185" s="100" t="n">
        <x:v>0.2449079399681994</x:v>
      </x:c>
      <x:c r="O185" s="101" t="b">
        <x:v>0</x:v>
      </x:c>
      <x:c r="P185" t="str">
        <x:v>/Users/jvidale/Documents/Research/FaultScanR/output/20260722_181326_2487/CI_40353552</x:v>
      </x:c>
    </x:row>
    <x:row r="186">
      <x:c r="A186" t="str">
        <x:v>CI_40353552</x:v>
      </x:c>
      <x:c r="B186" s="99" t="str">
        <x:v>00234</x:v>
      </x:c>
      <x:c r="C186" t="str">
        <x:v>Z</x:v>
      </x:c>
      <x:c r="D186" t="str">
        <x:v>R</x:v>
      </x:c>
      <x:c r="E186" t="str">
        <x:v>time shift</x:v>
      </x:c>
      <x:c r="F186" t="str">
        <x:v>S</x:v>
      </x:c>
      <x:c r="G186" s="100" t="n">
        <x:v>3</x:v>
      </x:c>
      <x:c r="H186" s="100" t="n">
        <x:v>10</x:v>
      </x:c>
      <x:c r="I186" s="100" t="n">
        <x:v>250</x:v>
      </x:c>
      <x:c r="J186" s="100" t="n">
        <x:v>0.16</x:v>
      </x:c>
      <x:c r="K186" s="100" t="n">
        <x:v>0.1108153498420315</x:v>
      </x:c>
      <x:c r="L186" s="100" t="n">
        <x:v>0.04918465015796855</x:v>
      </x:c>
      <x:c r="M186" s="100" t="n">
        <x:v>40</x:v>
      </x:c>
      <x:c r="N186" s="100" t="n">
        <x:v>0.7247208218474772</x:v>
      </x:c>
      <x:c r="O186" s="101" t="b">
        <x:v>1</x:v>
      </x:c>
      <x:c r="P186" t="str">
        <x:v>/Users/jvidale/Documents/Research/FaultScanR/output/20260722_181326_2487/CI_40353552</x:v>
      </x:c>
    </x:row>
    <x:row r="187">
      <x:c r="A187" t="str">
        <x:v>CI_40353552</x:v>
      </x:c>
      <x:c r="B187" s="99" t="str">
        <x:v>00235</x:v>
      </x:c>
      <x:c r="C187" t="str">
        <x:v>Z</x:v>
      </x:c>
      <x:c r="D187" t="str">
        <x:v>R</x:v>
      </x:c>
      <x:c r="E187" t="str">
        <x:v>time shift</x:v>
      </x:c>
      <x:c r="F187" t="str">
        <x:v>S</x:v>
      </x:c>
      <x:c r="G187" s="100" t="n">
        <x:v>3</x:v>
      </x:c>
      <x:c r="H187" s="100" t="n">
        <x:v>10</x:v>
      </x:c>
      <x:c r="I187" s="100" t="n">
        <x:v>250</x:v>
      </x:c>
      <x:c r="J187" s="100" t="n">
        <x:v>0.16</x:v>
      </x:c>
      <x:c r="K187" s="100" t="n">
        <x:v>0.1208174277591025</x:v>
      </x:c>
      <x:c r="L187" s="100" t="n">
        <x:v>0.03918257224089747</x:v>
      </x:c>
      <x:c r="M187" s="100" t="n">
        <x:v>40</x:v>
      </x:c>
      <x:c r="N187" s="100" t="n">
        <x:v>0.6558113693217007</x:v>
      </x:c>
      <x:c r="O187" s="101" t="b">
        <x:v>1</x:v>
      </x:c>
      <x:c r="P187" t="str">
        <x:v>/Users/jvidale/Documents/Research/FaultScanR/output/20260722_181326_2487/CI_40353552</x:v>
      </x:c>
    </x:row>
    <x:row r="188">
      <x:c r="A188" t="str">
        <x:v>CI_40353552</x:v>
      </x:c>
      <x:c r="B188" s="99" t="str">
        <x:v>00236</x:v>
      </x:c>
      <x:c r="C188" t="str">
        <x:v>Z</x:v>
      </x:c>
      <x:c r="D188" t="str">
        <x:v>R</x:v>
      </x:c>
      <x:c r="E188" t="str">
        <x:v>time shift</x:v>
      </x:c>
      <x:c r="F188" t="str">
        <x:v>S</x:v>
      </x:c>
      <x:c r="G188" s="100" t="n">
        <x:v>3</x:v>
      </x:c>
      <x:c r="H188" s="100" t="n">
        <x:v>10</x:v>
      </x:c>
      <x:c r="I188" s="100" t="n">
        <x:v>250</x:v>
      </x:c>
      <x:c r="J188" s="100" t="n">
        <x:v>0.112</x:v>
      </x:c>
      <x:c r="K188" s="100" t="n">
        <x:v>0.1296973070737932</x:v>
      </x:c>
      <x:c r="L188" s="100" t="n">
        <x:v>-0.01769730707379323</x:v>
      </x:c>
      <x:c r="M188" s="100" t="n">
        <x:v>28</x:v>
      </x:c>
      <x:c r="N188" s="100" t="n">
        <x:v>0.9114642307202816</x:v>
      </x:c>
      <x:c r="O188" s="101" t="b">
        <x:v>1</x:v>
      </x:c>
      <x:c r="P188" t="str">
        <x:v>/Users/jvidale/Documents/Research/FaultScanR/output/20260722_181326_2487/CI_40353552</x:v>
      </x:c>
    </x:row>
    <x:row r="189">
      <x:c r="A189" t="str">
        <x:v>CI_40353552</x:v>
      </x:c>
      <x:c r="B189" s="99" t="str">
        <x:v>00237</x:v>
      </x:c>
      <x:c r="C189" t="str">
        <x:v>Z</x:v>
      </x:c>
      <x:c r="D189" t="str">
        <x:v>R</x:v>
      </x:c>
      <x:c r="E189" t="str">
        <x:v>time shift</x:v>
      </x:c>
      <x:c r="F189" t="str">
        <x:v>S</x:v>
      </x:c>
      <x:c r="G189" s="100" t="n">
        <x:v>3</x:v>
      </x:c>
      <x:c r="H189" s="100" t="n">
        <x:v>10</x:v>
      </x:c>
      <x:c r="I189" s="100" t="n">
        <x:v>250</x:v>
      </x:c>
      <x:c r="J189" s="100" t="n">
        <x:v>0.188</x:v>
      </x:c>
      <x:c r="K189" s="100" t="n">
        <x:v>0.1422015649685218</x:v>
      </x:c>
      <x:c r="L189" s="100" t="n">
        <x:v>0.04579843503147824</x:v>
      </x:c>
      <x:c r="M189" s="100" t="n">
        <x:v>47</x:v>
      </x:c>
      <x:c r="N189" s="100" t="n">
        <x:v>0.8550357177267949</x:v>
      </x:c>
      <x:c r="O189" s="101" t="b">
        <x:v>1</x:v>
      </x:c>
      <x:c r="P189" t="str">
        <x:v>/Users/jvidale/Documents/Research/FaultScanR/output/20260722_181326_2487/CI_40353552</x:v>
      </x:c>
    </x:row>
    <x:row r="190">
      <x:c r="A190" t="str">
        <x:v>CI_40353552</x:v>
      </x:c>
      <x:c r="B190" s="99" t="str">
        <x:v>00238</x:v>
      </x:c>
      <x:c r="C190" t="str">
        <x:v>Z</x:v>
      </x:c>
      <x:c r="D190" t="str">
        <x:v>R</x:v>
      </x:c>
      <x:c r="E190" t="str">
        <x:v>time shift</x:v>
      </x:c>
      <x:c r="F190" t="str">
        <x:v>S</x:v>
      </x:c>
      <x:c r="G190" s="100" t="n">
        <x:v>3</x:v>
      </x:c>
      <x:c r="H190" s="100" t="n">
        <x:v>10</x:v>
      </x:c>
      <x:c r="I190" s="100" t="n">
        <x:v>250</x:v>
      </x:c>
      <x:c r="J190" s="100" t="n">
        <x:v>0.02</x:v>
      </x:c>
      <x:c r="K190" s="100" t="n">
        <x:v>0.03193423266757112</x:v>
      </x:c>
      <x:c r="L190" s="100" t="n">
        <x:v>-0.01193423266757112</x:v>
      </x:c>
      <x:c r="M190" s="100" t="n">
        <x:v>5</x:v>
      </x:c>
      <x:c r="N190" s="100" t="n">
        <x:v>0.9677748001900033</x:v>
      </x:c>
      <x:c r="O190" s="101" t="b">
        <x:v>1</x:v>
      </x:c>
      <x:c r="P190" t="str">
        <x:v>/Users/jvidale/Documents/Research/FaultScanR/output/20260722_181326_2487/CI_40353552</x:v>
      </x:c>
    </x:row>
    <x:row r="191">
      <x:c r="A191" t="str">
        <x:v>CI_40353552</x:v>
      </x:c>
      <x:c r="B191" s="99" t="str">
        <x:v>00239</x:v>
      </x:c>
      <x:c r="C191" t="str">
        <x:v>Z</x:v>
      </x:c>
      <x:c r="D191" t="str">
        <x:v>R</x:v>
      </x:c>
      <x:c r="E191" t="str">
        <x:v>time shift</x:v>
      </x:c>
      <x:c r="F191" t="str">
        <x:v>S</x:v>
      </x:c>
      <x:c r="G191" s="100" t="n">
        <x:v>3</x:v>
      </x:c>
      <x:c r="H191" s="100" t="n">
        <x:v>10</x:v>
      </x:c>
      <x:c r="I191" s="100" t="n">
        <x:v>250</x:v>
      </x:c>
      <x:c r="J191" s="100" t="n">
        <x:v>0.032</x:v>
      </x:c>
      <x:c r="K191" s="100" t="n">
        <x:v>0.04409318334953127</x:v>
      </x:c>
      <x:c r="L191" s="100" t="n">
        <x:v>-0.01209318334953127</x:v>
      </x:c>
      <x:c r="M191" s="100" t="n">
        <x:v>8</x:v>
      </x:c>
      <x:c r="N191" s="100" t="n">
        <x:v>0.9722876287109488</x:v>
      </x:c>
      <x:c r="O191" s="101" t="b">
        <x:v>1</x:v>
      </x:c>
      <x:c r="P191" t="str">
        <x:v>/Users/jvidale/Documents/Research/FaultScanR/output/20260722_181326_2487/CI_40353552</x:v>
      </x:c>
    </x:row>
    <x:row r="192">
      <x:c r="A192" t="str">
        <x:v>CI_40353552</x:v>
      </x:c>
      <x:c r="B192" s="99" t="str">
        <x:v>00240</x:v>
      </x:c>
      <x:c r="C192" t="str">
        <x:v>Z</x:v>
      </x:c>
      <x:c r="D192" t="str">
        <x:v>R</x:v>
      </x:c>
      <x:c r="E192" t="str">
        <x:v>time shift</x:v>
      </x:c>
      <x:c r="F192" t="str">
        <x:v>S</x:v>
      </x:c>
      <x:c r="G192" s="100" t="n">
        <x:v>3</x:v>
      </x:c>
      <x:c r="H192" s="100" t="n">
        <x:v>10</x:v>
      </x:c>
      <x:c r="I192" s="100" t="n">
        <x:v>250</x:v>
      </x:c>
      <x:c r="J192" s="100" t="n">
        <x:v>0.04</x:v>
      </x:c>
      <x:c r="K192" s="100" t="n">
        <x:v>0.05075139647865168</x:v>
      </x:c>
      <x:c r="L192" s="100" t="n">
        <x:v>-0.01075139647865168</x:v>
      </x:c>
      <x:c r="M192" s="100" t="n">
        <x:v>10</x:v>
      </x:c>
      <x:c r="N192" s="100" t="n">
        <x:v>0.9802117219125438</x:v>
      </x:c>
      <x:c r="O192" s="101" t="b">
        <x:v>1</x:v>
      </x:c>
      <x:c r="P192" t="str">
        <x:v>/Users/jvidale/Documents/Research/FaultScanR/output/20260722_181326_2487/CI_40353552</x:v>
      </x:c>
    </x:row>
    <x:row r="193">
      <x:c r="A193" t="str">
        <x:v>CI_40353552</x:v>
      </x:c>
      <x:c r="B193" s="99" t="str">
        <x:v>00241</x:v>
      </x:c>
      <x:c r="C193" t="str">
        <x:v>Z</x:v>
      </x:c>
      <x:c r="D193" t="str">
        <x:v>R</x:v>
      </x:c>
      <x:c r="E193" t="str">
        <x:v>time shift</x:v>
      </x:c>
      <x:c r="F193" t="str">
        <x:v>S</x:v>
      </x:c>
      <x:c r="G193" s="100" t="n">
        <x:v>3</x:v>
      </x:c>
      <x:c r="H193" s="100" t="n">
        <x:v>10</x:v>
      </x:c>
      <x:c r="I193" s="100" t="n">
        <x:v>250</x:v>
      </x:c>
      <x:c r="J193" s="100" t="n">
        <x:v>0.04</x:v>
      </x:c>
      <x:c r="K193" s="100" t="n">
        <x:v>0.05301540193796761</x:v>
      </x:c>
      <x:c r="L193" s="100" t="n">
        <x:v>-0.01301540193796761</x:v>
      </x:c>
      <x:c r="M193" s="100" t="n">
        <x:v>10</x:v>
      </x:c>
      <x:c r="N193" s="100" t="n">
        <x:v>0.9690838482946338</x:v>
      </x:c>
      <x:c r="O193" s="101" t="b">
        <x:v>1</x:v>
      </x:c>
      <x:c r="P193" t="str">
        <x:v>/Users/jvidale/Documents/Research/FaultScanR/output/20260722_181326_2487/CI_40353552</x:v>
      </x:c>
    </x:row>
    <x:row r="194">
      <x:c r="A194" t="str">
        <x:v>CI_40353552</x:v>
      </x:c>
      <x:c r="B194" s="99" t="str">
        <x:v>00242</x:v>
      </x:c>
      <x:c r="C194" t="str">
        <x:v>Z</x:v>
      </x:c>
      <x:c r="D194" t="str">
        <x:v>R</x:v>
      </x:c>
      <x:c r="E194" t="str">
        <x:v>time shift</x:v>
      </x:c>
      <x:c r="F194" t="str">
        <x:v>S</x:v>
      </x:c>
      <x:c r="G194" s="100" t="n">
        <x:v>3</x:v>
      </x:c>
      <x:c r="H194" s="100" t="n">
        <x:v>10</x:v>
      </x:c>
      <x:c r="I194" s="100" t="n">
        <x:v>250</x:v>
      </x:c>
      <x:c r="J194" s="100" t="n">
        <x:v>0.068</x:v>
      </x:c>
      <x:c r="K194" s="100" t="n">
        <x:v>0.06402100877776729</x:v>
      </x:c>
      <x:c r="L194" s="100" t="n">
        <x:v>0.00397899122223272</x:v>
      </x:c>
      <x:c r="M194" s="100" t="n">
        <x:v>17</x:v>
      </x:c>
      <x:c r="N194" s="100" t="n">
        <x:v>0.8161495890876667</x:v>
      </x:c>
      <x:c r="O194" s="101" t="b">
        <x:v>1</x:v>
      </x:c>
      <x:c r="P194" t="str">
        <x:v>/Users/jvidale/Documents/Research/FaultScanR/output/20260722_181326_2487/CI_40353552</x:v>
      </x:c>
    </x:row>
    <x:row r="195">
      <x:c r="A195" t="str">
        <x:v>CI_40353552</x:v>
      </x:c>
      <x:c r="B195" s="99" t="str">
        <x:v>00243</x:v>
      </x:c>
      <x:c r="C195" t="str">
        <x:v>Z</x:v>
      </x:c>
      <x:c r="D195" t="str">
        <x:v>R</x:v>
      </x:c>
      <x:c r="E195" t="str">
        <x:v>time shift</x:v>
      </x:c>
      <x:c r="F195" t="str">
        <x:v>S</x:v>
      </x:c>
      <x:c r="G195" s="100" t="n">
        <x:v>3</x:v>
      </x:c>
      <x:c r="H195" s="100" t="n">
        <x:v>10</x:v>
      </x:c>
      <x:c r="I195" s="100" t="n">
        <x:v>250</x:v>
      </x:c>
      <x:c r="J195" s="100" t="n">
        <x:v>0.064</x:v>
      </x:c>
      <x:c r="K195" s="100" t="n">
        <x:v>0.07481513946410168</x:v>
      </x:c>
      <x:c r="L195" s="100" t="n">
        <x:v>-0.01081513946410168</x:v>
      </x:c>
      <x:c r="M195" s="100" t="n">
        <x:v>16</x:v>
      </x:c>
      <x:c r="N195" s="100" t="n">
        <x:v>0.9936931210201057</x:v>
      </x:c>
      <x:c r="O195" s="101" t="b">
        <x:v>1</x:v>
      </x:c>
      <x:c r="P195" t="str">
        <x:v>/Users/jvidale/Documents/Research/FaultScanR/output/20260722_181326_2487/CI_40353552</x:v>
      </x:c>
    </x:row>
    <x:row r="196">
      <x:c r="A196" t="str">
        <x:v>CI_40353552</x:v>
      </x:c>
      <x:c r="B196" s="99" t="str">
        <x:v>00244</x:v>
      </x:c>
      <x:c r="C196" t="str">
        <x:v>Z</x:v>
      </x:c>
      <x:c r="D196" t="str">
        <x:v>R</x:v>
      </x:c>
      <x:c r="E196" t="str">
        <x:v>time shift</x:v>
      </x:c>
      <x:c r="F196" t="str">
        <x:v>S</x:v>
      </x:c>
      <x:c r="G196" s="100" t="n">
        <x:v>3</x:v>
      </x:c>
      <x:c r="H196" s="100" t="n">
        <x:v>10</x:v>
      </x:c>
      <x:c r="I196" s="100" t="n">
        <x:v>250</x:v>
      </x:c>
      <x:c r="J196" s="100" t="n">
        <x:v>0.08</x:v>
      </x:c>
      <x:c r="K196" s="100" t="n">
        <x:v>0.08231026022820931</x:v>
      </x:c>
      <x:c r="L196" s="100" t="n">
        <x:v>-0.002310260228209307</x:v>
      </x:c>
      <x:c r="M196" s="100" t="n">
        <x:v>20</x:v>
      </x:c>
      <x:c r="N196" s="100" t="n">
        <x:v>0.9308856924640597</x:v>
      </x:c>
      <x:c r="O196" s="101" t="b">
        <x:v>1</x:v>
      </x:c>
      <x:c r="P196" t="str">
        <x:v>/Users/jvidale/Documents/Research/FaultScanR/output/20260722_181326_2487/CI_40353552</x:v>
      </x:c>
    </x:row>
    <x:row r="197">
      <x:c r="A197" t="str">
        <x:v>CI_40353552</x:v>
      </x:c>
      <x:c r="B197" s="99" t="str">
        <x:v>00245</x:v>
      </x:c>
      <x:c r="C197" t="str">
        <x:v>Z</x:v>
      </x:c>
      <x:c r="D197" t="str">
        <x:v>R</x:v>
      </x:c>
      <x:c r="E197" t="str">
        <x:v>time shift</x:v>
      </x:c>
      <x:c r="F197" t="str">
        <x:v>S</x:v>
      </x:c>
      <x:c r="G197" s="100" t="n">
        <x:v>3</x:v>
      </x:c>
      <x:c r="H197" s="100" t="n">
        <x:v>10</x:v>
      </x:c>
      <x:c r="I197" s="100" t="n">
        <x:v>250</x:v>
      </x:c>
      <x:c r="J197" s="100" t="n">
        <x:v>0.088</x:v>
      </x:c>
      <x:c r="K197" s="100" t="n">
        <x:v>0.09064196552180714</x:v>
      </x:c>
      <x:c r="L197" s="100" t="n">
        <x:v>-0.002641965521807149</x:v>
      </x:c>
      <x:c r="M197" s="100" t="n">
        <x:v>22</x:v>
      </x:c>
      <x:c r="N197" s="100" t="n">
        <x:v>0.9544410407241773</x:v>
      </x:c>
      <x:c r="O197" s="101" t="b">
        <x:v>1</x:v>
      </x:c>
      <x:c r="P197" t="str">
        <x:v>/Users/jvidale/Documents/Research/FaultScanR/output/20260722_181326_2487/CI_40353552</x:v>
      </x:c>
    </x:row>
    <x:row r="198">
      <x:c r="A198" t="str">
        <x:v>CI_40353552</x:v>
      </x:c>
      <x:c r="B198" s="99" t="str">
        <x:v>00246</x:v>
      </x:c>
      <x:c r="C198" t="str">
        <x:v>Z</x:v>
      </x:c>
      <x:c r="D198" t="str">
        <x:v>R</x:v>
      </x:c>
      <x:c r="E198" t="str">
        <x:v>time shift</x:v>
      </x:c>
      <x:c r="F198" t="str">
        <x:v>S</x:v>
      </x:c>
      <x:c r="G198" s="100" t="n">
        <x:v>3</x:v>
      </x:c>
      <x:c r="H198" s="100" t="n">
        <x:v>10</x:v>
      </x:c>
      <x:c r="I198" s="100" t="n">
        <x:v>250</x:v>
      </x:c>
      <x:c r="J198" s="100" t="n">
        <x:v>0.088</x:v>
      </x:c>
      <x:c r="K198" s="100" t="n">
        <x:v>0.09808625023750661</x:v>
      </x:c>
      <x:c r="L198" s="100" t="n">
        <x:v>-0.01008625023750662</x:v>
      </x:c>
      <x:c r="M198" s="100" t="n">
        <x:v>22</x:v>
      </x:c>
      <x:c r="N198" s="100" t="n">
        <x:v>0.9560914208284621</x:v>
      </x:c>
      <x:c r="O198" s="101" t="b">
        <x:v>1</x:v>
      </x:c>
      <x:c r="P198" t="str">
        <x:v>/Users/jvidale/Documents/Research/FaultScanR/output/20260722_181326_2487/CI_40353552</x:v>
      </x:c>
    </x:row>
    <x:row r="199">
      <x:c r="A199" t="str">
        <x:v>CI_40353552</x:v>
      </x:c>
      <x:c r="B199" s="99" t="str">
        <x:v>00247</x:v>
      </x:c>
      <x:c r="C199" t="str">
        <x:v>Z</x:v>
      </x:c>
      <x:c r="D199" t="str">
        <x:v>R</x:v>
      </x:c>
      <x:c r="E199" t="str">
        <x:v>time shift</x:v>
      </x:c>
      <x:c r="F199" t="str">
        <x:v>S</x:v>
      </x:c>
      <x:c r="G199" s="100" t="n">
        <x:v>3</x:v>
      </x:c>
      <x:c r="H199" s="100" t="n">
        <x:v>10</x:v>
      </x:c>
      <x:c r="I199" s="100" t="n">
        <x:v>250</x:v>
      </x:c>
      <x:c r="J199" s="100" t="n">
        <x:v>0.108</x:v>
      </x:c>
      <x:c r="K199" s="100" t="n">
        <x:v>0.1079549355551155</x:v>
      </x:c>
      <x:c r="L199" s="100" t="n">
        <x:v>0.00004506444488451555</x:v>
      </x:c>
      <x:c r="M199" s="100" t="n">
        <x:v>27</x:v>
      </x:c>
      <x:c r="N199" s="100" t="n">
        <x:v>0.8020561302986129</x:v>
      </x:c>
      <x:c r="O199" s="101" t="b">
        <x:v>1</x:v>
      </x:c>
      <x:c r="P199" t="str">
        <x:v>/Users/jvidale/Documents/Research/FaultScanR/output/20260722_181326_2487/CI_40353552</x:v>
      </x:c>
    </x:row>
    <x:row r="200">
      <x:c r="A200" t="str">
        <x:v>CI_40353552</x:v>
      </x:c>
      <x:c r="B200" s="99" t="str">
        <x:v>00248</x:v>
      </x:c>
      <x:c r="C200" t="str">
        <x:v>Z</x:v>
      </x:c>
      <x:c r="D200" t="str">
        <x:v>R</x:v>
      </x:c>
      <x:c r="E200" t="str">
        <x:v>time shift</x:v>
      </x:c>
      <x:c r="F200" t="str">
        <x:v>S</x:v>
      </x:c>
      <x:c r="G200" s="100" t="n">
        <x:v>3</x:v>
      </x:c>
      <x:c r="H200" s="100" t="n">
        <x:v>10</x:v>
      </x:c>
      <x:c r="I200" s="100" t="n">
        <x:v>250</x:v>
      </x:c>
      <x:c r="J200" s="100" t="n">
        <x:v>0.132</x:v>
      </x:c>
      <x:c r="K200" s="100" t="n">
        <x:v>0.1188924498679942</x:v>
      </x:c>
      <x:c r="L200" s="100" t="n">
        <x:v>0.01310755013200582</x:v>
      </x:c>
      <x:c r="M200" s="100" t="n">
        <x:v>33</x:v>
      </x:c>
      <x:c r="N200" s="100" t="n">
        <x:v>0.821960960273348</x:v>
      </x:c>
      <x:c r="O200" s="101" t="b">
        <x:v>1</x:v>
      </x:c>
      <x:c r="P200" t="str">
        <x:v>/Users/jvidale/Documents/Research/FaultScanR/output/20260722_181326_2487/CI_40353552</x:v>
      </x:c>
    </x:row>
    <x:row r="201">
      <x:c r="A201" t="str">
        <x:v>CI_40353552</x:v>
      </x:c>
      <x:c r="B201" s="99" t="str">
        <x:v>00249</x:v>
      </x:c>
      <x:c r="C201" t="str">
        <x:v>Z</x:v>
      </x:c>
      <x:c r="D201" t="str">
        <x:v>R</x:v>
      </x:c>
      <x:c r="E201" t="str">
        <x:v>time shift</x:v>
      </x:c>
      <x:c r="F201" t="str">
        <x:v>S</x:v>
      </x:c>
      <x:c r="G201" s="100" t="n">
        <x:v>3</x:v>
      </x:c>
      <x:c r="H201" s="100" t="n">
        <x:v>10</x:v>
      </x:c>
      <x:c r="I201" s="100" t="n">
        <x:v>250</x:v>
      </x:c>
      <x:c r="J201" s="100" t="n">
        <x:v>0.108</x:v>
      </x:c>
      <x:c r="K201" s="100" t="n">
        <x:v>0.1261953007066525</x:v>
      </x:c>
      <x:c r="L201" s="100" t="n">
        <x:v>-0.01819530070665253</x:v>
      </x:c>
      <x:c r="M201" s="100" t="n">
        <x:v>27</x:v>
      </x:c>
      <x:c r="N201" s="100" t="n">
        <x:v>0.7705473683655344</x:v>
      </x:c>
      <x:c r="O201" s="101" t="b">
        <x:v>1</x:v>
      </x:c>
      <x:c r="P201" t="str">
        <x:v>/Users/jvidale/Documents/Research/FaultScanR/output/20260722_181326_2487/CI_40353552</x:v>
      </x:c>
    </x:row>
    <x:row r="202">
      <x:c r="A202" t="str">
        <x:v>CI_40353552</x:v>
      </x:c>
      <x:c r="B202" s="99" t="str">
        <x:v>00250</x:v>
      </x:c>
      <x:c r="C202" t="str">
        <x:v>Z</x:v>
      </x:c>
      <x:c r="D202" t="str">
        <x:v>R</x:v>
      </x:c>
      <x:c r="E202" t="str">
        <x:v>time shift</x:v>
      </x:c>
      <x:c r="F202" t="str">
        <x:v>S</x:v>
      </x:c>
      <x:c r="G202" s="100" t="n">
        <x:v>3</x:v>
      </x:c>
      <x:c r="H202" s="100" t="n">
        <x:v>10</x:v>
      </x:c>
      <x:c r="I202" s="100" t="n">
        <x:v>250</x:v>
      </x:c>
      <x:c r="J202" s="100" t="n">
        <x:v>0.176</x:v>
      </x:c>
      <x:c r="K202" s="100" t="n">
        <x:v>0.13342211967956</x:v>
      </x:c>
      <x:c r="L202" s="100" t="n">
        <x:v>0.04257788032044002</x:v>
      </x:c>
      <x:c r="M202" s="100" t="n">
        <x:v>44</x:v>
      </x:c>
      <x:c r="N202" s="100" t="n">
        <x:v>0.6737108916926456</x:v>
      </x:c>
      <x:c r="O202" s="101" t="b">
        <x:v>1</x:v>
      </x:c>
      <x:c r="P202" t="str">
        <x:v>/Users/jvidale/Documents/Research/FaultScanR/output/20260722_181326_2487/CI_40353552</x:v>
      </x:c>
    </x:row>
    <x:row r="203">
      <x:c r="A203" t="str">
        <x:v>CI_40353552</x:v>
      </x:c>
      <x:c r="B203" s="99" t="str">
        <x:v>00251</x:v>
      </x:c>
      <x:c r="C203" t="str">
        <x:v>Z</x:v>
      </x:c>
      <x:c r="D203" t="str">
        <x:v>R</x:v>
      </x:c>
      <x:c r="E203" t="str">
        <x:v>time shift</x:v>
      </x:c>
      <x:c r="F203" t="str">
        <x:v>S</x:v>
      </x:c>
      <x:c r="G203" s="100" t="n">
        <x:v>3</x:v>
      </x:c>
      <x:c r="H203" s="100" t="n">
        <x:v>10</x:v>
      </x:c>
      <x:c r="I203" s="100" t="n">
        <x:v>250</x:v>
      </x:c>
      <x:c r="J203" s="100" t="n">
        <x:v>0.156</x:v>
      </x:c>
      <x:c r="K203" s="100" t="n">
        <x:v>0.1443179660615481</x:v>
      </x:c>
      <x:c r="L203" s="100" t="n">
        <x:v>0.01168203393845188</x:v>
      </x:c>
      <x:c r="M203" s="100" t="n">
        <x:v>39</x:v>
      </x:c>
      <x:c r="N203" s="100" t="n">
        <x:v>0.9002866843851883</x:v>
      </x:c>
      <x:c r="O203" s="101" t="b">
        <x:v>1</x:v>
      </x:c>
      <x:c r="P203" t="str">
        <x:v>/Users/jvidale/Documents/Research/FaultScanR/output/20260722_181326_2487/CI_40353552</x:v>
      </x:c>
    </x:row>
    <x:row r="204">
      <x:c r="A204" t="str">
        <x:v>CI_40353552</x:v>
      </x:c>
      <x:c r="B204" s="99" t="str">
        <x:v>00252</x:v>
      </x:c>
      <x:c r="C204" t="str">
        <x:v>Z</x:v>
      </x:c>
      <x:c r="D204" t="str">
        <x:v>R</x:v>
      </x:c>
      <x:c r="E204" t="str">
        <x:v>time shift</x:v>
      </x:c>
      <x:c r="F204" t="str">
        <x:v>S</x:v>
      </x:c>
      <x:c r="G204" s="100" t="n">
        <x:v>3</x:v>
      </x:c>
      <x:c r="H204" s="100" t="n">
        <x:v>10</x:v>
      </x:c>
      <x:c r="I204" s="100" t="n">
        <x:v>250</x:v>
      </x:c>
      <x:c r="J204" s="100" t="n">
        <x:v>0.132</x:v>
      </x:c>
      <x:c r="K204" s="100" t="n">
        <x:v>0.1553165024413579</x:v>
      </x:c>
      <x:c r="L204" s="100" t="n">
        <x:v>-0.02331650244135786</x:v>
      </x:c>
      <x:c r="M204" s="100" t="n">
        <x:v>33</x:v>
      </x:c>
      <x:c r="N204" s="100" t="n">
        <x:v>0.8465475489619593</x:v>
      </x:c>
      <x:c r="O204" s="101" t="b">
        <x:v>1</x:v>
      </x:c>
      <x:c r="P204" t="str">
        <x:v>/Users/jvidale/Documents/Research/FaultScanR/output/20260722_181326_2487/CI_40353552</x:v>
      </x:c>
    </x:row>
    <x:row r="205">
      <x:c r="A205" t="str">
        <x:v>CI_40353552</x:v>
      </x:c>
      <x:c r="B205" s="99" t="str">
        <x:v>00253</x:v>
      </x:c>
      <x:c r="C205" t="str">
        <x:v>Z</x:v>
      </x:c>
      <x:c r="D205" t="str">
        <x:v>R</x:v>
      </x:c>
      <x:c r="E205" t="str">
        <x:v>time shift</x:v>
      </x:c>
      <x:c r="F205" t="str">
        <x:v>S</x:v>
      </x:c>
      <x:c r="G205" s="100" t="n">
        <x:v>3</x:v>
      </x:c>
      <x:c r="H205" s="100" t="n">
        <x:v>10</x:v>
      </x:c>
      <x:c r="I205" s="100" t="n">
        <x:v>250</x:v>
      </x:c>
      <x:c r="J205" s="100" t="n">
        <x:v>0.208</x:v>
      </x:c>
      <x:c r="K205" s="100" t="n">
        <x:v>0.1614072279223802</x:v>
      </x:c>
      <x:c r="L205" s="100" t="n">
        <x:v>0.04659277207761983</x:v>
      </x:c>
      <x:c r="M205" s="100" t="n">
        <x:v>52</x:v>
      </x:c>
      <x:c r="N205" s="100" t="n">
        <x:v>0.7481731113040858</x:v>
      </x:c>
      <x:c r="O205" s="101" t="b">
        <x:v>1</x:v>
      </x:c>
      <x:c r="P205" t="str">
        <x:v>/Users/jvidale/Documents/Research/FaultScanR/output/20260722_181326_2487/CI_40353552</x:v>
      </x:c>
    </x:row>
    <x:row r="206">
      <x:c r="A206" t="str">
        <x:v>CI_40353552</x:v>
      </x:c>
      <x:c r="B206" s="99" t="str">
        <x:v>00254</x:v>
      </x:c>
      <x:c r="C206" t="str">
        <x:v>Z</x:v>
      </x:c>
      <x:c r="D206" t="str">
        <x:v>R</x:v>
      </x:c>
      <x:c r="E206" t="str">
        <x:v>time shift</x:v>
      </x:c>
      <x:c r="F206" t="str">
        <x:v>S</x:v>
      </x:c>
      <x:c r="G206" s="100" t="n">
        <x:v>3</x:v>
      </x:c>
      <x:c r="H206" s="100" t="n">
        <x:v>10</x:v>
      </x:c>
      <x:c r="I206" s="100" t="n">
        <x:v>250</x:v>
      </x:c>
      <x:c r="J206" s="100" t="n">
        <x:v>0.04</x:v>
      </x:c>
      <x:c r="K206" s="100" t="n">
        <x:v>0.05749066379268353</x:v>
      </x:c>
      <x:c r="L206" s="100" t="n">
        <x:v>-0.01749066379268353</x:v>
      </x:c>
      <x:c r="M206" s="100" t="n">
        <x:v>10</x:v>
      </x:c>
      <x:c r="N206" s="100" t="n">
        <x:v>0.9447842924923413</x:v>
      </x:c>
      <x:c r="O206" s="101" t="b">
        <x:v>1</x:v>
      </x:c>
      <x:c r="P206" t="str">
        <x:v>/Users/jvidale/Documents/Research/FaultScanR/output/20260722_181326_2487/CI_40353552</x:v>
      </x:c>
    </x:row>
    <x:row r="207">
      <x:c r="A207" t="str">
        <x:v>CI_40353552</x:v>
      </x:c>
      <x:c r="B207" s="99" t="str">
        <x:v>00255</x:v>
      </x:c>
      <x:c r="C207" t="str">
        <x:v>Z</x:v>
      </x:c>
      <x:c r="D207" t="str">
        <x:v>R</x:v>
      </x:c>
      <x:c r="E207" t="str">
        <x:v>time shift</x:v>
      </x:c>
      <x:c r="F207" t="str">
        <x:v>S</x:v>
      </x:c>
      <x:c r="G207" s="100" t="n">
        <x:v>3</x:v>
      </x:c>
      <x:c r="H207" s="100" t="n">
        <x:v>10</x:v>
      </x:c>
      <x:c r="I207" s="100" t="n">
        <x:v>250</x:v>
      </x:c>
      <x:c r="J207" s="100" t="n">
        <x:v>0.056</x:v>
      </x:c>
      <x:c r="K207" s="100" t="n">
        <x:v>0.06523842005272673</x:v>
      </x:c>
      <x:c r="L207" s="100" t="n">
        <x:v>-0.00923842005272673</x:v>
      </x:c>
      <x:c r="M207" s="100" t="n">
        <x:v>14</x:v>
      </x:c>
      <x:c r="N207" s="100" t="n">
        <x:v>0.976132972315141</x:v>
      </x:c>
      <x:c r="O207" s="101" t="b">
        <x:v>1</x:v>
      </x:c>
      <x:c r="P207" t="str">
        <x:v>/Users/jvidale/Documents/Research/FaultScanR/output/20260722_181326_2487/CI_40353552</x:v>
      </x:c>
    </x:row>
    <x:row r="208">
      <x:c r="A208" t="str">
        <x:v>CI_40353552</x:v>
      </x:c>
      <x:c r="B208" s="99" t="str">
        <x:v>00256</x:v>
      </x:c>
      <x:c r="C208" t="str">
        <x:v>Z</x:v>
      </x:c>
      <x:c r="D208" t="str">
        <x:v>R</x:v>
      </x:c>
      <x:c r="E208" t="str">
        <x:v>time shift</x:v>
      </x:c>
      <x:c r="F208" t="str">
        <x:v>S</x:v>
      </x:c>
      <x:c r="G208" s="100" t="n">
        <x:v>3</x:v>
      </x:c>
      <x:c r="H208" s="100" t="n">
        <x:v>10</x:v>
      </x:c>
      <x:c r="I208" s="100" t="n">
        <x:v>250</x:v>
      </x:c>
      <x:c r="J208" s="100" t="n">
        <x:v>0.064</x:v>
      </x:c>
      <x:c r="K208" s="100" t="n">
        <x:v>0.07269341327940548</x:v>
      </x:c>
      <x:c r="L208" s="100" t="n">
        <x:v>-0.008693413279405482</x:v>
      </x:c>
      <x:c r="M208" s="100" t="n">
        <x:v>16</x:v>
      </x:c>
      <x:c r="N208" s="100" t="n">
        <x:v>0.9735347883881774</x:v>
      </x:c>
      <x:c r="O208" s="101" t="b">
        <x:v>1</x:v>
      </x:c>
      <x:c r="P208" t="str">
        <x:v>/Users/jvidale/Documents/Research/FaultScanR/output/20260722_181326_2487/CI_40353552</x:v>
      </x:c>
    </x:row>
    <x:row r="209">
      <x:c r="A209" t="str">
        <x:v>CI_40353552</x:v>
      </x:c>
      <x:c r="B209" s="99" t="str">
        <x:v>00257</x:v>
      </x:c>
      <x:c r="C209" t="str">
        <x:v>Z</x:v>
      </x:c>
      <x:c r="D209" t="str">
        <x:v>R</x:v>
      </x:c>
      <x:c r="E209" t="str">
        <x:v>time shift</x:v>
      </x:c>
      <x:c r="F209" t="str">
        <x:v>S</x:v>
      </x:c>
      <x:c r="G209" s="100" t="n">
        <x:v>3</x:v>
      </x:c>
      <x:c r="H209" s="100" t="n">
        <x:v>10</x:v>
      </x:c>
      <x:c r="I209" s="100" t="n">
        <x:v>250</x:v>
      </x:c>
      <x:c r="J209" s="100" t="n">
        <x:v>0.076</x:v>
      </x:c>
      <x:c r="K209" s="100" t="n">
        <x:v>0.07969051856003695</x:v>
      </x:c>
      <x:c r="L209" s="100" t="n">
        <x:v>-0.003690518560036951</x:v>
      </x:c>
      <x:c r="M209" s="100" t="n">
        <x:v>19</x:v>
      </x:c>
      <x:c r="N209" s="100" t="n">
        <x:v>0.9302354092712088</x:v>
      </x:c>
      <x:c r="O209" s="101" t="b">
        <x:v>1</x:v>
      </x:c>
      <x:c r="P209" t="str">
        <x:v>/Users/jvidale/Documents/Research/FaultScanR/output/20260722_181326_2487/CI_40353552</x:v>
      </x:c>
    </x:row>
    <x:row r="210">
      <x:c r="A210" t="str">
        <x:v>CI_40353552</x:v>
      </x:c>
      <x:c r="B210" s="99" t="str">
        <x:v>00258</x:v>
      </x:c>
      <x:c r="C210" t="str">
        <x:v>Z</x:v>
      </x:c>
      <x:c r="D210" t="str">
        <x:v>R</x:v>
      </x:c>
      <x:c r="E210" t="str">
        <x:v>time shift</x:v>
      </x:c>
      <x:c r="F210" t="str">
        <x:v>S</x:v>
      </x:c>
      <x:c r="G210" s="100" t="n">
        <x:v>3</x:v>
      </x:c>
      <x:c r="H210" s="100" t="n">
        <x:v>10</x:v>
      </x:c>
      <x:c r="I210" s="100" t="n">
        <x:v>250</x:v>
      </x:c>
      <x:c r="J210" s="100" t="n">
        <x:v>0.08</x:v>
      </x:c>
      <x:c r="K210" s="100" t="n">
        <x:v>0.08696109228987048</x:v>
      </x:c>
      <x:c r="L210" s="100" t="n">
        <x:v>-0.006961092289870477</x:v>
      </x:c>
      <x:c r="M210" s="100" t="n">
        <x:v>20</x:v>
      </x:c>
      <x:c r="N210" s="100" t="n">
        <x:v>0.9636464345803326</x:v>
      </x:c>
      <x:c r="O210" s="101" t="b">
        <x:v>1</x:v>
      </x:c>
      <x:c r="P210" t="str">
        <x:v>/Users/jvidale/Documents/Research/FaultScanR/output/20260722_181326_2487/CI_40353552</x:v>
      </x:c>
    </x:row>
    <x:row r="211">
      <x:c r="A211" t="str">
        <x:v>CI_40353552</x:v>
      </x:c>
      <x:c r="B211" s="99" t="str">
        <x:v>00259</x:v>
      </x:c>
      <x:c r="C211" t="str">
        <x:v>Z</x:v>
      </x:c>
      <x:c r="D211" t="str">
        <x:v>R</x:v>
      </x:c>
      <x:c r="E211" t="str">
        <x:v>time shift</x:v>
      </x:c>
      <x:c r="F211" t="str">
        <x:v>S</x:v>
      </x:c>
      <x:c r="G211" s="100" t="n">
        <x:v>3</x:v>
      </x:c>
      <x:c r="H211" s="100" t="n">
        <x:v>10</x:v>
      </x:c>
      <x:c r="I211" s="100" t="n">
        <x:v>250</x:v>
      </x:c>
      <x:c r="J211" s="100" t="n">
        <x:v>0.084</x:v>
      </x:c>
      <x:c r="K211" s="100" t="n">
        <x:v>0.09443675120499417</x:v>
      </x:c>
      <x:c r="L211" s="100" t="n">
        <x:v>-0.01043675120499417</x:v>
      </x:c>
      <x:c r="M211" s="100" t="n">
        <x:v>21</x:v>
      </x:c>
      <x:c r="N211" s="100" t="n">
        <x:v>0.9515945794876172</x:v>
      </x:c>
      <x:c r="O211" s="101" t="b">
        <x:v>1</x:v>
      </x:c>
      <x:c r="P211" t="str">
        <x:v>/Users/jvidale/Documents/Research/FaultScanR/output/20260722_181326_2487/CI_40353552</x:v>
      </x:c>
    </x:row>
    <x:row r="212">
      <x:c r="A212" t="str">
        <x:v>CI_40353552</x:v>
      </x:c>
      <x:c r="B212" s="99" t="str">
        <x:v>00260</x:v>
      </x:c>
      <x:c r="C212" t="str">
        <x:v>Z</x:v>
      </x:c>
      <x:c r="D212" t="str">
        <x:v>R</x:v>
      </x:c>
      <x:c r="E212" t="str">
        <x:v>time shift</x:v>
      </x:c>
      <x:c r="F212" t="str">
        <x:v>S</x:v>
      </x:c>
      <x:c r="G212" s="100" t="n">
        <x:v>3</x:v>
      </x:c>
      <x:c r="H212" s="100" t="n">
        <x:v>10</x:v>
      </x:c>
      <x:c r="I212" s="100" t="n">
        <x:v>250</x:v>
      </x:c>
      <x:c r="J212" s="100" t="n">
        <x:v>0.1</x:v>
      </x:c>
      <x:c r="K212" s="100" t="n">
        <x:v>0.1033824595557133</x:v>
      </x:c>
      <x:c r="L212" s="100" t="n">
        <x:v>-0.003382459555713341</x:v>
      </x:c>
      <x:c r="M212" s="100" t="n">
        <x:v>25</x:v>
      </x:c>
      <x:c r="N212" s="100" t="n">
        <x:v>0.8393088080960415</x:v>
      </x:c>
      <x:c r="O212" s="101" t="b">
        <x:v>1</x:v>
      </x:c>
      <x:c r="P212" t="str">
        <x:v>/Users/jvidale/Documents/Research/FaultScanR/output/20260722_181326_2487/CI_40353552</x:v>
      </x:c>
    </x:row>
    <x:row r="213">
      <x:c r="A213" t="str">
        <x:v>CI_40353552</x:v>
      </x:c>
      <x:c r="B213" s="99" t="str">
        <x:v>00261</x:v>
      </x:c>
      <x:c r="C213" t="str">
        <x:v>Z</x:v>
      </x:c>
      <x:c r="D213" t="str">
        <x:v>R</x:v>
      </x:c>
      <x:c r="E213" t="str">
        <x:v>time shift</x:v>
      </x:c>
      <x:c r="F213" t="str">
        <x:v>S</x:v>
      </x:c>
      <x:c r="G213" s="100" t="n">
        <x:v>3</x:v>
      </x:c>
      <x:c r="H213" s="100" t="n">
        <x:v>10</x:v>
      </x:c>
      <x:c r="I213" s="100" t="n">
        <x:v>250</x:v>
      </x:c>
      <x:c r="J213" s="100" t="n">
        <x:v>0.112</x:v>
      </x:c>
      <x:c r="K213" s="100" t="n">
        <x:v>0.11321583075941</x:v>
      </x:c>
      <x:c r="L213" s="100" t="n">
        <x:v>-0.001215830759409994</x:v>
      </x:c>
      <x:c r="M213" s="100" t="n">
        <x:v>28</x:v>
      </x:c>
      <x:c r="N213" s="100" t="n">
        <x:v>0.9839297988334411</x:v>
      </x:c>
      <x:c r="O213" s="101" t="b">
        <x:v>1</x:v>
      </x:c>
      <x:c r="P213" t="str">
        <x:v>/Users/jvidale/Documents/Research/FaultScanR/output/20260722_181326_2487/CI_40353552</x:v>
      </x:c>
    </x:row>
    <x:row r="214">
      <x:c r="A214" t="str">
        <x:v>CI_40353552</x:v>
      </x:c>
      <x:c r="B214" s="99" t="str">
        <x:v>00262</x:v>
      </x:c>
      <x:c r="C214" t="str">
        <x:v>Z</x:v>
      </x:c>
      <x:c r="D214" t="str">
        <x:v>R</x:v>
      </x:c>
      <x:c r="E214" t="str">
        <x:v>time shift</x:v>
      </x:c>
      <x:c r="F214" t="str">
        <x:v>S</x:v>
      </x:c>
      <x:c r="G214" s="100" t="n">
        <x:v>3</x:v>
      </x:c>
      <x:c r="H214" s="100" t="n">
        <x:v>10</x:v>
      </x:c>
      <x:c r="I214" s="100" t="n">
        <x:v>250</x:v>
      </x:c>
      <x:c r="J214" s="100" t="n">
        <x:v>0.12</x:v>
      </x:c>
      <x:c r="K214" s="100" t="n">
        <x:v>0.1211827332282791</x:v>
      </x:c>
      <x:c r="L214" s="100" t="n">
        <x:v>-0.001182733228279109</x:v>
      </x:c>
      <x:c r="M214" s="100" t="n">
        <x:v>30</x:v>
      </x:c>
      <x:c r="N214" s="100" t="n">
        <x:v>0.9388585534484546</x:v>
      </x:c>
      <x:c r="O214" s="101" t="b">
        <x:v>1</x:v>
      </x:c>
      <x:c r="P214" t="str">
        <x:v>/Users/jvidale/Documents/Research/FaultScanR/output/20260722_181326_2487/CI_40353552</x:v>
      </x:c>
    </x:row>
    <x:row r="215">
      <x:c r="A215" t="str">
        <x:v>CI_40353552</x:v>
      </x:c>
      <x:c r="B215" s="99" t="str">
        <x:v>00263</x:v>
      </x:c>
      <x:c r="C215" t="str">
        <x:v>Z</x:v>
      </x:c>
      <x:c r="D215" t="str">
        <x:v>R</x:v>
      </x:c>
      <x:c r="E215" t="str">
        <x:v>time shift</x:v>
      </x:c>
      <x:c r="F215" t="str">
        <x:v>S</x:v>
      </x:c>
      <x:c r="G215" s="100" t="n">
        <x:v>3</x:v>
      </x:c>
      <x:c r="H215" s="100" t="n">
        <x:v>10</x:v>
      </x:c>
      <x:c r="I215" s="100" t="n">
        <x:v>250</x:v>
      </x:c>
      <x:c r="J215" s="100" t="n">
        <x:v>0.128</x:v>
      </x:c>
      <x:c r="K215" s="100" t="n">
        <x:v>0.1298143923749979</x:v>
      </x:c>
      <x:c r="L215" s="100" t="n">
        <x:v>-0.00181439237499792</x:v>
      </x:c>
      <x:c r="M215" s="100" t="n">
        <x:v>32</x:v>
      </x:c>
      <x:c r="N215" s="100" t="n">
        <x:v>0.9607537825715441</x:v>
      </x:c>
      <x:c r="O215" s="101" t="b">
        <x:v>1</x:v>
      </x:c>
      <x:c r="P215" t="str">
        <x:v>/Users/jvidale/Documents/Research/FaultScanR/output/20260722_181326_2487/CI_40353552</x:v>
      </x:c>
    </x:row>
    <x:row r="216">
      <x:c r="A216" t="str">
        <x:v>CI_40353552</x:v>
      </x:c>
      <x:c r="B216" s="99" t="str">
        <x:v>00265</x:v>
      </x:c>
      <x:c r="C216" t="str">
        <x:v>Z</x:v>
      </x:c>
      <x:c r="D216" t="str">
        <x:v>R</x:v>
      </x:c>
      <x:c r="E216" t="str">
        <x:v>time shift</x:v>
      </x:c>
      <x:c r="F216" t="str">
        <x:v>S</x:v>
      </x:c>
      <x:c r="G216" s="100" t="n">
        <x:v>3</x:v>
      </x:c>
      <x:c r="H216" s="100" t="n">
        <x:v>10</x:v>
      </x:c>
      <x:c r="I216" s="100" t="n">
        <x:v>250</x:v>
      </x:c>
      <x:c r="J216" s="100" t="n">
        <x:v>0.172</x:v>
      </x:c>
      <x:c r="K216" s="100" t="n">
        <x:v>0.1467796450296603</x:v>
      </x:c>
      <x:c r="L216" s="100" t="n">
        <x:v>0.02522035497033964</x:v>
      </x:c>
      <x:c r="M216" s="100" t="n">
        <x:v>43</x:v>
      </x:c>
      <x:c r="N216" s="100" t="n">
        <x:v>0.7938862240585512</x:v>
      </x:c>
      <x:c r="O216" s="101" t="b">
        <x:v>1</x:v>
      </x:c>
      <x:c r="P216" t="str">
        <x:v>/Users/jvidale/Documents/Research/FaultScanR/output/20260722_181326_2487/CI_40353552</x:v>
      </x:c>
    </x:row>
    <x:row r="217">
      <x:c r="A217" t="str">
        <x:v>CI_40353552</x:v>
      </x:c>
      <x:c r="B217" s="99" t="str">
        <x:v>00266</x:v>
      </x:c>
      <x:c r="C217" t="str">
        <x:v>Z</x:v>
      </x:c>
      <x:c r="D217" t="str">
        <x:v>R</x:v>
      </x:c>
      <x:c r="E217" t="str">
        <x:v>time shift</x:v>
      </x:c>
      <x:c r="F217" t="str">
        <x:v>S</x:v>
      </x:c>
      <x:c r="G217" s="100" t="n">
        <x:v>3</x:v>
      </x:c>
      <x:c r="H217" s="100" t="n">
        <x:v>10</x:v>
      </x:c>
      <x:c r="I217" s="100" t="n">
        <x:v>250</x:v>
      </x:c>
      <x:c r="J217" s="100" t="n">
        <x:v>0.168</x:v>
      </x:c>
      <x:c r="K217" s="100" t="n">
        <x:v>0.1554360993891342</x:v>
      </x:c>
      <x:c r="L217" s="100" t="n">
        <x:v>0.01256390061086585</x:v>
      </x:c>
      <x:c r="M217" s="100" t="n">
        <x:v>42</x:v>
      </x:c>
      <x:c r="N217" s="100" t="n">
        <x:v>0.9295643503427424</x:v>
      </x:c>
      <x:c r="O217" s="101" t="b">
        <x:v>1</x:v>
      </x:c>
      <x:c r="P217" t="str">
        <x:v>/Users/jvidale/Documents/Research/FaultScanR/output/20260722_181326_2487/CI_40353552</x:v>
      </x:c>
    </x:row>
    <x:row r="218">
      <x:c r="A218" t="str">
        <x:v>CI_40353552</x:v>
      </x:c>
      <x:c r="B218" s="99" t="str">
        <x:v>00267</x:v>
      </x:c>
      <x:c r="C218" t="str">
        <x:v>Z</x:v>
      </x:c>
      <x:c r="D218" t="str">
        <x:v>R</x:v>
      </x:c>
      <x:c r="E218" t="str">
        <x:v>time shift</x:v>
      </x:c>
      <x:c r="F218" t="str">
        <x:v>S</x:v>
      </x:c>
      <x:c r="G218" s="100" t="n">
        <x:v>3</x:v>
      </x:c>
      <x:c r="H218" s="100" t="n">
        <x:v>10</x:v>
      </x:c>
      <x:c r="I218" s="100" t="n">
        <x:v>250</x:v>
      </x:c>
      <x:c r="J218" s="100" t="n">
        <x:v>0.16</x:v>
      </x:c>
      <x:c r="K218" s="100" t="n">
        <x:v>0.1647048340490267</x:v>
      </x:c>
      <x:c r="L218" s="100" t="n">
        <x:v>-0.00470483404902669</x:v>
      </x:c>
      <x:c r="M218" s="100" t="n">
        <x:v>40</x:v>
      </x:c>
      <x:c r="N218" s="100" t="n">
        <x:v>0.9962820350863307</x:v>
      </x:c>
      <x:c r="O218" s="101" t="b">
        <x:v>1</x:v>
      </x:c>
      <x:c r="P218" t="str">
        <x:v>/Users/jvidale/Documents/Research/FaultScanR/output/20260722_181326_2487/CI_40353552</x:v>
      </x:c>
    </x:row>
    <x:row r="219">
      <x:c r="A219" t="str">
        <x:v>CI_40353552</x:v>
      </x:c>
      <x:c r="B219" s="99" t="str">
        <x:v>00268</x:v>
      </x:c>
      <x:c r="C219" t="str">
        <x:v>Z</x:v>
      </x:c>
      <x:c r="D219" t="str">
        <x:v>R</x:v>
      </x:c>
      <x:c r="E219" t="str">
        <x:v>time shift</x:v>
      </x:c>
      <x:c r="F219" t="str">
        <x:v>S</x:v>
      </x:c>
      <x:c r="G219" s="100" t="n">
        <x:v>3</x:v>
      </x:c>
      <x:c r="H219" s="100" t="n">
        <x:v>10</x:v>
      </x:c>
      <x:c r="I219" s="100" t="n">
        <x:v>250</x:v>
      </x:c>
      <x:c r="J219" s="100" t="n">
        <x:v>0.22</x:v>
      </x:c>
      <x:c r="K219" s="100" t="n">
        <x:v>0.172309340071445</x:v>
      </x:c>
      <x:c r="L219" s="100" t="n">
        <x:v>0.04769065992855495</x:v>
      </x:c>
      <x:c r="M219" s="100" t="n">
        <x:v>55</x:v>
      </x:c>
      <x:c r="N219" s="100" t="n">
        <x:v>0.6126429224222639</x:v>
      </x:c>
      <x:c r="O219" s="101" t="b">
        <x:v>1</x:v>
      </x:c>
      <x:c r="P219" t="str">
        <x:v>/Users/jvidale/Documents/Research/FaultScanR/output/20260722_181326_2487/CI_40353552</x:v>
      </x:c>
    </x:row>
    <x:row r="220">
      <x:c r="A220" t="str">
        <x:v>CI_40353552</x:v>
      </x:c>
      <x:c r="B220" s="99" t="str">
        <x:v>00269</x:v>
      </x:c>
      <x:c r="C220" t="str">
        <x:v>Z</x:v>
      </x:c>
      <x:c r="D220" t="str">
        <x:v>R</x:v>
      </x:c>
      <x:c r="E220" t="str">
        <x:v>time shift</x:v>
      </x:c>
      <x:c r="F220" t="str">
        <x:v>S</x:v>
      </x:c>
      <x:c r="G220" s="100" t="n">
        <x:v>3</x:v>
      </x:c>
      <x:c r="H220" s="100" t="n">
        <x:v>10</x:v>
      </x:c>
      <x:c r="I220" s="100" t="n">
        <x:v>250</x:v>
      </x:c>
      <x:c r="J220" s="100" t="n">
        <x:v>0.224</x:v>
      </x:c>
      <x:c r="K220" s="100" t="n">
        <x:v>0.1824140611405731</x:v>
      </x:c>
      <x:c r="L220" s="100" t="n">
        <x:v>0.04158593885942688</x:v>
      </x:c>
      <x:c r="M220" s="100" t="n">
        <x:v>56</x:v>
      </x:c>
      <x:c r="N220" s="100" t="n">
        <x:v>0.8375714927474288</x:v>
      </x:c>
      <x:c r="O220" s="101" t="b">
        <x:v>1</x:v>
      </x:c>
      <x:c r="P220" t="str">
        <x:v>/Users/jvidale/Documents/Research/FaultScanR/output/20260722_181326_2487/CI_40353552</x:v>
      </x:c>
    </x:row>
    <x:row r="221">
      <x:c r="A221" t="str">
        <x:v>CI_40353552</x:v>
      </x:c>
      <x:c r="B221" s="99" t="str">
        <x:v>00270</x:v>
      </x:c>
      <x:c r="C221" t="str">
        <x:v>Z</x:v>
      </x:c>
      <x:c r="D221" t="str">
        <x:v>R</x:v>
      </x:c>
      <x:c r="E221" t="str">
        <x:v>time shift</x:v>
      </x:c>
      <x:c r="F221" t="str">
        <x:v>S</x:v>
      </x:c>
      <x:c r="G221" s="100" t="n">
        <x:v>3</x:v>
      </x:c>
      <x:c r="H221" s="100" t="n">
        <x:v>10</x:v>
      </x:c>
      <x:c r="I221" s="100" t="n">
        <x:v>250</x:v>
      </x:c>
      <x:c r="J221" s="100" t="n">
        <x:v>0.056</x:v>
      </x:c>
      <x:c r="K221" s="100" t="n">
        <x:v>0.07973306542646341</x:v>
      </x:c>
      <x:c r="L221" s="100" t="n">
        <x:v>-0.02373306542646341</x:v>
      </x:c>
      <x:c r="M221" s="100" t="n">
        <x:v>14</x:v>
      </x:c>
      <x:c r="N221" s="100" t="n">
        <x:v>0.8744118984398292</x:v>
      </x:c>
      <x:c r="O221" s="101" t="b">
        <x:v>1</x:v>
      </x:c>
      <x:c r="P221" t="str">
        <x:v>/Users/jvidale/Documents/Research/FaultScanR/output/20260722_181326_2487/CI_40353552</x:v>
      </x:c>
    </x:row>
    <x:row r="222">
      <x:c r="A222" t="str">
        <x:v>CI_40353552</x:v>
      </x:c>
      <x:c r="B222" s="99" t="str">
        <x:v>00271</x:v>
      </x:c>
      <x:c r="C222" t="str">
        <x:v>Z</x:v>
      </x:c>
      <x:c r="D222" t="str">
        <x:v>R</x:v>
      </x:c>
      <x:c r="E222" t="str">
        <x:v>time shift</x:v>
      </x:c>
      <x:c r="F222" t="str">
        <x:v>S</x:v>
      </x:c>
      <x:c r="G222" s="100" t="n">
        <x:v>3</x:v>
      </x:c>
      <x:c r="H222" s="100" t="n">
        <x:v>10</x:v>
      </x:c>
      <x:c r="I222" s="100" t="n">
        <x:v>250</x:v>
      </x:c>
      <x:c r="J222" s="100" t="n">
        <x:v>0.072</x:v>
      </x:c>
      <x:c r="K222" s="100" t="n">
        <x:v>0.08840395916646937</x:v>
      </x:c>
      <x:c r="L222" s="100" t="n">
        <x:v>-0.01640395916646938</x:v>
      </x:c>
      <x:c r="M222" s="100" t="n">
        <x:v>18</x:v>
      </x:c>
      <x:c r="N222" s="100" t="n">
        <x:v>0.8998715700279364</x:v>
      </x:c>
      <x:c r="O222" s="101" t="b">
        <x:v>1</x:v>
      </x:c>
      <x:c r="P222" t="str">
        <x:v>/Users/jvidale/Documents/Research/FaultScanR/output/20260722_181326_2487/CI_40353552</x:v>
      </x:c>
    </x:row>
    <x:row r="223">
      <x:c r="A223" t="str">
        <x:v>CI_40353552</x:v>
      </x:c>
      <x:c r="B223" s="99" t="str">
        <x:v>00272</x:v>
      </x:c>
      <x:c r="C223" t="str">
        <x:v>Z</x:v>
      </x:c>
      <x:c r="D223" t="str">
        <x:v>R</x:v>
      </x:c>
      <x:c r="E223" t="str">
        <x:v>time shift</x:v>
      </x:c>
      <x:c r="F223" t="str">
        <x:v>S</x:v>
      </x:c>
      <x:c r="G223" s="100" t="n">
        <x:v>3</x:v>
      </x:c>
      <x:c r="H223" s="100" t="n">
        <x:v>10</x:v>
      </x:c>
      <x:c r="I223" s="100" t="n">
        <x:v>250</x:v>
      </x:c>
      <x:c r="J223" s="100" t="n">
        <x:v>0.048</x:v>
      </x:c>
      <x:c r="K223" s="100" t="n">
        <x:v>0.094981817329864</x:v>
      </x:c>
      <x:c r="L223" s="100" t="n">
        <x:v>-0.04698181732986399</x:v>
      </x:c>
      <x:c r="M223" s="100" t="n">
        <x:v>12</x:v>
      </x:c>
      <x:c r="N223" s="100" t="n">
        <x:v>0.8478571614398847</x:v>
      </x:c>
      <x:c r="O223" s="101" t="b">
        <x:v>1</x:v>
      </x:c>
      <x:c r="P223" t="str">
        <x:v>/Users/jvidale/Documents/Research/FaultScanR/output/20260722_181326_2487/CI_40353552</x:v>
      </x:c>
    </x:row>
    <x:row r="224">
      <x:c r="A224" t="str">
        <x:v>CI_40353552</x:v>
      </x:c>
      <x:c r="B224" s="99" t="str">
        <x:v>00273</x:v>
      </x:c>
      <x:c r="C224" t="str">
        <x:v>Z</x:v>
      </x:c>
      <x:c r="D224" t="str">
        <x:v>R</x:v>
      </x:c>
      <x:c r="E224" t="str">
        <x:v>time shift</x:v>
      </x:c>
      <x:c r="F224" t="str">
        <x:v>S</x:v>
      </x:c>
      <x:c r="G224" s="100" t="n">
        <x:v>3</x:v>
      </x:c>
      <x:c r="H224" s="100" t="n">
        <x:v>10</x:v>
      </x:c>
      <x:c r="I224" s="100" t="n">
        <x:v>250</x:v>
      </x:c>
      <x:c r="J224" s="100" t="n">
        <x:v>0.1</x:v>
      </x:c>
      <x:c r="K224" s="100" t="n">
        <x:v>0.1027146432078299</x:v>
      </x:c>
      <x:c r="L224" s="100" t="n">
        <x:v>-0.002714643207829853</x:v>
      </x:c>
      <x:c r="M224" s="100" t="n">
        <x:v>25</x:v>
      </x:c>
      <x:c r="N224" s="100" t="n">
        <x:v>0.9016262714509087</x:v>
      </x:c>
      <x:c r="O224" s="101" t="b">
        <x:v>1</x:v>
      </x:c>
      <x:c r="P224" t="str">
        <x:v>/Users/jvidale/Documents/Research/FaultScanR/output/20260722_181326_2487/CI_40353552</x:v>
      </x:c>
    </x:row>
    <x:row r="225">
      <x:c r="A225" t="str">
        <x:v>CI_40353552</x:v>
      </x:c>
      <x:c r="B225" s="99" t="str">
        <x:v>00274</x:v>
      </x:c>
      <x:c r="C225" t="str">
        <x:v>Z</x:v>
      </x:c>
      <x:c r="D225" t="str">
        <x:v>R</x:v>
      </x:c>
      <x:c r="E225" t="str">
        <x:v>time shift</x:v>
      </x:c>
      <x:c r="F225" t="str">
        <x:v>S</x:v>
      </x:c>
      <x:c r="G225" s="100" t="n">
        <x:v>3</x:v>
      </x:c>
      <x:c r="H225" s="100" t="n">
        <x:v>10</x:v>
      </x:c>
      <x:c r="I225" s="100" t="n">
        <x:v>250</x:v>
      </x:c>
      <x:c r="J225" s="100" t="n">
        <x:v>0.112</x:v>
      </x:c>
      <x:c r="K225" s="100" t="n">
        <x:v>0.1093830952984467</x:v>
      </x:c>
      <x:c r="L225" s="100" t="n">
        <x:v>0.002616904701553305</x:v>
      </x:c>
      <x:c r="M225" s="100" t="n">
        <x:v>28</x:v>
      </x:c>
      <x:c r="N225" s="100" t="n">
        <x:v>0.8047427017017564</x:v>
      </x:c>
      <x:c r="O225" s="101" t="b">
        <x:v>1</x:v>
      </x:c>
      <x:c r="P225" t="str">
        <x:v>/Users/jvidale/Documents/Research/FaultScanR/output/20260722_181326_2487/CI_40353552</x:v>
      </x:c>
    </x:row>
    <x:row r="226">
      <x:c r="A226" t="str">
        <x:v>CI_40353552</x:v>
      </x:c>
      <x:c r="B226" s="99" t="str">
        <x:v>00275</x:v>
      </x:c>
      <x:c r="C226" t="str">
        <x:v>Z</x:v>
      </x:c>
      <x:c r="D226" t="str">
        <x:v>R</x:v>
      </x:c>
      <x:c r="E226" t="str">
        <x:v>time shift</x:v>
      </x:c>
      <x:c r="F226" t="str">
        <x:v>S</x:v>
      </x:c>
      <x:c r="G226" s="100" t="n">
        <x:v>3</x:v>
      </x:c>
      <x:c r="H226" s="100" t="n">
        <x:v>10</x:v>
      </x:c>
      <x:c r="I226" s="100" t="n">
        <x:v>250</x:v>
      </x:c>
      <x:c r="J226" s="100" t="n">
        <x:v>0.12</x:v>
      </x:c>
      <x:c r="K226" s="100" t="n">
        <x:v>0.1172708363354991</x:v>
      </x:c>
      <x:c r="L226" s="100" t="n">
        <x:v>0.002729163664500933</x:v>
      </x:c>
      <x:c r="M226" s="100" t="n">
        <x:v>30</x:v>
      </x:c>
      <x:c r="N226" s="100" t="n">
        <x:v>0.7968433219275931</x:v>
      </x:c>
      <x:c r="O226" s="101" t="b">
        <x:v>1</x:v>
      </x:c>
      <x:c r="P226" t="str">
        <x:v>/Users/jvidale/Documents/Research/FaultScanR/output/20260722_181326_2487/CI_40353552</x:v>
      </x:c>
    </x:row>
    <x:row r="227">
      <x:c r="A227" t="str">
        <x:v>CI_40353552</x:v>
      </x:c>
      <x:c r="B227" s="99" t="str">
        <x:v>00276</x:v>
      </x:c>
      <x:c r="C227" t="str">
        <x:v>Z</x:v>
      </x:c>
      <x:c r="D227" t="str">
        <x:v>R</x:v>
      </x:c>
      <x:c r="E227" t="str">
        <x:v>time shift</x:v>
      </x:c>
      <x:c r="F227" t="str">
        <x:v>S</x:v>
      </x:c>
      <x:c r="G227" s="100" t="n">
        <x:v>3</x:v>
      </x:c>
      <x:c r="H227" s="100" t="n">
        <x:v>10</x:v>
      </x:c>
      <x:c r="I227" s="100" t="n">
        <x:v>250</x:v>
      </x:c>
      <x:c r="J227" s="100" t="n">
        <x:v>0.12</x:v>
      </x:c>
      <x:c r="K227" s="100" t="n">
        <x:v>0.1256464997214293</x:v>
      </x:c>
      <x:c r="L227" s="100" t="n">
        <x:v>-0.005646499721429277</x:v>
      </x:c>
      <x:c r="M227" s="100" t="n">
        <x:v>30</x:v>
      </x:c>
      <x:c r="N227" s="100" t="n">
        <x:v>0.7958701011368823</x:v>
      </x:c>
      <x:c r="O227" s="101" t="b">
        <x:v>1</x:v>
      </x:c>
      <x:c r="P227" t="str">
        <x:v>/Users/jvidale/Documents/Research/FaultScanR/output/20260722_181326_2487/CI_40353552</x:v>
      </x:c>
    </x:row>
    <x:row r="228">
      <x:c r="A228" t="str">
        <x:v>CI_40353552</x:v>
      </x:c>
      <x:c r="B228" s="99" t="str">
        <x:v>00277</x:v>
      </x:c>
      <x:c r="C228" t="str">
        <x:v>Z</x:v>
      </x:c>
      <x:c r="D228" t="str">
        <x:v>R</x:v>
      </x:c>
      <x:c r="E228" t="str">
        <x:v>time shift</x:v>
      </x:c>
      <x:c r="F228" t="str">
        <x:v>S</x:v>
      </x:c>
      <x:c r="G228" s="100" t="n">
        <x:v>3</x:v>
      </x:c>
      <x:c r="H228" s="100" t="n">
        <x:v>10</x:v>
      </x:c>
      <x:c r="I228" s="100" t="n">
        <x:v>250</x:v>
      </x:c>
      <x:c r="J228" s="100" t="n">
        <x:v>0.136</x:v>
      </x:c>
      <x:c r="K228" s="100" t="n">
        <x:v>0.1350993605254827</x:v>
      </x:c>
      <x:c r="L228" s="100" t="n">
        <x:v>0.0009006394745173507</x:v>
      </x:c>
      <x:c r="M228" s="100" t="n">
        <x:v>34</x:v>
      </x:c>
      <x:c r="N228" s="100" t="n">
        <x:v>0.8683710011187311</x:v>
      </x:c>
      <x:c r="O228" s="101" t="b">
        <x:v>1</x:v>
      </x:c>
      <x:c r="P228" t="str">
        <x:v>/Users/jvidale/Documents/Research/FaultScanR/output/20260722_181326_2487/CI_40353552</x:v>
      </x:c>
    </x:row>
    <x:row r="229">
      <x:c r="A229" t="str">
        <x:v>CI_40353552</x:v>
      </x:c>
      <x:c r="B229" s="99" t="str">
        <x:v>00278</x:v>
      </x:c>
      <x:c r="C229" t="str">
        <x:v>Z</x:v>
      </x:c>
      <x:c r="D229" t="str">
        <x:v>R</x:v>
      </x:c>
      <x:c r="E229" t="str">
        <x:v>time shift</x:v>
      </x:c>
      <x:c r="F229" t="str">
        <x:v>S</x:v>
      </x:c>
      <x:c r="G229" s="100" t="n">
        <x:v>3</x:v>
      </x:c>
      <x:c r="H229" s="100" t="n">
        <x:v>10</x:v>
      </x:c>
      <x:c r="I229" s="100" t="n">
        <x:v>250</x:v>
      </x:c>
      <x:c r="J229" s="100" t="n">
        <x:v>0.14</x:v>
      </x:c>
      <x:c r="K229" s="100" t="n">
        <x:v>0.1449361560745093</x:v>
      </x:c>
      <x:c r="L229" s="100" t="n">
        <x:v>-0.004936156074509257</x:v>
      </x:c>
      <x:c r="M229" s="100" t="n">
        <x:v>35</x:v>
      </x:c>
      <x:c r="N229" s="100" t="n">
        <x:v>0.9711502598919601</x:v>
      </x:c>
      <x:c r="O229" s="101" t="b">
        <x:v>1</x:v>
      </x:c>
      <x:c r="P229" t="str">
        <x:v>/Users/jvidale/Documents/Research/FaultScanR/output/20260722_181326_2487/CI_40353552</x:v>
      </x:c>
    </x:row>
    <x:row r="230">
      <x:c r="A230" t="str">
        <x:v>CI_40353552</x:v>
      </x:c>
      <x:c r="B230" s="99" t="str">
        <x:v>00279</x:v>
      </x:c>
      <x:c r="C230" t="str">
        <x:v>Z</x:v>
      </x:c>
      <x:c r="D230" t="str">
        <x:v>R</x:v>
      </x:c>
      <x:c r="E230" t="str">
        <x:v>time shift</x:v>
      </x:c>
      <x:c r="F230" t="str">
        <x:v>S</x:v>
      </x:c>
      <x:c r="G230" s="100" t="n">
        <x:v>3</x:v>
      </x:c>
      <x:c r="H230" s="100" t="n">
        <x:v>10</x:v>
      </x:c>
      <x:c r="I230" s="100" t="n">
        <x:v>250</x:v>
      </x:c>
      <x:c r="J230" s="100" t="n">
        <x:v>0.108</x:v>
      </x:c>
      <x:c r="K230" s="100" t="n">
        <x:v>0.1502151791541193</x:v>
      </x:c>
      <x:c r="L230" s="100" t="n">
        <x:v>-0.04221517915411931</x:v>
      </x:c>
      <x:c r="M230" s="100" t="n">
        <x:v>27</x:v>
      </x:c>
      <x:c r="N230" s="100" t="n">
        <x:v>0.5659958691207545</x:v>
      </x:c>
      <x:c r="O230" s="101" t="b">
        <x:v>0</x:v>
      </x:c>
      <x:c r="P230" t="str">
        <x:v>/Users/jvidale/Documents/Research/FaultScanR/output/20260722_181326_2487/CI_40353552</x:v>
      </x:c>
    </x:row>
    <x:row r="231">
      <x:c r="A231" t="str">
        <x:v>CI_40353552</x:v>
      </x:c>
      <x:c r="B231" s="99" t="str">
        <x:v>00281</x:v>
      </x:c>
      <x:c r="C231" t="str">
        <x:v>Z</x:v>
      </x:c>
      <x:c r="D231" t="str">
        <x:v>R</x:v>
      </x:c>
      <x:c r="E231" t="str">
        <x:v>time shift</x:v>
      </x:c>
      <x:c r="F231" t="str">
        <x:v>S</x:v>
      </x:c>
      <x:c r="G231" s="100" t="n">
        <x:v>3</x:v>
      </x:c>
      <x:c r="H231" s="100" t="n">
        <x:v>10</x:v>
      </x:c>
      <x:c r="I231" s="100" t="n">
        <x:v>250</x:v>
      </x:c>
      <x:c r="J231" s="100" t="n">
        <x:v>0.2</x:v>
      </x:c>
      <x:c r="K231" s="100" t="n">
        <x:v>0.167340971794296</x:v>
      </x:c>
      <x:c r="L231" s="100" t="n">
        <x:v>0.03265902820570404</x:v>
      </x:c>
      <x:c r="M231" s="100" t="n">
        <x:v>50</x:v>
      </x:c>
      <x:c r="N231" s="100" t="n">
        <x:v>0.7427341134929822</x:v>
      </x:c>
      <x:c r="O231" s="101" t="b">
        <x:v>1</x:v>
      </x:c>
      <x:c r="P231" t="str">
        <x:v>/Users/jvidale/Documents/Research/FaultScanR/output/20260722_181326_2487/CI_40353552</x:v>
      </x:c>
    </x:row>
    <x:row r="232">
      <x:c r="A232" t="str">
        <x:v>CI_40353552</x:v>
      </x:c>
      <x:c r="B232" s="99" t="str">
        <x:v>00282</x:v>
      </x:c>
      <x:c r="C232" t="str">
        <x:v>Z</x:v>
      </x:c>
      <x:c r="D232" t="str">
        <x:v>R</x:v>
      </x:c>
      <x:c r="E232" t="str">
        <x:v>time shift</x:v>
      </x:c>
      <x:c r="F232" t="str">
        <x:v>S</x:v>
      </x:c>
      <x:c r="G232" s="100" t="n">
        <x:v>3</x:v>
      </x:c>
      <x:c r="H232" s="100" t="n">
        <x:v>10</x:v>
      </x:c>
      <x:c r="I232" s="100" t="n">
        <x:v>250</x:v>
      </x:c>
      <x:c r="J232" s="100" t="n">
        <x:v>0.184</x:v>
      </x:c>
      <x:c r="K232" s="100" t="n">
        <x:v>0.1786510706127622</x:v>
      </x:c>
      <x:c r="L232" s="100" t="n">
        <x:v>0.0053489293872378</x:v>
      </x:c>
      <x:c r="M232" s="100" t="n">
        <x:v>46</x:v>
      </x:c>
      <x:c r="N232" s="100" t="n">
        <x:v>0.9761985045794573</x:v>
      </x:c>
      <x:c r="O232" s="101" t="b">
        <x:v>1</x:v>
      </x:c>
      <x:c r="P232" t="str">
        <x:v>/Users/jvidale/Documents/Research/FaultScanR/output/20260722_181326_2487/CI_40353552</x:v>
      </x:c>
    </x:row>
    <x:row r="233">
      <x:c r="A233" t="str">
        <x:v>CI_40353552</x:v>
      </x:c>
      <x:c r="B233" s="99" t="str">
        <x:v>00283</x:v>
      </x:c>
      <x:c r="C233" t="str">
        <x:v>Z</x:v>
      </x:c>
      <x:c r="D233" t="str">
        <x:v>R</x:v>
      </x:c>
      <x:c r="E233" t="str">
        <x:v>time shift</x:v>
      </x:c>
      <x:c r="F233" t="str">
        <x:v>S</x:v>
      </x:c>
      <x:c r="G233" s="100" t="n">
        <x:v>3</x:v>
      </x:c>
      <x:c r="H233" s="100" t="n">
        <x:v>10</x:v>
      </x:c>
      <x:c r="I233" s="100" t="n">
        <x:v>250</x:v>
      </x:c>
      <x:c r="J233" s="100" t="n">
        <x:v>0.176</x:v>
      </x:c>
      <x:c r="K233" s="100" t="n">
        <x:v>0.1853741188452043</x:v>
      </x:c>
      <x:c r="L233" s="100" t="n">
        <x:v>-0.009374118845204282</x:v>
      </x:c>
      <x:c r="M233" s="100" t="n">
        <x:v>44</x:v>
      </x:c>
      <x:c r="N233" s="100" t="n">
        <x:v>0.9427142352326829</x:v>
      </x:c>
      <x:c r="O233" s="101" t="b">
        <x:v>1</x:v>
      </x:c>
      <x:c r="P233" t="str">
        <x:v>/Users/jvidale/Documents/Research/FaultScanR/output/20260722_181326_2487/CI_40353552</x:v>
      </x:c>
    </x:row>
    <x:row r="234">
      <x:c r="A234" t="str">
        <x:v>CI_40353552</x:v>
      </x:c>
      <x:c r="B234" s="99" t="str">
        <x:v>00284</x:v>
      </x:c>
      <x:c r="C234" t="str">
        <x:v>Z</x:v>
      </x:c>
      <x:c r="D234" t="str">
        <x:v>R</x:v>
      </x:c>
      <x:c r="E234" t="str">
        <x:v>time shift</x:v>
      </x:c>
      <x:c r="F234" t="str">
        <x:v>S</x:v>
      </x:c>
      <x:c r="G234" s="100" t="n">
        <x:v>3</x:v>
      </x:c>
      <x:c r="H234" s="100" t="n">
        <x:v>10</x:v>
      </x:c>
      <x:c r="I234" s="100" t="n">
        <x:v>250</x:v>
      </x:c>
      <x:c r="J234" s="100" t="n">
        <x:v>0.228</x:v>
      </x:c>
      <x:c r="K234" s="100" t="n">
        <x:v>0.1964997901143688</x:v>
      </x:c>
      <x:c r="L234" s="100" t="n">
        <x:v>0.03150020988563121</x:v>
      </x:c>
      <x:c r="M234" s="100" t="n">
        <x:v>57</x:v>
      </x:c>
      <x:c r="N234" s="100" t="n">
        <x:v>0.7797042893252258</x:v>
      </x:c>
      <x:c r="O234" s="101" t="b">
        <x:v>1</x:v>
      </x:c>
      <x:c r="P234" t="str">
        <x:v>/Users/jvidale/Documents/Research/FaultScanR/output/20260722_181326_2487/CI_40353552</x:v>
      </x:c>
    </x:row>
    <x:row r="235">
      <x:c r="A235" t="str">
        <x:v>CI_40353552</x:v>
      </x:c>
      <x:c r="B235" s="99" t="str">
        <x:v>00285</x:v>
      </x:c>
      <x:c r="C235" t="str">
        <x:v>Z</x:v>
      </x:c>
      <x:c r="D235" t="str">
        <x:v>R</x:v>
      </x:c>
      <x:c r="E235" t="str">
        <x:v>time shift</x:v>
      </x:c>
      <x:c r="F235" t="str">
        <x:v>S</x:v>
      </x:c>
      <x:c r="G235" s="100" t="n">
        <x:v>3</x:v>
      </x:c>
      <x:c r="H235" s="100" t="n">
        <x:v>10</x:v>
      </x:c>
      <x:c r="I235" s="100" t="n">
        <x:v>250</x:v>
      </x:c>
      <x:c r="J235" s="100" t="n">
        <x:v>0.232</x:v>
      </x:c>
      <x:c r="K235" s="100" t="n">
        <x:v>0.2054618818768903</x:v>
      </x:c>
      <x:c r="L235" s="100" t="n">
        <x:v>0.02653811812310972</x:v>
      </x:c>
      <x:c r="M235" s="100" t="n">
        <x:v>58</x:v>
      </x:c>
      <x:c r="N235" s="100" t="n">
        <x:v>0.7545389595164856</x:v>
      </x:c>
      <x:c r="O235" s="101" t="b">
        <x:v>1</x:v>
      </x:c>
      <x:c r="P235" t="str">
        <x:v>/Users/jvidale/Documents/Research/FaultScanR/output/20260722_181326_2487/CI_40353552</x:v>
      </x:c>
    </x:row>
    <x:row r="236">
      <x:c r="A236" t="str">
        <x:v>CI_40353552</x:v>
      </x:c>
      <x:c r="B236" s="99" t="str">
        <x:v>00286</x:v>
      </x:c>
      <x:c r="C236" t="str">
        <x:v>Z</x:v>
      </x:c>
      <x:c r="D236" t="str">
        <x:v>R</x:v>
      </x:c>
      <x:c r="E236" t="str">
        <x:v>time shift</x:v>
      </x:c>
      <x:c r="F236" t="str">
        <x:v>S</x:v>
      </x:c>
      <x:c r="G236" s="100" t="n">
        <x:v>3</x:v>
      </x:c>
      <x:c r="H236" s="100" t="n">
        <x:v>10</x:v>
      </x:c>
      <x:c r="I236" s="100" t="n">
        <x:v>250</x:v>
      </x:c>
      <x:c r="J236" s="100" t="n">
        <x:v>0.128</x:v>
      </x:c>
      <x:c r="K236" s="100" t="n">
        <x:v>0.1035394256037065</x:v>
      </x:c>
      <x:c r="L236" s="100" t="n">
        <x:v>0.02446057439629346</x:v>
      </x:c>
      <x:c r="M236" s="100" t="n">
        <x:v>32</x:v>
      </x:c>
      <x:c r="N236" s="100" t="n">
        <x:v>0.5091533704211293</x:v>
      </x:c>
      <x:c r="O236" s="101" t="b">
        <x:v>0</x:v>
      </x:c>
      <x:c r="P236" t="str">
        <x:v>/Users/jvidale/Documents/Research/FaultScanR/output/20260722_181326_2487/CI_40353552</x:v>
      </x:c>
    </x:row>
    <x:row r="237">
      <x:c r="A237" t="str">
        <x:v>CI_40353552</x:v>
      </x:c>
      <x:c r="B237" s="99" t="str">
        <x:v>00287</x:v>
      </x:c>
      <x:c r="C237" t="str">
        <x:v>Z</x:v>
      </x:c>
      <x:c r="D237" t="str">
        <x:v>R</x:v>
      </x:c>
      <x:c r="E237" t="str">
        <x:v>time shift</x:v>
      </x:c>
      <x:c r="F237" t="str">
        <x:v>S</x:v>
      </x:c>
      <x:c r="G237" s="100" t="n">
        <x:v>3</x:v>
      </x:c>
      <x:c r="H237" s="100" t="n">
        <x:v>10</x:v>
      </x:c>
      <x:c r="I237" s="100" t="n">
        <x:v>250</x:v>
      </x:c>
      <x:c r="J237" s="100" t="n">
        <x:v>0.096</x:v>
      </x:c>
      <x:c r="K237" s="100" t="n">
        <x:v>0.1086551626098187</x:v>
      </x:c>
      <x:c r="L237" s="100" t="n">
        <x:v>-0.01265516260981867</x:v>
      </x:c>
      <x:c r="M237" s="100" t="n">
        <x:v>24</x:v>
      </x:c>
      <x:c r="N237" s="100" t="n">
        <x:v>0.9115949866679197</x:v>
      </x:c>
      <x:c r="O237" s="101" t="b">
        <x:v>1</x:v>
      </x:c>
      <x:c r="P237" t="str">
        <x:v>/Users/jvidale/Documents/Research/FaultScanR/output/20260722_181326_2487/CI_40353552</x:v>
      </x:c>
    </x:row>
    <x:row r="238">
      <x:c r="A238" t="str">
        <x:v>CI_40353552</x:v>
      </x:c>
      <x:c r="B238" s="99" t="str">
        <x:v>00288</x:v>
      </x:c>
      <x:c r="C238" t="str">
        <x:v>Z</x:v>
      </x:c>
      <x:c r="D238" t="str">
        <x:v>R</x:v>
      </x:c>
      <x:c r="E238" t="str">
        <x:v>time shift</x:v>
      </x:c>
      <x:c r="F238" t="str">
        <x:v>S</x:v>
      </x:c>
      <x:c r="G238" s="100" t="n">
        <x:v>3</x:v>
      </x:c>
      <x:c r="H238" s="100" t="n">
        <x:v>10</x:v>
      </x:c>
      <x:c r="I238" s="100" t="n">
        <x:v>250</x:v>
      </x:c>
      <x:c r="J238" s="100" t="n">
        <x:v>0.108</x:v>
      </x:c>
      <x:c r="K238" s="100" t="n">
        <x:v>0.1155386165796806</x:v>
      </x:c>
      <x:c r="L238" s="100" t="n">
        <x:v>-0.007538616579680565</x:v>
      </x:c>
      <x:c r="M238" s="100" t="n">
        <x:v>27</x:v>
      </x:c>
      <x:c r="N238" s="100" t="n">
        <x:v>0.9608258452577015</x:v>
      </x:c>
      <x:c r="O238" s="101" t="b">
        <x:v>1</x:v>
      </x:c>
      <x:c r="P238" t="str">
        <x:v>/Users/jvidale/Documents/Research/FaultScanR/output/20260722_181326_2487/CI_40353552</x:v>
      </x:c>
    </x:row>
    <x:row r="239">
      <x:c r="A239" t="str">
        <x:v>CI_40353552</x:v>
      </x:c>
      <x:c r="B239" s="99" t="str">
        <x:v>00289</x:v>
      </x:c>
      <x:c r="C239" t="str">
        <x:v>Z</x:v>
      </x:c>
      <x:c r="D239" t="str">
        <x:v>R</x:v>
      </x:c>
      <x:c r="E239" t="str">
        <x:v>time shift</x:v>
      </x:c>
      <x:c r="F239" t="str">
        <x:v>S</x:v>
      </x:c>
      <x:c r="G239" s="100" t="n">
        <x:v>3</x:v>
      </x:c>
      <x:c r="H239" s="100" t="n">
        <x:v>10</x:v>
      </x:c>
      <x:c r="I239" s="100" t="n">
        <x:v>250</x:v>
      </x:c>
      <x:c r="J239" s="100" t="n">
        <x:v>0.12</x:v>
      </x:c>
      <x:c r="K239" s="100" t="n">
        <x:v>0.1258556313150301</x:v>
      </x:c>
      <x:c r="L239" s="100" t="n">
        <x:v>-0.005855631315030085</x:v>
      </x:c>
      <x:c r="M239" s="100" t="n">
        <x:v>30</x:v>
      </x:c>
      <x:c r="N239" s="100" t="n">
        <x:v>0.8682296611494974</x:v>
      </x:c>
      <x:c r="O239" s="101" t="b">
        <x:v>1</x:v>
      </x:c>
      <x:c r="P239" t="str">
        <x:v>/Users/jvidale/Documents/Research/FaultScanR/output/20260722_181326_2487/CI_40353552</x:v>
      </x:c>
    </x:row>
    <x:row r="240">
      <x:c r="A240" t="str">
        <x:v>CI_40353552</x:v>
      </x:c>
      <x:c r="B240" s="99" t="str">
        <x:v>00290</x:v>
      </x:c>
      <x:c r="C240" t="str">
        <x:v>Z</x:v>
      </x:c>
      <x:c r="D240" t="str">
        <x:v>R</x:v>
      </x:c>
      <x:c r="E240" t="str">
        <x:v>time shift</x:v>
      </x:c>
      <x:c r="F240" t="str">
        <x:v>S</x:v>
      </x:c>
      <x:c r="G240" s="100" t="n">
        <x:v>3</x:v>
      </x:c>
      <x:c r="H240" s="100" t="n">
        <x:v>10</x:v>
      </x:c>
      <x:c r="I240" s="100" t="n">
        <x:v>250</x:v>
      </x:c>
      <x:c r="J240" s="100" t="n">
        <x:v>0.14</x:v>
      </x:c>
      <x:c r="K240" s="100" t="n">
        <x:v>0.1326855625541157</x:v>
      </x:c>
      <x:c r="L240" s="100" t="n">
        <x:v>0.007314437445884336</x:v>
      </x:c>
      <x:c r="M240" s="100" t="n">
        <x:v>35</x:v>
      </x:c>
      <x:c r="N240" s="100" t="n">
        <x:v>0.791818265584092</x:v>
      </x:c>
      <x:c r="O240" s="101" t="b">
        <x:v>1</x:v>
      </x:c>
      <x:c r="P240" t="str">
        <x:v>/Users/jvidale/Documents/Research/FaultScanR/output/20260722_181326_2487/CI_40353552</x:v>
      </x:c>
    </x:row>
    <x:row r="241">
      <x:c r="A241" t="str">
        <x:v>CI_40353552</x:v>
      </x:c>
      <x:c r="B241" s="99" t="str">
        <x:v>00291</x:v>
      </x:c>
      <x:c r="C241" t="str">
        <x:v>Z</x:v>
      </x:c>
      <x:c r="D241" t="str">
        <x:v>R</x:v>
      </x:c>
      <x:c r="E241" t="str">
        <x:v>time shift</x:v>
      </x:c>
      <x:c r="F241" t="str">
        <x:v>S</x:v>
      </x:c>
      <x:c r="G241" s="100" t="n">
        <x:v>3</x:v>
      </x:c>
      <x:c r="H241" s="100" t="n">
        <x:v>10</x:v>
      </x:c>
      <x:c r="I241" s="100" t="n">
        <x:v>250</x:v>
      </x:c>
      <x:c r="J241" s="100" t="n">
        <x:v>0.152</x:v>
      </x:c>
      <x:c r="K241" s="100" t="n">
        <x:v>0.1415107363999422</x:v>
      </x:c>
      <x:c r="L241" s="100" t="n">
        <x:v>0.01048926360005784</x:v>
      </x:c>
      <x:c r="M241" s="100" t="n">
        <x:v>38</x:v>
      </x:c>
      <x:c r="N241" s="100" t="n">
        <x:v>0.830410412603064</x:v>
      </x:c>
      <x:c r="O241" s="101" t="b">
        <x:v>1</x:v>
      </x:c>
      <x:c r="P241" t="str">
        <x:v>/Users/jvidale/Documents/Research/FaultScanR/output/20260722_181326_2487/CI_40353552</x:v>
      </x:c>
    </x:row>
    <x:row r="242">
      <x:c r="A242" t="str">
        <x:v>CI_40353552</x:v>
      </x:c>
      <x:c r="B242" s="99" t="str">
        <x:v>00292</x:v>
      </x:c>
      <x:c r="C242" t="str">
        <x:v>Z</x:v>
      </x:c>
      <x:c r="D242" t="str">
        <x:v>R</x:v>
      </x:c>
      <x:c r="E242" t="str">
        <x:v>time shift</x:v>
      </x:c>
      <x:c r="F242" t="str">
        <x:v>S</x:v>
      </x:c>
      <x:c r="G242" s="100" t="n">
        <x:v>3</x:v>
      </x:c>
      <x:c r="H242" s="100" t="n">
        <x:v>10</x:v>
      </x:c>
      <x:c r="I242" s="100" t="n">
        <x:v>250</x:v>
      </x:c>
      <x:c r="J242" s="100" t="n">
        <x:v>0.18</x:v>
      </x:c>
      <x:c r="K242" s="100" t="n">
        <x:v>0.1479981690429097</x:v>
      </x:c>
      <x:c r="L242" s="100" t="n">
        <x:v>0.03200183095709025</x:v>
      </x:c>
      <x:c r="M242" s="100" t="n">
        <x:v>45</x:v>
      </x:c>
      <x:c r="N242" s="100" t="n">
        <x:v>0.5074868634647298</x:v>
      </x:c>
      <x:c r="O242" s="101" t="b">
        <x:v>0</x:v>
      </x:c>
      <x:c r="P242" t="str">
        <x:v>/Users/jvidale/Documents/Research/FaultScanR/output/20260722_181326_2487/CI_40353552</x:v>
      </x:c>
    </x:row>
    <x:row r="243">
      <x:c r="A243" t="str">
        <x:v>CI_40353552</x:v>
      </x:c>
      <x:c r="B243" s="99" t="str">
        <x:v>00293</x:v>
      </x:c>
      <x:c r="C243" t="str">
        <x:v>Z</x:v>
      </x:c>
      <x:c r="D243" t="str">
        <x:v>R</x:v>
      </x:c>
      <x:c r="E243" t="str">
        <x:v>time shift</x:v>
      </x:c>
      <x:c r="F243" t="str">
        <x:v>S</x:v>
      </x:c>
      <x:c r="G243" s="100" t="n">
        <x:v>3</x:v>
      </x:c>
      <x:c r="H243" s="100" t="n">
        <x:v>10</x:v>
      </x:c>
      <x:c r="I243" s="100" t="n">
        <x:v>250</x:v>
      </x:c>
      <x:c r="J243" s="100" t="n">
        <x:v>0.16</x:v>
      </x:c>
      <x:c r="K243" s="100" t="n">
        <x:v>0.1576057366504724</x:v>
      </x:c>
      <x:c r="L243" s="100" t="n">
        <x:v>0.002394263349527609</x:v>
      </x:c>
      <x:c r="M243" s="100" t="n">
        <x:v>40</x:v>
      </x:c>
      <x:c r="N243" s="100" t="n">
        <x:v>0.7957846259407482</x:v>
      </x:c>
      <x:c r="O243" s="101" t="b">
        <x:v>1</x:v>
      </x:c>
      <x:c r="P243" t="str">
        <x:v>/Users/jvidale/Documents/Research/FaultScanR/output/20260722_181326_2487/CI_40353552</x:v>
      </x:c>
    </x:row>
    <x:row r="244">
      <x:c r="A244" t="str">
        <x:v>CI_40353552</x:v>
      </x:c>
      <x:c r="B244" s="99" t="str">
        <x:v>00294</x:v>
      </x:c>
      <x:c r="C244" t="str">
        <x:v>Z</x:v>
      </x:c>
      <x:c r="D244" t="str">
        <x:v>R</x:v>
      </x:c>
      <x:c r="E244" t="str">
        <x:v>time shift</x:v>
      </x:c>
      <x:c r="F244" t="str">
        <x:v>S</x:v>
      </x:c>
      <x:c r="G244" s="100" t="n">
        <x:v>3</x:v>
      </x:c>
      <x:c r="H244" s="100" t="n">
        <x:v>10</x:v>
      </x:c>
      <x:c r="I244" s="100" t="n">
        <x:v>250</x:v>
      </x:c>
      <x:c r="J244" s="100" t="n">
        <x:v>0.144</x:v>
      </x:c>
      <x:c r="K244" s="100" t="n">
        <x:v>0.165491062365561</x:v>
      </x:c>
      <x:c r="L244" s="100" t="n">
        <x:v>-0.021491062365561</x:v>
      </x:c>
      <x:c r="M244" s="100" t="n">
        <x:v>36</x:v>
      </x:c>
      <x:c r="N244" s="100" t="n">
        <x:v>0.8397777287945756</x:v>
      </x:c>
      <x:c r="O244" s="101" t="b">
        <x:v>1</x:v>
      </x:c>
      <x:c r="P244" t="str">
        <x:v>/Users/jvidale/Documents/Research/FaultScanR/output/20260722_181326_2487/CI_40353552</x:v>
      </x:c>
    </x:row>
    <x:row r="245">
      <x:c r="A245" t="str">
        <x:v>CI_40353552</x:v>
      </x:c>
      <x:c r="B245" s="99" t="str">
        <x:v>00295</x:v>
      </x:c>
      <x:c r="C245" t="str">
        <x:v>Z</x:v>
      </x:c>
      <x:c r="D245" t="str">
        <x:v>R</x:v>
      </x:c>
      <x:c r="E245" t="str">
        <x:v>time shift</x:v>
      </x:c>
      <x:c r="F245" t="str">
        <x:v>S</x:v>
      </x:c>
      <x:c r="G245" s="100" t="n">
        <x:v>3</x:v>
      </x:c>
      <x:c r="H245" s="100" t="n">
        <x:v>10</x:v>
      </x:c>
      <x:c r="I245" s="100" t="n">
        <x:v>250</x:v>
      </x:c>
      <x:c r="J245" s="100" t="n">
        <x:v>0.128</x:v>
      </x:c>
      <x:c r="K245" s="100" t="n">
        <x:v>0.1759933038776849</x:v>
      </x:c>
      <x:c r="L245" s="100" t="n">
        <x:v>-0.04799330387768486</x:v>
      </x:c>
      <x:c r="M245" s="100" t="n">
        <x:v>32</x:v>
      </x:c>
      <x:c r="N245" s="100" t="n">
        <x:v>0.7939683630689457</x:v>
      </x:c>
      <x:c r="O245" s="101" t="b">
        <x:v>1</x:v>
      </x:c>
      <x:c r="P245" t="str">
        <x:v>/Users/jvidale/Documents/Research/FaultScanR/output/20260722_181326_2487/CI_40353552</x:v>
      </x:c>
    </x:row>
    <x:row r="246">
      <x:c r="A246" t="str">
        <x:v>CI_40353552</x:v>
      </x:c>
      <x:c r="B246" s="99" t="str">
        <x:v>00297</x:v>
      </x:c>
      <x:c r="C246" t="str">
        <x:v>Z</x:v>
      </x:c>
      <x:c r="D246" t="str">
        <x:v>R</x:v>
      </x:c>
      <x:c r="E246" t="str">
        <x:v>time shift</x:v>
      </x:c>
      <x:c r="F246" t="str">
        <x:v>S</x:v>
      </x:c>
      <x:c r="G246" s="100" t="n">
        <x:v>3</x:v>
      </x:c>
      <x:c r="H246" s="100" t="n">
        <x:v>10</x:v>
      </x:c>
      <x:c r="I246" s="100" t="n">
        <x:v>250</x:v>
      </x:c>
      <x:c r="J246" s="100" t="n">
        <x:v>0.192</x:v>
      </x:c>
      <x:c r="K246" s="100" t="n">
        <x:v>0.1931365414110031</x:v>
      </x:c>
      <x:c r="L246" s="100" t="n">
        <x:v>-0.001136541411003111</x:v>
      </x:c>
      <x:c r="M246" s="100" t="n">
        <x:v>48</x:v>
      </x:c>
      <x:c r="N246" s="100" t="n">
        <x:v>0.9071491865132193</x:v>
      </x:c>
      <x:c r="O246" s="101" t="b">
        <x:v>1</x:v>
      </x:c>
      <x:c r="P246" t="str">
        <x:v>/Users/jvidale/Documents/Research/FaultScanR/output/20260722_181326_2487/CI_40353552</x:v>
      </x:c>
    </x:row>
    <x:row r="247">
      <x:c r="A247" t="str">
        <x:v>CI_40353552</x:v>
      </x:c>
      <x:c r="B247" s="99" t="str">
        <x:v>00298</x:v>
      </x:c>
      <x:c r="C247" t="str">
        <x:v>Z</x:v>
      </x:c>
      <x:c r="D247" t="str">
        <x:v>R</x:v>
      </x:c>
      <x:c r="E247" t="str">
        <x:v>time shift</x:v>
      </x:c>
      <x:c r="F247" t="str">
        <x:v>S</x:v>
      </x:c>
      <x:c r="G247" s="100" t="n">
        <x:v>3</x:v>
      </x:c>
      <x:c r="H247" s="100" t="n">
        <x:v>10</x:v>
      </x:c>
      <x:c r="I247" s="100" t="n">
        <x:v>250</x:v>
      </x:c>
      <x:c r="J247" s="100" t="n">
        <x:v>0.204</x:v>
      </x:c>
      <x:c r="K247" s="100" t="n">
        <x:v>0.1987389462890441</x:v>
      </x:c>
      <x:c r="L247" s="100" t="n">
        <x:v>0.005261053710955893</x:v>
      </x:c>
      <x:c r="M247" s="100" t="n">
        <x:v>51</x:v>
      </x:c>
      <x:c r="N247" s="100" t="n">
        <x:v>0.9175238029835171</x:v>
      </x:c>
      <x:c r="O247" s="101" t="b">
        <x:v>1</x:v>
      </x:c>
      <x:c r="P247" t="str">
        <x:v>/Users/jvidale/Documents/Research/FaultScanR/output/20260722_181326_2487/CI_40353552</x:v>
      </x:c>
    </x:row>
    <x:row r="248">
      <x:c r="A248" t="str">
        <x:v>CI_40353552</x:v>
      </x:c>
      <x:c r="B248" s="99" t="str">
        <x:v>00299</x:v>
      </x:c>
      <x:c r="C248" t="str">
        <x:v>Z</x:v>
      </x:c>
      <x:c r="D248" t="str">
        <x:v>R</x:v>
      </x:c>
      <x:c r="E248" t="str">
        <x:v>time shift</x:v>
      </x:c>
      <x:c r="F248" t="str">
        <x:v>S</x:v>
      </x:c>
      <x:c r="G248" s="100" t="n">
        <x:v>3</x:v>
      </x:c>
      <x:c r="H248" s="100" t="n">
        <x:v>10</x:v>
      </x:c>
      <x:c r="I248" s="100" t="n">
        <x:v>250</x:v>
      </x:c>
      <x:c r="J248" s="100" t="n">
        <x:v>0.208</x:v>
      </x:c>
      <x:c r="K248" s="100" t="n">
        <x:v>0.2103511122896862</x:v>
      </x:c>
      <x:c r="L248" s="100" t="n">
        <x:v>-0.00235111228968618</x:v>
      </x:c>
      <x:c r="M248" s="100" t="n">
        <x:v>52</x:v>
      </x:c>
      <x:c r="N248" s="100" t="n">
        <x:v>0.9219806517581498</x:v>
      </x:c>
      <x:c r="O248" s="101" t="b">
        <x:v>1</x:v>
      </x:c>
      <x:c r="P248" t="str">
        <x:v>/Users/jvidale/Documents/Research/FaultScanR/output/20260722_181326_2487/CI_40353552</x:v>
      </x:c>
    </x:row>
    <x:row r="249">
      <x:c r="A249" t="str">
        <x:v>CI_40353552</x:v>
      </x:c>
      <x:c r="B249" s="99" t="str">
        <x:v>00300</x:v>
      </x:c>
      <x:c r="C249" t="str">
        <x:v>Z</x:v>
      </x:c>
      <x:c r="D249" t="str">
        <x:v>R</x:v>
      </x:c>
      <x:c r="E249" t="str">
        <x:v>time shift</x:v>
      </x:c>
      <x:c r="F249" t="str">
        <x:v>S</x:v>
      </x:c>
      <x:c r="G249" s="100" t="n">
        <x:v>3</x:v>
      </x:c>
      <x:c r="H249" s="100" t="n">
        <x:v>10</x:v>
      </x:c>
      <x:c r="I249" s="100" t="n">
        <x:v>250</x:v>
      </x:c>
      <x:c r="J249" s="100" t="n">
        <x:v>0.244</x:v>
      </x:c>
      <x:c r="K249" s="100" t="n">
        <x:v>0.2185384941603212</x:v>
      </x:c>
      <x:c r="L249" s="100" t="n">
        <x:v>0.02546150583967877</x:v>
      </x:c>
      <x:c r="M249" s="100" t="n">
        <x:v>61</x:v>
      </x:c>
      <x:c r="N249" s="100" t="n">
        <x:v>0.6827686634616686</x:v>
      </x:c>
      <x:c r="O249" s="101" t="b">
        <x:v>1</x:v>
      </x:c>
      <x:c r="P249" t="str">
        <x:v>/Users/jvidale/Documents/Research/FaultScanR/output/20260722_181326_2487/CI_40353552</x:v>
      </x:c>
    </x:row>
    <x:row r="250">
      <x:c r="A250" t="str">
        <x:v>CI_40353552</x:v>
      </x:c>
      <x:c r="B250" s="99" t="str">
        <x:v>00301</x:v>
      </x:c>
      <x:c r="C250" t="str">
        <x:v>Z</x:v>
      </x:c>
      <x:c r="D250" t="str">
        <x:v>R</x:v>
      </x:c>
      <x:c r="E250" t="str">
        <x:v>time shift</x:v>
      </x:c>
      <x:c r="F250" t="str">
        <x:v>S</x:v>
      </x:c>
      <x:c r="G250" s="100" t="n">
        <x:v>3</x:v>
      </x:c>
      <x:c r="H250" s="100" t="n">
        <x:v>10</x:v>
      </x:c>
      <x:c r="I250" s="100" t="n">
        <x:v>250</x:v>
      </x:c>
      <x:c r="J250" s="100" t="n">
        <x:v>0.236</x:v>
      </x:c>
      <x:c r="K250" s="100" t="n">
        <x:v>0.2257409342570886</x:v>
      </x:c>
      <x:c r="L250" s="100" t="n">
        <x:v>0.01025906574291136</x:v>
      </x:c>
      <x:c r="M250" s="100" t="n">
        <x:v>59</x:v>
      </x:c>
      <x:c r="N250" s="100" t="n">
        <x:v>0.5364904743389852</x:v>
      </x:c>
      <x:c r="O250" s="101" t="b">
        <x:v>0</x:v>
      </x:c>
      <x:c r="P250" t="str">
        <x:v>/Users/jvidale/Documents/Research/FaultScanR/output/20260722_181326_2487/CI_40353552</x:v>
      </x:c>
    </x:row>
    <x:row r="251">
      <x:c r="A251" t="str">
        <x:v>CI_40353552</x:v>
      </x:c>
      <x:c r="B251" s="99" t="str">
        <x:v>00302</x:v>
      </x:c>
      <x:c r="C251" t="str">
        <x:v>Z</x:v>
      </x:c>
      <x:c r="D251" t="str">
        <x:v>R</x:v>
      </x:c>
      <x:c r="E251" t="str">
        <x:v>time shift</x:v>
      </x:c>
      <x:c r="F251" t="str">
        <x:v>S</x:v>
      </x:c>
      <x:c r="G251" s="100" t="n">
        <x:v>3</x:v>
      </x:c>
      <x:c r="H251" s="100" t="n">
        <x:v>10</x:v>
      </x:c>
      <x:c r="I251" s="100" t="n">
        <x:v>250</x:v>
      </x:c>
      <x:c r="J251" s="100" t="n">
        <x:v>0.096</x:v>
      </x:c>
      <x:c r="K251" s="100" t="n">
        <x:v>0.1244417388069721</x:v>
      </x:c>
      <x:c r="L251" s="100" t="n">
        <x:v>-0.02844173880697207</x:v>
      </x:c>
      <x:c r="M251" s="100" t="n">
        <x:v>24</x:v>
      </x:c>
      <x:c r="N251" s="100" t="n">
        <x:v>0.7341016557509211</x:v>
      </x:c>
      <x:c r="O251" s="101" t="b">
        <x:v>1</x:v>
      </x:c>
      <x:c r="P251" t="str">
        <x:v>/Users/jvidale/Documents/Research/FaultScanR/output/20260722_181326_2487/CI_40353552</x:v>
      </x:c>
    </x:row>
    <x:row r="252">
      <x:c r="A252" t="str">
        <x:v>CI_40353552</x:v>
      </x:c>
      <x:c r="B252" s="99" t="str">
        <x:v>00304</x:v>
      </x:c>
      <x:c r="C252" t="str">
        <x:v>Z</x:v>
      </x:c>
      <x:c r="D252" t="str">
        <x:v>R</x:v>
      </x:c>
      <x:c r="E252" t="str">
        <x:v>time shift</x:v>
      </x:c>
      <x:c r="F252" t="str">
        <x:v>S</x:v>
      </x:c>
      <x:c r="G252" s="100" t="n">
        <x:v>3</x:v>
      </x:c>
      <x:c r="H252" s="100" t="n">
        <x:v>10</x:v>
      </x:c>
      <x:c r="I252" s="100" t="n">
        <x:v>250</x:v>
      </x:c>
      <x:c r="J252" s="100" t="n">
        <x:v>0.128</x:v>
      </x:c>
      <x:c r="K252" s="100" t="n">
        <x:v>0.1407428920537477</x:v>
      </x:c>
      <x:c r="L252" s="100" t="n">
        <x:v>-0.01274289205374768</x:v>
      </x:c>
      <x:c r="M252" s="100" t="n">
        <x:v>32</x:v>
      </x:c>
      <x:c r="N252" s="100" t="n">
        <x:v>0.9402444507198183</x:v>
      </x:c>
      <x:c r="O252" s="101" t="b">
        <x:v>1</x:v>
      </x:c>
      <x:c r="P252" t="str">
        <x:v>/Users/jvidale/Documents/Research/FaultScanR/output/20260722_181326_2487/CI_40353552</x:v>
      </x:c>
    </x:row>
    <x:row r="253">
      <x:c r="A253" t="str">
        <x:v>CI_40353552</x:v>
      </x:c>
      <x:c r="B253" s="99" t="str">
        <x:v>00305</x:v>
      </x:c>
      <x:c r="C253" t="str">
        <x:v>Z</x:v>
      </x:c>
      <x:c r="D253" t="str">
        <x:v>R</x:v>
      </x:c>
      <x:c r="E253" t="str">
        <x:v>time shift</x:v>
      </x:c>
      <x:c r="F253" t="str">
        <x:v>S</x:v>
      </x:c>
      <x:c r="G253" s="100" t="n">
        <x:v>3</x:v>
      </x:c>
      <x:c r="H253" s="100" t="n">
        <x:v>10</x:v>
      </x:c>
      <x:c r="I253" s="100" t="n">
        <x:v>250</x:v>
      </x:c>
      <x:c r="J253" s="100" t="n">
        <x:v>0.128</x:v>
      </x:c>
      <x:c r="K253" s="100" t="n">
        <x:v>0.1484134785440707</x:v>
      </x:c>
      <x:c r="L253" s="100" t="n">
        <x:v>-0.02041347854407072</x:v>
      </x:c>
      <x:c r="M253" s="100" t="n">
        <x:v>32</x:v>
      </x:c>
      <x:c r="N253" s="100" t="n">
        <x:v>0.8591088211085061</x:v>
      </x:c>
      <x:c r="O253" s="101" t="b">
        <x:v>1</x:v>
      </x:c>
      <x:c r="P253" t="str">
        <x:v>/Users/jvidale/Documents/Research/FaultScanR/output/20260722_181326_2487/CI_40353552</x:v>
      </x:c>
    </x:row>
    <x:row r="254">
      <x:c r="A254" t="str">
        <x:v>CI_40353552</x:v>
      </x:c>
      <x:c r="B254" s="99" t="str">
        <x:v>00306</x:v>
      </x:c>
      <x:c r="C254" t="str">
        <x:v>Z</x:v>
      </x:c>
      <x:c r="D254" t="str">
        <x:v>R</x:v>
      </x:c>
      <x:c r="E254" t="str">
        <x:v>time shift</x:v>
      </x:c>
      <x:c r="F254" t="str">
        <x:v>S</x:v>
      </x:c>
      <x:c r="G254" s="100" t="n">
        <x:v>3</x:v>
      </x:c>
      <x:c r="H254" s="100" t="n">
        <x:v>10</x:v>
      </x:c>
      <x:c r="I254" s="100" t="n">
        <x:v>250</x:v>
      </x:c>
      <x:c r="J254" s="100" t="n">
        <x:v>0.148</x:v>
      </x:c>
      <x:c r="K254" s="100" t="n">
        <x:v>0.1555519647502752</x:v>
      </x:c>
      <x:c r="L254" s="100" t="n">
        <x:v>-0.007551964750275225</x:v>
      </x:c>
      <x:c r="M254" s="100" t="n">
        <x:v>37</x:v>
      </x:c>
      <x:c r="N254" s="100" t="n">
        <x:v>0.933104580366695</x:v>
      </x:c>
      <x:c r="O254" s="101" t="b">
        <x:v>1</x:v>
      </x:c>
      <x:c r="P254" t="str">
        <x:v>/Users/jvidale/Documents/Research/FaultScanR/output/20260722_181326_2487/CI_40353552</x:v>
      </x:c>
    </x:row>
    <x:row r="255">
      <x:c r="A255" t="str">
        <x:v>CI_40353552</x:v>
      </x:c>
      <x:c r="B255" s="99" t="str">
        <x:v>00307</x:v>
      </x:c>
      <x:c r="C255" t="str">
        <x:v>Z</x:v>
      </x:c>
      <x:c r="D255" t="str">
        <x:v>R</x:v>
      </x:c>
      <x:c r="E255" t="str">
        <x:v>time shift</x:v>
      </x:c>
      <x:c r="F255" t="str">
        <x:v>S</x:v>
      </x:c>
      <x:c r="G255" s="100" t="n">
        <x:v>3</x:v>
      </x:c>
      <x:c r="H255" s="100" t="n">
        <x:v>10</x:v>
      </x:c>
      <x:c r="I255" s="100" t="n">
        <x:v>250</x:v>
      </x:c>
      <x:c r="J255" s="100" t="n">
        <x:v>0.168</x:v>
      </x:c>
      <x:c r="K255" s="100" t="n">
        <x:v>0.1640585728300437</x:v>
      </x:c>
      <x:c r="L255" s="100" t="n">
        <x:v>0.003941427169956352</x:v>
      </x:c>
      <x:c r="M255" s="100" t="n">
        <x:v>42</x:v>
      </x:c>
      <x:c r="N255" s="100" t="n">
        <x:v>0.8916612438244469</x:v>
      </x:c>
      <x:c r="O255" s="101" t="b">
        <x:v>1</x:v>
      </x:c>
      <x:c r="P255" t="str">
        <x:v>/Users/jvidale/Documents/Research/FaultScanR/output/20260722_181326_2487/CI_40353552</x:v>
      </x:c>
    </x:row>
    <x:row r="256">
      <x:c r="A256" t="str">
        <x:v>CI_40353552</x:v>
      </x:c>
      <x:c r="B256" s="99" t="str">
        <x:v>00308</x:v>
      </x:c>
      <x:c r="C256" t="str">
        <x:v>Z</x:v>
      </x:c>
      <x:c r="D256" t="str">
        <x:v>R</x:v>
      </x:c>
      <x:c r="E256" t="str">
        <x:v>time shift</x:v>
      </x:c>
      <x:c r="F256" t="str">
        <x:v>S</x:v>
      </x:c>
      <x:c r="G256" s="100" t="n">
        <x:v>3</x:v>
      </x:c>
      <x:c r="H256" s="100" t="n">
        <x:v>10</x:v>
      </x:c>
      <x:c r="I256" s="100" t="n">
        <x:v>250</x:v>
      </x:c>
      <x:c r="J256" s="100" t="n">
        <x:v>0.184</x:v>
      </x:c>
      <x:c r="K256" s="100" t="n">
        <x:v>0.1713900579094174</x:v>
      </x:c>
      <x:c r="L256" s="100" t="n">
        <x:v>0.01260994209058258</x:v>
      </x:c>
      <x:c r="M256" s="100" t="n">
        <x:v>46</x:v>
      </x:c>
      <x:c r="N256" s="100" t="n">
        <x:v>0.7911417139194211</x:v>
      </x:c>
      <x:c r="O256" s="101" t="b">
        <x:v>1</x:v>
      </x:c>
      <x:c r="P256" t="str">
        <x:v>/Users/jvidale/Documents/Research/FaultScanR/output/20260722_181326_2487/CI_40353552</x:v>
      </x:c>
    </x:row>
    <x:row r="257">
      <x:c r="A257" t="str">
        <x:v>CI_40353552</x:v>
      </x:c>
      <x:c r="B257" s="99" t="str">
        <x:v>00309</x:v>
      </x:c>
      <x:c r="C257" t="str">
        <x:v>Z</x:v>
      </x:c>
      <x:c r="D257" t="str">
        <x:v>R</x:v>
      </x:c>
      <x:c r="E257" t="str">
        <x:v>time shift</x:v>
      </x:c>
      <x:c r="F257" t="str">
        <x:v>S</x:v>
      </x:c>
      <x:c r="G257" s="100" t="n">
        <x:v>3</x:v>
      </x:c>
      <x:c r="H257" s="100" t="n">
        <x:v>10</x:v>
      </x:c>
      <x:c r="I257" s="100" t="n">
        <x:v>250</x:v>
      </x:c>
      <x:c r="J257" s="100" t="n">
        <x:v>0.144</x:v>
      </x:c>
      <x:c r="K257" s="100" t="n">
        <x:v>0.1802188061584946</x:v>
      </x:c>
      <x:c r="L257" s="100" t="n">
        <x:v>-0.03621880615849463</x:v>
      </x:c>
      <x:c r="M257" s="100" t="n">
        <x:v>36</x:v>
      </x:c>
      <x:c r="N257" s="100" t="n">
        <x:v>0.6524591241342852</x:v>
      </x:c>
      <x:c r="O257" s="101" t="b">
        <x:v>1</x:v>
      </x:c>
      <x:c r="P257" t="str">
        <x:v>/Users/jvidale/Documents/Research/FaultScanR/output/20260722_181326_2487/CI_40353552</x:v>
      </x:c>
    </x:row>
    <x:row r="258">
      <x:c r="A258" t="str">
        <x:v>CI_40353552</x:v>
      </x:c>
      <x:c r="B258" s="99" t="str">
        <x:v>00310</x:v>
      </x:c>
      <x:c r="C258" t="str">
        <x:v>Z</x:v>
      </x:c>
      <x:c r="D258" t="str">
        <x:v>R</x:v>
      </x:c>
      <x:c r="E258" t="str">
        <x:v>time shift</x:v>
      </x:c>
      <x:c r="F258" t="str">
        <x:v>S</x:v>
      </x:c>
      <x:c r="G258" s="100" t="n">
        <x:v>3</x:v>
      </x:c>
      <x:c r="H258" s="100" t="n">
        <x:v>10</x:v>
      </x:c>
      <x:c r="I258" s="100" t="n">
        <x:v>250</x:v>
      </x:c>
      <x:c r="J258" s="100" t="n">
        <x:v>0.14</x:v>
      </x:c>
      <x:c r="K258" s="100" t="n">
        <x:v>0.1876614539807093</x:v>
      </x:c>
      <x:c r="L258" s="100" t="n">
        <x:v>-0.04766145398070931</x:v>
      </x:c>
      <x:c r="M258" s="100" t="n">
        <x:v>35</x:v>
      </x:c>
      <x:c r="N258" s="100" t="n">
        <x:v>0.9262838675937144</x:v>
      </x:c>
      <x:c r="O258" s="101" t="b">
        <x:v>1</x:v>
      </x:c>
      <x:c r="P258" t="str">
        <x:v>/Users/jvidale/Documents/Research/FaultScanR/output/20260722_181326_2487/CI_40353552</x:v>
      </x:c>
    </x:row>
    <x:row r="259">
      <x:c r="A259" t="str">
        <x:v>CI_40353552</x:v>
      </x:c>
      <x:c r="B259" s="99" t="str">
        <x:v>00311</x:v>
      </x:c>
      <x:c r="C259" t="str">
        <x:v>Z</x:v>
      </x:c>
      <x:c r="D259" t="str">
        <x:v>R</x:v>
      </x:c>
      <x:c r="E259" t="str">
        <x:v>time shift</x:v>
      </x:c>
      <x:c r="F259" t="str">
        <x:v>S</x:v>
      </x:c>
      <x:c r="G259" s="100" t="n">
        <x:v>3</x:v>
      </x:c>
      <x:c r="H259" s="100" t="n">
        <x:v>10</x:v>
      </x:c>
      <x:c r="I259" s="100" t="n">
        <x:v>250</x:v>
      </x:c>
      <x:c r="J259" s="100" t="n">
        <x:v>0.152</x:v>
      </x:c>
      <x:c r="K259" s="100" t="n">
        <x:v>0.1931850482449615</x:v>
      </x:c>
      <x:c r="L259" s="100" t="n">
        <x:v>-0.04118504824496153</x:v>
      </x:c>
      <x:c r="M259" s="100" t="n">
        <x:v>38</x:v>
      </x:c>
      <x:c r="N259" s="100" t="n">
        <x:v>0.754063567500556</x:v>
      </x:c>
      <x:c r="O259" s="101" t="b">
        <x:v>1</x:v>
      </x:c>
      <x:c r="P259" t="str">
        <x:v>/Users/jvidale/Documents/Research/FaultScanR/output/20260722_181326_2487/CI_40353552</x:v>
      </x:c>
    </x:row>
    <x:row r="260">
      <x:c r="A260" t="str">
        <x:v>CI_40353552</x:v>
      </x:c>
      <x:c r="B260" s="99" t="str">
        <x:v>00313</x:v>
      </x:c>
      <x:c r="C260" t="str">
        <x:v>Z</x:v>
      </x:c>
      <x:c r="D260" t="str">
        <x:v>R</x:v>
      </x:c>
      <x:c r="E260" t="str">
        <x:v>time shift</x:v>
      </x:c>
      <x:c r="F260" t="str">
        <x:v>S</x:v>
      </x:c>
      <x:c r="G260" s="100" t="n">
        <x:v>3</x:v>
      </x:c>
      <x:c r="H260" s="100" t="n">
        <x:v>10</x:v>
      </x:c>
      <x:c r="I260" s="100" t="n">
        <x:v>250</x:v>
      </x:c>
      <x:c r="J260" s="100" t="n">
        <x:v>0.2</x:v>
      </x:c>
      <x:c r="K260" s="100" t="n">
        <x:v>0.21486871833552</x:v>
      </x:c>
      <x:c r="L260" s="100" t="n">
        <x:v>-0.01486871833552</x:v>
      </x:c>
      <x:c r="M260" s="100" t="n">
        <x:v>50</x:v>
      </x:c>
      <x:c r="N260" s="100" t="n">
        <x:v>0.767874505528594</x:v>
      </x:c>
      <x:c r="O260" s="101" t="b">
        <x:v>1</x:v>
      </x:c>
      <x:c r="P260" t="str">
        <x:v>/Users/jvidale/Documents/Research/FaultScanR/output/20260722_181326_2487/CI_40353552</x:v>
      </x:c>
    </x:row>
    <x:row r="261">
      <x:c r="A261" t="str">
        <x:v>CI_40353552</x:v>
      </x:c>
      <x:c r="B261" s="99" t="str">
        <x:v>00314</x:v>
      </x:c>
      <x:c r="C261" t="str">
        <x:v>Z</x:v>
      </x:c>
      <x:c r="D261" t="str">
        <x:v>R</x:v>
      </x:c>
      <x:c r="E261" t="str">
        <x:v>time shift</x:v>
      </x:c>
      <x:c r="F261" t="str">
        <x:v>S</x:v>
      </x:c>
      <x:c r="G261" s="100" t="n">
        <x:v>3</x:v>
      </x:c>
      <x:c r="H261" s="100" t="n">
        <x:v>10</x:v>
      </x:c>
      <x:c r="I261" s="100" t="n">
        <x:v>250</x:v>
      </x:c>
      <x:c r="J261" s="100" t="n">
        <x:v>0.22</x:v>
      </x:c>
      <x:c r="K261" s="100" t="n">
        <x:v>0.2221460715588925</x:v>
      </x:c>
      <x:c r="L261" s="100" t="n">
        <x:v>-0.002146071558892543</x:v>
      </x:c>
      <x:c r="M261" s="100" t="n">
        <x:v>55</x:v>
      </x:c>
      <x:c r="N261" s="100" t="n">
        <x:v>0.8526888358987954</x:v>
      </x:c>
      <x:c r="O261" s="101" t="b">
        <x:v>1</x:v>
      </x:c>
      <x:c r="P261" t="str">
        <x:v>/Users/jvidale/Documents/Research/FaultScanR/output/20260722_181326_2487/CI_40353552</x:v>
      </x:c>
    </x:row>
    <x:row r="262">
      <x:c r="A262" t="str">
        <x:v>CI_40353552</x:v>
      </x:c>
      <x:c r="B262" s="99" t="str">
        <x:v>00315</x:v>
      </x:c>
      <x:c r="C262" t="str">
        <x:v>Z</x:v>
      </x:c>
      <x:c r="D262" t="str">
        <x:v>R</x:v>
      </x:c>
      <x:c r="E262" t="str">
        <x:v>time shift</x:v>
      </x:c>
      <x:c r="F262" t="str">
        <x:v>S</x:v>
      </x:c>
      <x:c r="G262" s="100" t="n">
        <x:v>3</x:v>
      </x:c>
      <x:c r="H262" s="100" t="n">
        <x:v>10</x:v>
      </x:c>
      <x:c r="I262" s="100" t="n">
        <x:v>250</x:v>
      </x:c>
      <x:c r="J262" s="100" t="n">
        <x:v>0.228</x:v>
      </x:c>
      <x:c r="K262" s="100" t="n">
        <x:v>0.2302851796598393</x:v>
      </x:c>
      <x:c r="L262" s="100" t="n">
        <x:v>-0.002285179659839293</x:v>
      </x:c>
      <x:c r="M262" s="100" t="n">
        <x:v>57</x:v>
      </x:c>
      <x:c r="N262" s="100" t="n">
        <x:v>0.9042973203068864</x:v>
      </x:c>
      <x:c r="O262" s="101" t="b">
        <x:v>1</x:v>
      </x:c>
      <x:c r="P262" t="str">
        <x:v>/Users/jvidale/Documents/Research/FaultScanR/output/20260722_181326_2487/CI_40353552</x:v>
      </x:c>
    </x:row>
    <x:row r="263">
      <x:c r="A263" t="str">
        <x:v>CI_40353552</x:v>
      </x:c>
      <x:c r="B263" s="99" t="str">
        <x:v>00316</x:v>
      </x:c>
      <x:c r="C263" t="str">
        <x:v>Z</x:v>
      </x:c>
      <x:c r="D263" t="str">
        <x:v>R</x:v>
      </x:c>
      <x:c r="E263" t="str">
        <x:v>time shift</x:v>
      </x:c>
      <x:c r="F263" t="str">
        <x:v>S</x:v>
      </x:c>
      <x:c r="G263" s="100" t="n">
        <x:v>3</x:v>
      </x:c>
      <x:c r="H263" s="100" t="n">
        <x:v>10</x:v>
      </x:c>
      <x:c r="I263" s="100" t="n">
        <x:v>250</x:v>
      </x:c>
      <x:c r="J263" s="100" t="n">
        <x:v>0.252</x:v>
      </x:c>
      <x:c r="K263" s="100" t="n">
        <x:v>0.241130893687421</x:v>
      </x:c>
      <x:c r="L263" s="100" t="n">
        <x:v>0.01086910631257898</x:v>
      </x:c>
      <x:c r="M263" s="100" t="n">
        <x:v>63</x:v>
      </x:c>
      <x:c r="N263" s="100" t="n">
        <x:v>0.6014590402736137</x:v>
      </x:c>
      <x:c r="O263" s="101" t="b">
        <x:v>1</x:v>
      </x:c>
      <x:c r="P263" t="str">
        <x:v>/Users/jvidale/Documents/Research/FaultScanR/output/20260722_181326_2487/CI_40353552</x:v>
      </x:c>
    </x:row>
    <x:row r="264">
      <x:c r="A264" t="str">
        <x:v>CI_40353552</x:v>
      </x:c>
      <x:c r="B264" s="99" t="str">
        <x:v>00317</x:v>
      </x:c>
      <x:c r="C264" t="str">
        <x:v>Z</x:v>
      </x:c>
      <x:c r="D264" t="str">
        <x:v>R</x:v>
      </x:c>
      <x:c r="E264" t="str">
        <x:v>time shift</x:v>
      </x:c>
      <x:c r="F264" t="str">
        <x:v>S</x:v>
      </x:c>
      <x:c r="G264" s="100" t="n">
        <x:v>3</x:v>
      </x:c>
      <x:c r="H264" s="100" t="n">
        <x:v>10</x:v>
      </x:c>
      <x:c r="I264" s="100" t="n">
        <x:v>250</x:v>
      </x:c>
      <x:c r="J264" s="100" t="n">
        <x:v>0.228</x:v>
      </x:c>
      <x:c r="K264" s="100" t="n">
        <x:v>0.2509861109420557</x:v>
      </x:c>
      <x:c r="L264" s="100" t="n">
        <x:v>-0.02298611094205569</x:v>
      </x:c>
      <x:c r="M264" s="100" t="n">
        <x:v>57</x:v>
      </x:c>
      <x:c r="N264" s="100" t="n">
        <x:v>0.7073133427556084</x:v>
      </x:c>
      <x:c r="O264" s="101" t="b">
        <x:v>1</x:v>
      </x:c>
      <x:c r="P264" t="str">
        <x:v>/Users/jvidale/Documents/Research/FaultScanR/output/20260722_181326_2487/CI_40353552</x:v>
      </x:c>
    </x:row>
    <x:row r="265">
      <x:c r="A265" t="str">
        <x:v>CI_40353552</x:v>
      </x:c>
      <x:c r="B265" s="99" t="str">
        <x:v>00318</x:v>
      </x:c>
      <x:c r="C265" t="str">
        <x:v>Z</x:v>
      </x:c>
      <x:c r="D265" t="str">
        <x:v>R</x:v>
      </x:c>
      <x:c r="E265" t="str">
        <x:v>time shift</x:v>
      </x:c>
      <x:c r="F265" t="str">
        <x:v>S</x:v>
      </x:c>
      <x:c r="G265" s="100" t="n">
        <x:v>3</x:v>
      </x:c>
      <x:c r="H265" s="100" t="n">
        <x:v>10</x:v>
      </x:c>
      <x:c r="I265" s="100" t="n">
        <x:v>250</x:v>
      </x:c>
      <x:c r="J265" s="100" t="n">
        <x:v>0.144</x:v>
      </x:c>
      <x:c r="K265" s="100" t="n">
        <x:v>0.1477536982211758</x:v>
      </x:c>
      <x:c r="L265" s="100" t="n">
        <x:v>-0.0037536982211758</x:v>
      </x:c>
      <x:c r="M265" s="100" t="n">
        <x:v>36</x:v>
      </x:c>
      <x:c r="N265" s="100" t="n">
        <x:v>0.6926195766978881</x:v>
      </x:c>
      <x:c r="O265" s="101" t="b">
        <x:v>1</x:v>
      </x:c>
      <x:c r="P265" t="str">
        <x:v>/Users/jvidale/Documents/Research/FaultScanR/output/20260722_181326_2487/CI_40353552</x:v>
      </x:c>
    </x:row>
    <x:row r="266">
      <x:c r="A266" t="str">
        <x:v>CI_40353552</x:v>
      </x:c>
      <x:c r="B266" s="99" t="str">
        <x:v>00319</x:v>
      </x:c>
      <x:c r="C266" t="str">
        <x:v>Z</x:v>
      </x:c>
      <x:c r="D266" t="str">
        <x:v>R</x:v>
      </x:c>
      <x:c r="E266" t="str">
        <x:v>time shift</x:v>
      </x:c>
      <x:c r="F266" t="str">
        <x:v>S</x:v>
      </x:c>
      <x:c r="G266" s="100" t="n">
        <x:v>3</x:v>
      </x:c>
      <x:c r="H266" s="100" t="n">
        <x:v>10</x:v>
      </x:c>
      <x:c r="I266" s="100" t="n">
        <x:v>250</x:v>
      </x:c>
      <x:c r="J266" s="100" t="n">
        <x:v>0.132</x:v>
      </x:c>
      <x:c r="K266" s="100" t="n">
        <x:v>0.1556524284427869</x:v>
      </x:c>
      <x:c r="L266" s="100" t="n">
        <x:v>-0.02365242844278692</x:v>
      </x:c>
      <x:c r="M266" s="100" t="n">
        <x:v>33</x:v>
      </x:c>
      <x:c r="N266" s="100" t="n">
        <x:v>0.9364895099095405</x:v>
      </x:c>
      <x:c r="O266" s="101" t="b">
        <x:v>1</x:v>
      </x:c>
      <x:c r="P266" t="str">
        <x:v>/Users/jvidale/Documents/Research/FaultScanR/output/20260722_181326_2487/CI_40353552</x:v>
      </x:c>
    </x:row>
    <x:row r="267">
      <x:c r="A267" t="str">
        <x:v>CI_40353552</x:v>
      </x:c>
      <x:c r="B267" s="99" t="str">
        <x:v>00320</x:v>
      </x:c>
      <x:c r="C267" t="str">
        <x:v>Z</x:v>
      </x:c>
      <x:c r="D267" t="str">
        <x:v>R</x:v>
      </x:c>
      <x:c r="E267" t="str">
        <x:v>time shift</x:v>
      </x:c>
      <x:c r="F267" t="str">
        <x:v>S</x:v>
      </x:c>
      <x:c r="G267" s="100" t="n">
        <x:v>3</x:v>
      </x:c>
      <x:c r="H267" s="100" t="n">
        <x:v>10</x:v>
      </x:c>
      <x:c r="I267" s="100" t="n">
        <x:v>250</x:v>
      </x:c>
      <x:c r="J267" s="100" t="n">
        <x:v>0.132</x:v>
      </x:c>
      <x:c r="K267" s="100" t="n">
        <x:v>0.162410499812216</x:v>
      </x:c>
      <x:c r="L267" s="100" t="n">
        <x:v>-0.030410499812216</x:v>
      </x:c>
      <x:c r="M267" s="100" t="n">
        <x:v>33</x:v>
      </x:c>
      <x:c r="N267" s="100" t="n">
        <x:v>0.8770290291189685</x:v>
      </x:c>
      <x:c r="O267" s="101" t="b">
        <x:v>1</x:v>
      </x:c>
      <x:c r="P267" t="str">
        <x:v>/Users/jvidale/Documents/Research/FaultScanR/output/20260722_181326_2487/CI_40353552</x:v>
      </x:c>
    </x:row>
    <x:row r="268">
      <x:c r="A268" t="str">
        <x:v>CI_40353552</x:v>
      </x:c>
      <x:c r="B268" s="99" t="str">
        <x:v>00321</x:v>
      </x:c>
      <x:c r="C268" t="str">
        <x:v>Z</x:v>
      </x:c>
      <x:c r="D268" t="str">
        <x:v>R</x:v>
      </x:c>
      <x:c r="E268" t="str">
        <x:v>time shift</x:v>
      </x:c>
      <x:c r="F268" t="str">
        <x:v>S</x:v>
      </x:c>
      <x:c r="G268" s="100" t="n">
        <x:v>3</x:v>
      </x:c>
      <x:c r="H268" s="100" t="n">
        <x:v>10</x:v>
      </x:c>
      <x:c r="I268" s="100" t="n">
        <x:v>250</x:v>
      </x:c>
      <x:c r="J268" s="100" t="n">
        <x:v>0.148</x:v>
      </x:c>
      <x:c r="K268" s="100" t="n">
        <x:v>0.1707439271295739</x:v>
      </x:c>
      <x:c r="L268" s="100" t="n">
        <x:v>-0.02274392712957388</x:v>
      </x:c>
      <x:c r="M268" s="100" t="n">
        <x:v>37</x:v>
      </x:c>
      <x:c r="N268" s="100" t="n">
        <x:v>0.8424396228386689</x:v>
      </x:c>
      <x:c r="O268" s="101" t="b">
        <x:v>1</x:v>
      </x:c>
      <x:c r="P268" t="str">
        <x:v>/Users/jvidale/Documents/Research/FaultScanR/output/20260722_181326_2487/CI_40353552</x:v>
      </x:c>
    </x:row>
    <x:row r="269">
      <x:c r="A269" t="str">
        <x:v>CI_40353552</x:v>
      </x:c>
      <x:c r="B269" s="99" t="str">
        <x:v>00322</x:v>
      </x:c>
      <x:c r="C269" t="str">
        <x:v>Z</x:v>
      </x:c>
      <x:c r="D269" t="str">
        <x:v>R</x:v>
      </x:c>
      <x:c r="E269" t="str">
        <x:v>time shift</x:v>
      </x:c>
      <x:c r="F269" t="str">
        <x:v>S</x:v>
      </x:c>
      <x:c r="G269" s="100" t="n">
        <x:v>3</x:v>
      </x:c>
      <x:c r="H269" s="100" t="n">
        <x:v>10</x:v>
      </x:c>
      <x:c r="I269" s="100" t="n">
        <x:v>250</x:v>
      </x:c>
      <x:c r="J269" s="100" t="n">
        <x:v>0.156</x:v>
      </x:c>
      <x:c r="K269" s="100" t="n">
        <x:v>0.1785103485255375</x:v>
      </x:c>
      <x:c r="L269" s="100" t="n">
        <x:v>-0.02251034852553749</x:v>
      </x:c>
      <x:c r="M269" s="100" t="n">
        <x:v>39</x:v>
      </x:c>
      <x:c r="N269" s="100" t="n">
        <x:v>0.9029042497407145</x:v>
      </x:c>
      <x:c r="O269" s="101" t="b">
        <x:v>1</x:v>
      </x:c>
      <x:c r="P269" t="str">
        <x:v>/Users/jvidale/Documents/Research/FaultScanR/output/20260722_181326_2487/CI_40353552</x:v>
      </x:c>
    </x:row>
    <x:row r="270">
      <x:c r="A270" t="str">
        <x:v>CI_40353552</x:v>
      </x:c>
      <x:c r="B270" s="99" t="str">
        <x:v>00323</x:v>
      </x:c>
      <x:c r="C270" t="str">
        <x:v>Z</x:v>
      </x:c>
      <x:c r="D270" t="str">
        <x:v>R</x:v>
      </x:c>
      <x:c r="E270" t="str">
        <x:v>time shift</x:v>
      </x:c>
      <x:c r="F270" t="str">
        <x:v>S</x:v>
      </x:c>
      <x:c r="G270" s="100" t="n">
        <x:v>3</x:v>
      </x:c>
      <x:c r="H270" s="100" t="n">
        <x:v>10</x:v>
      </x:c>
      <x:c r="I270" s="100" t="n">
        <x:v>250</x:v>
      </x:c>
      <x:c r="J270" s="100" t="n">
        <x:v>0.184</x:v>
      </x:c>
      <x:c r="K270" s="100" t="n">
        <x:v>0.183659728904308</x:v>
      </x:c>
      <x:c r="L270" s="100" t="n">
        <x:v>0.0003402710956919575</x:v>
      </x:c>
      <x:c r="M270" s="100" t="n">
        <x:v>46</x:v>
      </x:c>
      <x:c r="N270" s="100" t="n">
        <x:v>0.9244417489059712</x:v>
      </x:c>
      <x:c r="O270" s="101" t="b">
        <x:v>1</x:v>
      </x:c>
      <x:c r="P270" t="str">
        <x:v>/Users/jvidale/Documents/Research/FaultScanR/output/20260722_181326_2487/CI_40353552</x:v>
      </x:c>
    </x:row>
    <x:row r="271">
      <x:c r="A271" t="str">
        <x:v>CI_40353552</x:v>
      </x:c>
      <x:c r="B271" s="99" t="str">
        <x:v>00324</x:v>
      </x:c>
      <x:c r="C271" t="str">
        <x:v>Z</x:v>
      </x:c>
      <x:c r="D271" t="str">
        <x:v>R</x:v>
      </x:c>
      <x:c r="E271" t="str">
        <x:v>time shift</x:v>
      </x:c>
      <x:c r="F271" t="str">
        <x:v>S</x:v>
      </x:c>
      <x:c r="G271" s="100" t="n">
        <x:v>3</x:v>
      </x:c>
      <x:c r="H271" s="100" t="n">
        <x:v>10</x:v>
      </x:c>
      <x:c r="I271" s="100" t="n">
        <x:v>250</x:v>
      </x:c>
      <x:c r="J271" s="100" t="n">
        <x:v>0.196</x:v>
      </x:c>
      <x:c r="K271" s="100" t="n">
        <x:v>0.1963312030983673</x:v>
      </x:c>
      <x:c r="L271" s="100" t="n">
        <x:v>-0.0003312030983672609</x:v>
      </x:c>
      <x:c r="M271" s="100" t="n">
        <x:v>49</x:v>
      </x:c>
      <x:c r="N271" s="100" t="n">
        <x:v>0.9038243956751775</x:v>
      </x:c>
      <x:c r="O271" s="101" t="b">
        <x:v>1</x:v>
      </x:c>
      <x:c r="P271" t="str">
        <x:v>/Users/jvidale/Documents/Research/FaultScanR/output/20260722_181326_2487/CI_40353552</x:v>
      </x:c>
    </x:row>
    <x:row r="272">
      <x:c r="A272" t="str">
        <x:v>CI_40353552</x:v>
      </x:c>
      <x:c r="B272" s="99" t="str">
        <x:v>00325</x:v>
      </x:c>
      <x:c r="C272" t="str">
        <x:v>Z</x:v>
      </x:c>
      <x:c r="D272" t="str">
        <x:v>R</x:v>
      </x:c>
      <x:c r="E272" t="str">
        <x:v>time shift</x:v>
      </x:c>
      <x:c r="F272" t="str">
        <x:v>S</x:v>
      </x:c>
      <x:c r="G272" s="100" t="n">
        <x:v>3</x:v>
      </x:c>
      <x:c r="H272" s="100" t="n">
        <x:v>10</x:v>
      </x:c>
      <x:c r="I272" s="100" t="n">
        <x:v>250</x:v>
      </x:c>
      <x:c r="J272" s="100" t="n">
        <x:v>0.204</x:v>
      </x:c>
      <x:c r="K272" s="100" t="n">
        <x:v>0.1985355279103613</x:v>
      </x:c>
      <x:c r="L272" s="100" t="n">
        <x:v>0.005464472089638656</x:v>
      </x:c>
      <x:c r="M272" s="100" t="n">
        <x:v>51</x:v>
      </x:c>
      <x:c r="N272" s="100" t="n">
        <x:v>0.530450375295334</x:v>
      </x:c>
      <x:c r="O272" s="101" t="b">
        <x:v>0</x:v>
      </x:c>
      <x:c r="P272" t="str">
        <x:v>/Users/jvidale/Documents/Research/FaultScanR/output/20260722_181326_2487/CI_40353552</x:v>
      </x:c>
    </x:row>
    <x:row r="273">
      <x:c r="A273" t="str">
        <x:v>CI_40353552</x:v>
      </x:c>
      <x:c r="B273" s="99" t="str">
        <x:v>00326</x:v>
      </x:c>
      <x:c r="C273" t="str">
        <x:v>Z</x:v>
      </x:c>
      <x:c r="D273" t="str">
        <x:v>R</x:v>
      </x:c>
      <x:c r="E273" t="str">
        <x:v>time shift</x:v>
      </x:c>
      <x:c r="F273" t="str">
        <x:v>S</x:v>
      </x:c>
      <x:c r="G273" s="100" t="n">
        <x:v>3</x:v>
      </x:c>
      <x:c r="H273" s="100" t="n">
        <x:v>10</x:v>
      </x:c>
      <x:c r="I273" s="100" t="n">
        <x:v>250</x:v>
      </x:c>
      <x:c r="J273" s="100" t="n">
        <x:v>0.204</x:v>
      </x:c>
      <x:c r="K273" s="100" t="n">
        <x:v>0.2109686347047415</x:v>
      </x:c>
      <x:c r="L273" s="100" t="n">
        <x:v>-0.006968634704741489</x:v>
      </x:c>
      <x:c r="M273" s="100" t="n">
        <x:v>51</x:v>
      </x:c>
      <x:c r="N273" s="100" t="n">
        <x:v>0.8824134174468856</x:v>
      </x:c>
      <x:c r="O273" s="101" t="b">
        <x:v>1</x:v>
      </x:c>
      <x:c r="P273" t="str">
        <x:v>/Users/jvidale/Documents/Research/FaultScanR/output/20260722_181326_2487/CI_40353552</x:v>
      </x:c>
    </x:row>
    <x:row r="274">
      <x:c r="A274" t="str">
        <x:v>CI_40353552</x:v>
      </x:c>
      <x:c r="B274" s="99" t="str">
        <x:v>00327</x:v>
      </x:c>
      <x:c r="C274" t="str">
        <x:v>Z</x:v>
      </x:c>
      <x:c r="D274" t="str">
        <x:v>R</x:v>
      </x:c>
      <x:c r="E274" t="str">
        <x:v>time shift</x:v>
      </x:c>
      <x:c r="F274" t="str">
        <x:v>S</x:v>
      </x:c>
      <x:c r="G274" s="100" t="n">
        <x:v>3</x:v>
      </x:c>
      <x:c r="H274" s="100" t="n">
        <x:v>10</x:v>
      </x:c>
      <x:c r="I274" s="100" t="n">
        <x:v>250</x:v>
      </x:c>
      <x:c r="J274" s="100" t="n">
        <x:v>0.2</x:v>
      </x:c>
      <x:c r="K274" s="100" t="n">
        <x:v>0.2188787451422609</x:v>
      </x:c>
      <x:c r="L274" s="100" t="n">
        <x:v>-0.0188787451422609</x:v>
      </x:c>
      <x:c r="M274" s="100" t="n">
        <x:v>50</x:v>
      </x:c>
      <x:c r="N274" s="100" t="n">
        <x:v>0.9887827783336018</x:v>
      </x:c>
      <x:c r="O274" s="101" t="b">
        <x:v>1</x:v>
      </x:c>
      <x:c r="P274" t="str">
        <x:v>/Users/jvidale/Documents/Research/FaultScanR/output/20260722_181326_2487/CI_40353552</x:v>
      </x:c>
    </x:row>
    <x:row r="275">
      <x:c r="A275" t="str">
        <x:v>CI_40353552</x:v>
      </x:c>
      <x:c r="B275" s="99" t="str">
        <x:v>00328</x:v>
      </x:c>
      <x:c r="C275" t="str">
        <x:v>Z</x:v>
      </x:c>
      <x:c r="D275" t="str">
        <x:v>R</x:v>
      </x:c>
      <x:c r="E275" t="str">
        <x:v>time shift</x:v>
      </x:c>
      <x:c r="F275" t="str">
        <x:v>S</x:v>
      </x:c>
      <x:c r="G275" s="100" t="n">
        <x:v>3</x:v>
      </x:c>
      <x:c r="H275" s="100" t="n">
        <x:v>10</x:v>
      </x:c>
      <x:c r="I275" s="100" t="n">
        <x:v>250</x:v>
      </x:c>
      <x:c r="J275" s="100" t="n">
        <x:v>0.184</x:v>
      </x:c>
      <x:c r="K275" s="100" t="n">
        <x:v>0.2259132920857647</x:v>
      </x:c>
      <x:c r="L275" s="100" t="n">
        <x:v>-0.04191329208576472</x:v>
      </x:c>
      <x:c r="M275" s="100" t="n">
        <x:v>46</x:v>
      </x:c>
      <x:c r="N275" s="100" t="n">
        <x:v>0.6368785558179795</x:v>
      </x:c>
      <x:c r="O275" s="101" t="b">
        <x:v>1</x:v>
      </x:c>
      <x:c r="P275" t="str">
        <x:v>/Users/jvidale/Documents/Research/FaultScanR/output/20260722_181326_2487/CI_40353552</x:v>
      </x:c>
    </x:row>
    <x:row r="276">
      <x:c r="A276" t="str">
        <x:v>CI_40353552</x:v>
      </x:c>
      <x:c r="B276" s="99" t="str">
        <x:v>00329</x:v>
      </x:c>
      <x:c r="C276" t="str">
        <x:v>Z</x:v>
      </x:c>
      <x:c r="D276" t="str">
        <x:v>R</x:v>
      </x:c>
      <x:c r="E276" t="str">
        <x:v>time shift</x:v>
      </x:c>
      <x:c r="F276" t="str">
        <x:v>S</x:v>
      </x:c>
      <x:c r="G276" s="100" t="n">
        <x:v>3</x:v>
      </x:c>
      <x:c r="H276" s="100" t="n">
        <x:v>10</x:v>
      </x:c>
      <x:c r="I276" s="100" t="n">
        <x:v>250</x:v>
      </x:c>
      <x:c r="J276" s="100" t="n">
        <x:v>0.244</x:v>
      </x:c>
      <x:c r="K276" s="100" t="n">
        <x:v>0.2355735781674042</x:v>
      </x:c>
      <x:c r="L276" s="100" t="n">
        <x:v>0.008426421832595787</x:v>
      </x:c>
      <x:c r="M276" s="100" t="n">
        <x:v>61</x:v>
      </x:c>
      <x:c r="N276" s="100" t="n">
        <x:v>0.5817793607999009</x:v>
      </x:c>
      <x:c r="O276" s="101" t="b">
        <x:v>0</x:v>
      </x:c>
      <x:c r="P276" t="str">
        <x:v>/Users/jvidale/Documents/Research/FaultScanR/output/20260722_181326_2487/CI_40353552</x:v>
      </x:c>
    </x:row>
    <x:row r="277">
      <x:c r="A277" t="str">
        <x:v>CI_40353552</x:v>
      </x:c>
      <x:c r="B277" s="99" t="str">
        <x:v>00330</x:v>
      </x:c>
      <x:c r="C277" t="str">
        <x:v>Z</x:v>
      </x:c>
      <x:c r="D277" t="str">
        <x:v>R</x:v>
      </x:c>
      <x:c r="E277" t="str">
        <x:v>time shift</x:v>
      </x:c>
      <x:c r="F277" t="str">
        <x:v>S</x:v>
      </x:c>
      <x:c r="G277" s="100" t="n">
        <x:v>3</x:v>
      </x:c>
      <x:c r="H277" s="100" t="n">
        <x:v>10</x:v>
      </x:c>
      <x:c r="I277" s="100" t="n">
        <x:v>250</x:v>
      </x:c>
      <x:c r="J277" s="100" t="n">
        <x:v>0.244</x:v>
      </x:c>
      <x:c r="K277" s="100" t="n">
        <x:v>0.2447916804934724</x:v>
      </x:c>
      <x:c r="L277" s="100" t="n">
        <x:v>-0.0007916804934724464</x:v>
      </x:c>
      <x:c r="M277" s="100" t="n">
        <x:v>61</x:v>
      </x:c>
      <x:c r="N277" s="100" t="n">
        <x:v>0.7098164529181149</x:v>
      </x:c>
      <x:c r="O277" s="101" t="b">
        <x:v>1</x:v>
      </x:c>
      <x:c r="P277" t="str">
        <x:v>/Users/jvidale/Documents/Research/FaultScanR/output/20260722_181326_2487/CI_40353552</x:v>
      </x:c>
    </x:row>
    <x:row r="278">
      <x:c r="A278" t="str">
        <x:v>CI_40353552</x:v>
      </x:c>
      <x:c r="B278" s="99" t="str">
        <x:v>00332</x:v>
      </x:c>
      <x:c r="C278" t="str">
        <x:v>Z</x:v>
      </x:c>
      <x:c r="D278" t="str">
        <x:v>R</x:v>
      </x:c>
      <x:c r="E278" t="str">
        <x:v>time shift</x:v>
      </x:c>
      <x:c r="F278" t="str">
        <x:v>S</x:v>
      </x:c>
      <x:c r="G278" s="100" t="n">
        <x:v>3</x:v>
      </x:c>
      <x:c r="H278" s="100" t="n">
        <x:v>10</x:v>
      </x:c>
      <x:c r="I278" s="100" t="n">
        <x:v>250</x:v>
      </x:c>
      <x:c r="J278" s="100" t="n">
        <x:v>0.264</x:v>
      </x:c>
      <x:c r="K278" s="100" t="n">
        <x:v>0.2609053797889027</x:v>
      </x:c>
      <x:c r="L278" s="100" t="n">
        <x:v>0.003094620211097299</x:v>
      </x:c>
      <x:c r="M278" s="100" t="n">
        <x:v>66</x:v>
      </x:c>
      <x:c r="N278" s="100" t="n">
        <x:v>0.7340917198221784</x:v>
      </x:c>
      <x:c r="O278" s="101" t="b">
        <x:v>1</x:v>
      </x:c>
      <x:c r="P278" t="str">
        <x:v>/Users/jvidale/Documents/Research/FaultScanR/output/20260722_181326_2487/CI_40353552</x:v>
      </x:c>
    </x:row>
    <x:row r="279">
      <x:c r="A279" t="str">
        <x:v>CI_40353552</x:v>
      </x:c>
      <x:c r="B279" s="99" t="str">
        <x:v>00333</x:v>
      </x:c>
      <x:c r="C279" t="str">
        <x:v>Z</x:v>
      </x:c>
      <x:c r="D279" t="str">
        <x:v>R</x:v>
      </x:c>
      <x:c r="E279" t="str">
        <x:v>time shift</x:v>
      </x:c>
      <x:c r="F279" t="str">
        <x:v>S</x:v>
      </x:c>
      <x:c r="G279" s="100" t="n">
        <x:v>3</x:v>
      </x:c>
      <x:c r="H279" s="100" t="n">
        <x:v>10</x:v>
      </x:c>
      <x:c r="I279" s="100" t="n">
        <x:v>250</x:v>
      </x:c>
      <x:c r="J279" s="100" t="n">
        <x:v>0.276</x:v>
      </x:c>
      <x:c r="K279" s="100" t="n">
        <x:v>0.2709775612885563</x:v>
      </x:c>
      <x:c r="L279" s="100" t="n">
        <x:v>0.0050224387114437</x:v>
      </x:c>
      <x:c r="M279" s="100" t="n">
        <x:v>69</x:v>
      </x:c>
      <x:c r="N279" s="100" t="n">
        <x:v>0.6478080934933702</x:v>
      </x:c>
      <x:c r="O279" s="101" t="b">
        <x:v>1</x:v>
      </x:c>
      <x:c r="P279" t="str">
        <x:v>/Users/jvidale/Documents/Research/FaultScanR/output/20260722_181326_2487/CI_40353552</x:v>
      </x:c>
    </x:row>
  </x:sheetData>
  <x:pageMargins left="0.7" right="0.7" top="0.75" bottom="0.75" header="0.3" footer="0.3"/>
  <x:tableParts count="1">
    <x:tablePart xmlns:r="http://schemas.openxmlformats.org/officeDocument/2006/relationships" r:id="Rb566437419af41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16" hidden="0" customWidth="1"/>
    <x:col min="5" max="5" width="22" hidden="0" customWidth="1"/>
    <x:col min="6" max="6" width="15" hidden="0" customWidth="1"/>
    <x:col min="7" max="7" width="16" hidden="0" customWidth="1"/>
    <x:col min="8" max="8" width="16" hidden="0" customWidth="1"/>
    <x:col min="9" max="9" width="10" hidden="0" customWidth="1"/>
    <x:col min="10" max="10" width="14" hidden="0" customWidth="1"/>
    <x:col min="11" max="11" width="14" hidden="0" customWidth="1"/>
    <x:col min="12" max="12" width="17" hidden="0" customWidth="1"/>
    <x:col min="13" max="13" width="19" hidden="0" customWidth="1"/>
    <x:col min="14" max="14" width="16" hidden="0" customWidth="1"/>
  </x:cols>
  <x:sheetData>
    <x:row r="1" ht="28" customHeight="1">
      <x:c r="A1" s="3" t="str">
        <x:v>Z — Vertical stored vs correlation-estimated statics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08" t="str">
        <x:v>Robust event baseline (s)</x:v>
      </x:c>
      <x:c r="B2" s="112" t="n">
        <x:v>-0.0009288398653362757</x:v>
      </x:c>
      <x:c r="C2" s="110" t="str">
        <x:v>Passed stations</x:v>
      </x:c>
      <x:c r="D2" s="113" t="n">
        <x:f>COUNT(J8:J285)</x:f>
        <x:v>251</x:v>
      </x:c>
      <x:c r="E2" s="110" t="str">
        <x:v>Pearson r (passed)</x:v>
      </x:c>
      <x:c r="F2" s="112" t="n">
        <x:f>CORREL(J8:J285,K8:K285)</x:f>
        <x:v>0.31476193227266713</x:v>
      </x:c>
      <x:c r="G2" s="115" t="str">
        <x:v>Median |difference| (passed, s)</x:v>
      </x:c>
      <x:c r="H2" s="116" t="n">
        <x:f>MEDIAN(L8:L285)</x:f>
        <x:v>0.013681671727857184</x:v>
      </x:c>
    </x:row>
    <x:row r="3">
      <x:c r="A3" s="109" t="str">
        <x:v>Matched stations</x:v>
      </x:c>
      <x:c r="B3" s="114" t="n">
        <x:f>COUNTA(A8:A285)</x:f>
        <x:v>278</x:v>
      </x:c>
      <x:c r="C3" s="111" t="str">
        <x:v>RMSE (passed, s)</x:v>
      </x:c>
      <x:c r="D3" s="117" t="n">
        <x:f>SQRT(AVERAGE(M8:M285))</x:f>
        <x:v>0.023291466404645866</x:v>
      </x:c>
      <x:c r="E3" s="118" t="str">
        <x:v>Median difference (passed, s)</x:v>
      </x:c>
      <x:c r="F3" s="117" t="n">
        <x:f>MEDIAN(N8:N285)</x:f>
        <x:v>0.002177443386684595</x:v>
      </x:c>
      <x:c r="G3" s="111" t="str">
        <x:v>Within 4 ms (passed)</x:v>
      </x:c>
      <x:c r="H3" s="119" t="n">
        <x:f>COUNTIF(L8:L285,"&lt;=0.004")</x:f>
        <x:v>77</x:v>
      </x:c>
    </x:row>
    <x:row r="5">
      <x:c r="A5" s="121" t="str">
        <x:v>Baseline calculation: 278 robust inliers; raw MAD 0.011806 s. Primary metrics use only passed traces.</x:v>
      </x:c>
      <x:c r="B5" s="121"/>
      <x:c r="C5" s="121"/>
      <x:c r="D5" s="121"/>
      <x:c r="E5" s="121"/>
      <x:c r="F5" s="121"/>
      <x:c r="G5" s="121"/>
      <x:c r="H5" s="121"/>
      <x:c r="I5" s="121"/>
    </x:row>
    <x:row r="7" ht="30" customHeight="1">
      <x:c r="A7" s="14" t="str">
        <x:v>Station</x:v>
      </x:c>
      <x:c r="B7" s="15" t="str">
        <x:v>Stored static (s)</x:v>
      </x:c>
      <x:c r="C7" s="15" t="str">
        <x:v>Raw xcorr residual (s)</x:v>
      </x:c>
      <x:c r="D7" s="15" t="str">
        <x:v>Event baseline (s)</x:v>
      </x:c>
      <x:c r="E7" s="15" t="str">
        <x:v>Baseline-corrected xcorr (s)</x:v>
      </x:c>
      <x:c r="F7" s="15" t="str">
        <x:v>Difference (s)</x:v>
      </x:c>
      <x:c r="G7" s="15" t="str">
        <x:v>|Difference| (s)</x:v>
      </x:c>
      <x:c r="H7" s="15" t="str">
        <x:v>Station correlation</x:v>
      </x:c>
      <x:c r="I7" s="15" t="str">
        <x:v>Passed</x:v>
      </x:c>
      <x:c r="J7" s="15" t="str">
        <x:v>Passed stored</x:v>
      </x:c>
      <x:c r="K7" s="15" t="str">
        <x:v>Passed xcorr</x:v>
      </x:c>
      <x:c r="L7" s="15" t="str">
        <x:v>Passed |difference|</x:v>
      </x:c>
      <x:c r="M7" s="15" t="str">
        <x:v>Passed squared difference</x:v>
      </x:c>
      <x:c r="N7" s="16" t="str">
        <x:v>Passed difference</x:v>
      </x:c>
      <x:c r="P7" t="str">
        <x:v>Stored static (s)</x:v>
      </x:c>
      <x:c r="Q7" t="str">
        <x:v>Xcorr estimate (s)</x:v>
      </x:c>
      <x:c r="S7" t="str">
        <x:v>Identity x</x:v>
      </x:c>
      <x:c r="T7" t="str">
        <x:v>Identity y</x:v>
      </x:c>
    </x:row>
    <x:row r="8">
      <x:c r="A8" s="99" t="str">
        <x:f>'Raw Z'!B2</x:f>
        <x:v>00036</x:v>
      </x:c>
      <x:c r="B8" s="100" t="n">
        <x:f>INDEX('Raw Stations'!$D$2:$D$299,MATCH(A8,'Raw Stations'!$A$2:$A$299,0))</x:f>
        <x:v>0.002324070776815849</x:v>
      </x:c>
      <x:c r="C8" s="100" t="n">
        <x:f>'Raw Z'!L2</x:f>
        <x:v>-0.001233527865789119</x:v>
      </x:c>
      <x:c r="D8" s="100" t="n">
        <x:f>$B$2</x:f>
        <x:v>-0.0009288398653362757</x:v>
      </x:c>
      <x:c r="E8" s="100" t="n">
        <x:f>C8-D8</x:f>
        <x:v>-0.0003046880004528434</x:v>
      </x:c>
      <x:c r="F8" s="100" t="n">
        <x:f>E8-B8</x:f>
        <x:v>-0.0026287587772686927</x:v>
      </x:c>
      <x:c r="G8" s="100" t="n">
        <x:f>ABS(F8)</x:f>
        <x:v>0.0026287587772686927</x:v>
      </x:c>
      <x:c r="H8" s="100" t="n">
        <x:f>'Raw Z'!N2</x:f>
        <x:v>0.7645511122161521</x:v>
      </x:c>
      <x:c r="I8" t="b">
        <x:f>'Raw Z'!O2</x:f>
        <x:v>1</x:v>
      </x:c>
      <x:c r="J8" s="100" t="n">
        <x:f>IF(I8,B8,"")</x:f>
        <x:v>0.002324070776815849</x:v>
      </x:c>
      <x:c r="K8" s="100" t="n">
        <x:f>IF(I8,E8,"")</x:f>
        <x:v>-0.0003046880004528434</x:v>
      </x:c>
      <x:c r="L8" s="100" t="n">
        <x:f>IF(I8,G8,"")</x:f>
        <x:v>0.0026287587772686927</x:v>
      </x:c>
      <x:c r="M8" s="100" t="n">
        <x:f>IF(I8,F8^2,"")</x:f>
        <x:v>0.0000069103727090671925</x:v>
      </x:c>
      <x:c r="N8" s="100" t="n">
        <x:f>IF(I8,F8,"")</x:f>
        <x:v>-0.0026287587772686927</x:v>
      </x:c>
      <x:c r="P8" t="n">
        <x:f>J8</x:f>
        <x:v>0.002324070776815849</x:v>
      </x:c>
      <x:c r="Q8" t="n">
        <x:f>K8</x:f>
        <x:v>-0.0003046880004528434</x:v>
      </x:c>
      <x:c r="S8" t="n">
        <x:v>-0.08</x:v>
      </x:c>
      <x:c r="T8" t="n">
        <x:v>-0.08</x:v>
      </x:c>
    </x:row>
    <x:row r="9">
      <x:c r="A9" s="99" t="str">
        <x:f>'Raw Z'!B3</x:f>
        <x:v>00037</x:v>
      </x:c>
      <x:c r="B9" s="100" t="n">
        <x:f>INDEX('Raw Stations'!$D$2:$D$299,MATCH(A9,'Raw Stations'!$A$2:$A$299,0))</x:f>
        <x:v>0.008505758275836578</x:v>
      </x:c>
      <x:c r="C9" s="100" t="n">
        <x:f>'Raw Z'!L3</x:f>
        <x:v>0.0108390462355803</x:v>
      </x:c>
      <x:c r="D9" s="100" t="n">
        <x:f>$B$2</x:f>
        <x:v>-0.0009288398653362757</x:v>
      </x:c>
      <x:c r="E9" s="100" t="n">
        <x:f>C9-D9</x:f>
        <x:v>0.011767886100916575</x:v>
      </x:c>
      <x:c r="F9" s="100" t="n">
        <x:f>E9-B9</x:f>
        <x:v>0.0032621278250799975</x:v>
      </x:c>
      <x:c r="G9" s="100" t="n">
        <x:f>ABS(F9)</x:f>
        <x:v>0.0032621278250799975</x:v>
      </x:c>
      <x:c r="H9" s="100" t="n">
        <x:f>'Raw Z'!N3</x:f>
        <x:v>0.9587132183786556</x:v>
      </x:c>
      <x:c r="I9" t="b">
        <x:f>'Raw Z'!O3</x:f>
        <x:v>1</x:v>
      </x:c>
      <x:c r="J9" s="100" t="n">
        <x:f>IF(I9,B9,"")</x:f>
        <x:v>0.008505758275836578</x:v>
      </x:c>
      <x:c r="K9" s="100" t="n">
        <x:f>IF(I9,E9,"")</x:f>
        <x:v>0.011767886100916575</x:v>
      </x:c>
      <x:c r="L9" s="100" t="n">
        <x:f>IF(I9,G9,"")</x:f>
        <x:v>0.0032621278250799975</x:v>
      </x:c>
      <x:c r="M9" s="100" t="n">
        <x:f>IF(I9,F9^2,"")</x:f>
        <x:v>0.000010641477947161154</x:v>
      </x:c>
      <x:c r="N9" s="100" t="n">
        <x:f>IF(I9,F9,"")</x:f>
        <x:v>0.0032621278250799975</x:v>
      </x:c>
      <x:c r="P9" t="n">
        <x:f>J9</x:f>
        <x:v>0.008505758275836578</x:v>
      </x:c>
      <x:c r="Q9" t="n">
        <x:f>K9</x:f>
        <x:v>0.011767886100916575</x:v>
      </x:c>
      <x:c r="S9" t="n">
        <x:v>0.08</x:v>
      </x:c>
      <x:c r="T9" t="n">
        <x:v>0.08</x:v>
      </x:c>
    </x:row>
    <x:row r="10">
      <x:c r="A10" s="99" t="str">
        <x:f>'Raw Z'!B4</x:f>
        <x:v>00038</x:v>
      </x:c>
      <x:c r="B10" s="100" t="n">
        <x:f>INDEX('Raw Stations'!$D$2:$D$299,MATCH(A10,'Raw Stations'!$A$2:$A$299,0))</x:f>
        <x:v>0.00470310700499235</x:v>
      </x:c>
      <x:c r="C10" s="100" t="n">
        <x:f>'Raw Z'!L4</x:f>
        <x:v>0.01503639496473605</x:v>
      </x:c>
      <x:c r="D10" s="100" t="n">
        <x:f>$B$2</x:f>
        <x:v>-0.0009288398653362757</x:v>
      </x:c>
      <x:c r="E10" s="100" t="n">
        <x:f>C10-D10</x:f>
        <x:v>0.015965234830072325</x:v>
      </x:c>
      <x:c r="F10" s="100" t="n">
        <x:f>E10-B10</x:f>
        <x:v>0.011262127825079975</x:v>
      </x:c>
      <x:c r="G10" s="100" t="n">
        <x:f>ABS(F10)</x:f>
        <x:v>0.011262127825079975</x:v>
      </x:c>
      <x:c r="H10" s="100" t="n">
        <x:f>'Raw Z'!N4</x:f>
        <x:v>0.9907224151909079</x:v>
      </x:c>
      <x:c r="I10" t="b">
        <x:f>'Raw Z'!O4</x:f>
        <x:v>1</x:v>
      </x:c>
      <x:c r="J10" s="100" t="n">
        <x:f>IF(I10,B10,"")</x:f>
        <x:v>0.00470310700499235</x:v>
      </x:c>
      <x:c r="K10" s="100" t="n">
        <x:f>IF(I10,E10,"")</x:f>
        <x:v>0.015965234830072325</x:v>
      </x:c>
      <x:c r="L10" s="100" t="n">
        <x:f>IF(I10,G10,"")</x:f>
        <x:v>0.011262127825079975</x:v>
      </x:c>
      <x:c r="M10" s="100" t="n">
        <x:f>IF(I10,F10^2,"")</x:f>
        <x:v>0.0001268355231484406</x:v>
      </x:c>
      <x:c r="N10" s="100" t="n">
        <x:f>IF(I10,F10,"")</x:f>
        <x:v>0.011262127825079975</x:v>
      </x:c>
      <x:c r="P10" t="n">
        <x:f>J10</x:f>
        <x:v>0.00470310700499235</x:v>
      </x:c>
      <x:c r="Q10" t="n">
        <x:f>K10</x:f>
        <x:v>0.015965234830072325</x:v>
      </x:c>
    </x:row>
    <x:row r="11">
      <x:c r="A11" s="99" t="str">
        <x:f>'Raw Z'!B5</x:f>
        <x:v>00039</x:v>
      </x:c>
      <x:c r="B11" s="100" t="n">
        <x:f>INDEX('Raw Stations'!$D$2:$D$299,MATCH(A11,'Raw Stations'!$A$2:$A$299,0))</x:f>
        <x:v>0.003906768382867876</x:v>
      </x:c>
      <x:c r="C11" s="100" t="n">
        <x:f>'Raw Z'!L5</x:f>
        <x:v>0.008391773542959252</x:v>
      </x:c>
      <x:c r="D11" s="100" t="n">
        <x:f>$B$2</x:f>
        <x:v>-0.0009288398653362757</x:v>
      </x:c>
      <x:c r="E11" s="100" t="n">
        <x:f>C11-D11</x:f>
        <x:v>0.009320613408295528</x:v>
      </x:c>
      <x:c r="F11" s="100" t="n">
        <x:f>E11-B11</x:f>
        <x:v>0.005413845025427652</x:v>
      </x:c>
      <x:c r="G11" s="100" t="n">
        <x:f>ABS(F11)</x:f>
        <x:v>0.005413845025427652</x:v>
      </x:c>
      <x:c r="H11" s="100" t="n">
        <x:f>'Raw Z'!N5</x:f>
        <x:v>0.9564326889961192</x:v>
      </x:c>
      <x:c r="I11" t="b">
        <x:f>'Raw Z'!O5</x:f>
        <x:v>1</x:v>
      </x:c>
      <x:c r="J11" s="100" t="n">
        <x:f>IF(I11,B11,"")</x:f>
        <x:v>0.003906768382867876</x:v>
      </x:c>
      <x:c r="K11" s="100" t="n">
        <x:f>IF(I11,E11,"")</x:f>
        <x:v>0.009320613408295528</x:v>
      </x:c>
      <x:c r="L11" s="100" t="n">
        <x:f>IF(I11,G11,"")</x:f>
        <x:v>0.005413845025427652</x:v>
      </x:c>
      <x:c r="M11" s="100" t="n">
        <x:f>IF(I11,F11^2,"")</x:f>
        <x:v>0.000029309717959347732</x:v>
      </x:c>
      <x:c r="N11" s="100" t="n">
        <x:f>IF(I11,F11,"")</x:f>
        <x:v>0.005413845025427652</x:v>
      </x:c>
      <x:c r="P11" t="n">
        <x:f>J11</x:f>
        <x:v>0.003906768382867876</x:v>
      </x:c>
      <x:c r="Q11" t="n">
        <x:f>K11</x:f>
        <x:v>0.009320613408295528</x:v>
      </x:c>
    </x:row>
    <x:row r="12">
      <x:c r="A12" s="99" t="str">
        <x:f>'Raw Z'!B6</x:f>
        <x:v>00040</x:v>
      </x:c>
      <x:c r="B12" s="100" t="n">
        <x:f>INDEX('Raw Stations'!$D$2:$D$299,MATCH(A12,'Raw Stations'!$A$2:$A$299,0))</x:f>
        <x:v>-0.0002087563125119027</x:v>
      </x:c>
      <x:c r="C12" s="100" t="n">
        <x:f>'Raw Z'!L6</x:f>
        <x:v>0.01462582715374625</x:v>
      </x:c>
      <x:c r="D12" s="100" t="n">
        <x:f>$B$2</x:f>
        <x:v>-0.0009288398653362757</x:v>
      </x:c>
      <x:c r="E12" s="100" t="n">
        <x:f>C12-D12</x:f>
        <x:v>0.015554667019082525</x:v>
      </x:c>
      <x:c r="F12" s="100" t="n">
        <x:f>E12-B12</x:f>
        <x:v>0.015763423331594428</x:v>
      </x:c>
      <x:c r="G12" s="100" t="n">
        <x:f>ABS(F12)</x:f>
        <x:v>0.015763423331594428</x:v>
      </x:c>
      <x:c r="H12" s="100" t="n">
        <x:f>'Raw Z'!N6</x:f>
        <x:v>0.8509704834785872</x:v>
      </x:c>
      <x:c r="I12" t="b">
        <x:f>'Raw Z'!O6</x:f>
        <x:v>1</x:v>
      </x:c>
      <x:c r="J12" s="100" t="n">
        <x:f>IF(I12,B12,"")</x:f>
        <x:v>-0.0002087563125119027</x:v>
      </x:c>
      <x:c r="K12" s="100" t="n">
        <x:f>IF(I12,E12,"")</x:f>
        <x:v>0.015554667019082525</x:v>
      </x:c>
      <x:c r="L12" s="100" t="n">
        <x:f>IF(I12,G12,"")</x:f>
        <x:v>0.015763423331594428</x:v>
      </x:c>
      <x:c r="M12" s="100" t="n">
        <x:f>IF(I12,F12^2,"")</x:f>
        <x:v>0.00024848551513105555</x:v>
      </x:c>
      <x:c r="N12" s="100" t="n">
        <x:f>IF(I12,F12,"")</x:f>
        <x:v>0.015763423331594428</x:v>
      </x:c>
      <x:c r="P12" t="n">
        <x:f>J12</x:f>
        <x:v>-0.0002087563125119027</x:v>
      </x:c>
      <x:c r="Q12" t="n">
        <x:f>K12</x:f>
        <x:v>0.015554667019082525</x:v>
      </x:c>
    </x:row>
    <x:row r="13">
      <x:c r="A13" s="99" t="str">
        <x:f>'Raw Z'!B7</x:f>
        <x:v>00041</x:v>
      </x:c>
      <x:c r="B13" s="100" t="n">
        <x:f>INDEX('Raw Stations'!$D$2:$D$299,MATCH(A13,'Raw Stations'!$A$2:$A$299,0))</x:f>
        <x:v>0.00358026977195911</x:v>
      </x:c>
      <x:c r="C13" s="100" t="n">
        <x:f>'Raw Z'!L7</x:f>
        <x:v>0.01857104478390842</x:v>
      </x:c>
      <x:c r="D13" s="100" t="n">
        <x:f>$B$2</x:f>
        <x:v>-0.0009288398653362757</x:v>
      </x:c>
      <x:c r="E13" s="100" t="n">
        <x:f>C13-D13</x:f>
        <x:v>0.019499884649244695</x:v>
      </x:c>
      <x:c r="F13" s="100" t="n">
        <x:f>E13-B13</x:f>
        <x:v>0.015919614877285583</x:v>
      </x:c>
      <x:c r="G13" s="100" t="n">
        <x:f>ABS(F13)</x:f>
        <x:v>0.015919614877285583</x:v>
      </x:c>
      <x:c r="H13" s="100" t="n">
        <x:f>'Raw Z'!N7</x:f>
        <x:v>0.9200951889905348</x:v>
      </x:c>
      <x:c r="I13" t="b">
        <x:f>'Raw Z'!O7</x:f>
        <x:v>1</x:v>
      </x:c>
      <x:c r="J13" s="100" t="n">
        <x:f>IF(I13,B13,"")</x:f>
        <x:v>0.00358026977195911</x:v>
      </x:c>
      <x:c r="K13" s="100" t="n">
        <x:f>IF(I13,E13,"")</x:f>
        <x:v>0.019499884649244695</x:v>
      </x:c>
      <x:c r="L13" s="100" t="n">
        <x:f>IF(I13,G13,"")</x:f>
        <x:v>0.015919614877285583</x:v>
      </x:c>
      <x:c r="M13" s="100" t="n">
        <x:f>IF(I13,F13^2,"")</x:f>
        <x:v>0.00025343413784109246</x:v>
      </x:c>
      <x:c r="N13" s="100" t="n">
        <x:f>IF(I13,F13,"")</x:f>
        <x:v>0.015919614877285583</x:v>
      </x:c>
      <x:c r="P13" t="n">
        <x:f>J13</x:f>
        <x:v>0.00358026977195911</x:v>
      </x:c>
      <x:c r="Q13" t="n">
        <x:f>K13</x:f>
        <x:v>0.019499884649244695</x:v>
      </x:c>
    </x:row>
    <x:row r="14">
      <x:c r="A14" s="99" t="str">
        <x:f>'Raw Z'!B8</x:f>
        <x:v>00042</x:v>
      </x:c>
      <x:c r="B14" s="100" t="n">
        <x:f>INDEX('Raw Stations'!$D$2:$D$299,MATCH(A14,'Raw Stations'!$A$2:$A$299,0))</x:f>
        <x:v>0.004263097793196531</x:v>
      </x:c>
      <x:c r="C14" s="100" t="n">
        <x:f>'Raw Z'!L8</x:f>
        <x:v>-0.01512486565226137</x:v>
      </x:c>
      <x:c r="D14" s="100" t="n">
        <x:f>$B$2</x:f>
        <x:v>-0.0009288398653362757</x:v>
      </x:c>
      <x:c r="E14" s="100" t="n">
        <x:f>C14-D14</x:f>
        <x:v>-0.014196025786925094</x:v>
      </x:c>
      <x:c r="F14" s="100" t="n">
        <x:f>E14-B14</x:f>
        <x:v>-0.018459123580121625</x:v>
      </x:c>
      <x:c r="G14" s="100" t="n">
        <x:f>ABS(F14)</x:f>
        <x:v>0.018459123580121625</x:v>
      </x:c>
      <x:c r="H14" s="100" t="n">
        <x:f>'Raw Z'!N8</x:f>
        <x:v>0.8979552505750015</x:v>
      </x:c>
      <x:c r="I14" t="b">
        <x:f>'Raw Z'!O8</x:f>
        <x:v>1</x:v>
      </x:c>
      <x:c r="J14" s="100" t="n">
        <x:f>IF(I14,B14,"")</x:f>
        <x:v>0.004263097793196531</x:v>
      </x:c>
      <x:c r="K14" s="100" t="n">
        <x:f>IF(I14,E14,"")</x:f>
        <x:v>-0.014196025786925094</x:v>
      </x:c>
      <x:c r="L14" s="100" t="n">
        <x:f>IF(I14,G14,"")</x:f>
        <x:v>0.018459123580121625</x:v>
      </x:c>
      <x:c r="M14" s="100" t="n">
        <x:f>IF(I14,F14^2,"")</x:f>
        <x:v>0.0003407392433462022</x:v>
      </x:c>
      <x:c r="N14" s="100" t="n">
        <x:f>IF(I14,F14,"")</x:f>
        <x:v>-0.018459123580121625</x:v>
      </x:c>
      <x:c r="P14" t="n">
        <x:f>J14</x:f>
        <x:v>0.004263097793196531</x:v>
      </x:c>
      <x:c r="Q14" t="n">
        <x:f>K14</x:f>
        <x:v>-0.014196025786925094</x:v>
      </x:c>
    </x:row>
    <x:row r="15">
      <x:c r="A15" s="99" t="str">
        <x:f>'Raw Z'!B9</x:f>
        <x:v>00043</x:v>
      </x:c>
      <x:c r="B15" s="100" t="n">
        <x:f>INDEX('Raw Stations'!$D$2:$D$299,MATCH(A15,'Raw Stations'!$A$2:$A$299,0))</x:f>
        <x:v>0.009528350892782811</x:v>
      </x:c>
      <x:c r="C15" s="100" t="n">
        <x:f>'Raw Z'!L9</x:f>
        <x:v>0.004355991810421844</x:v>
      </x:c>
      <x:c r="D15" s="100" t="n">
        <x:f>$B$2</x:f>
        <x:v>-0.0009288398653362757</x:v>
      </x:c>
      <x:c r="E15" s="100" t="n">
        <x:f>C15-D15</x:f>
        <x:v>0.00528483167575812</x:v>
      </x:c>
      <x:c r="F15" s="100" t="n">
        <x:f>E15-B15</x:f>
        <x:v>-0.004243519217024691</x:v>
      </x:c>
      <x:c r="G15" s="100" t="n">
        <x:f>ABS(F15)</x:f>
        <x:v>0.004243519217024691</x:v>
      </x:c>
      <x:c r="H15" s="100" t="n">
        <x:f>'Raw Z'!N9</x:f>
        <x:v>0.5072732863961511</x:v>
      </x:c>
      <x:c r="I15" t="b">
        <x:f>'Raw Z'!O9</x:f>
        <x:v>0</x:v>
      </x:c>
      <x:c r="J15" s="100" t="str">
        <x:f>IF(I15,B15,"")</x:f>
      </x:c>
      <x:c r="K15" s="100" t="str">
        <x:f>IF(I15,E15,"")</x:f>
      </x:c>
      <x:c r="L15" s="100" t="str">
        <x:f>IF(I15,G15,"")</x:f>
      </x:c>
      <x:c r="M15" s="100" t="str">
        <x:f>IF(I15,F15^2,"")</x:f>
      </x:c>
      <x:c r="N15" s="100" t="str">
        <x:f>IF(I15,F15,"")</x:f>
      </x:c>
      <x:c r="P15" t="str">
        <x:f>J15</x:f>
      </x:c>
      <x:c r="Q15" t="str">
        <x:f>K15</x:f>
      </x:c>
    </x:row>
    <x:row r="16">
      <x:c r="A16" s="99" t="str">
        <x:f>'Raw Z'!B10</x:f>
        <x:v>00044</x:v>
      </x:c>
      <x:c r="B16" s="100" t="n">
        <x:f>INDEX('Raw Stations'!$D$2:$D$299,MATCH(A16,'Raw Stations'!$A$2:$A$299,0))</x:f>
        <x:v>0.009092824066710387</x:v>
      </x:c>
      <x:c r="C16" s="100" t="n">
        <x:f>'Raw Z'!L10</x:f>
        <x:v>0.02276346351370476</x:v>
      </x:c>
      <x:c r="D16" s="100" t="n">
        <x:f>$B$2</x:f>
        <x:v>-0.0009288398653362757</x:v>
      </x:c>
      <x:c r="E16" s="100" t="n">
        <x:f>C16-D16</x:f>
        <x:v>0.023692303379041036</x:v>
      </x:c>
      <x:c r="F16" s="100" t="n">
        <x:f>E16-B16</x:f>
        <x:v>0.01459947931233065</x:v>
      </x:c>
      <x:c r="G16" s="100" t="n">
        <x:f>ABS(F16)</x:f>
        <x:v>0.01459947931233065</x:v>
      </x:c>
      <x:c r="H16" s="100" t="n">
        <x:f>'Raw Z'!N10</x:f>
        <x:v>0.8081162935489389</x:v>
      </x:c>
      <x:c r="I16" t="b">
        <x:f>'Raw Z'!O10</x:f>
        <x:v>1</x:v>
      </x:c>
      <x:c r="J16" s="100" t="n">
        <x:f>IF(I16,B16,"")</x:f>
        <x:v>0.009092824066710387</x:v>
      </x:c>
      <x:c r="K16" s="100" t="n">
        <x:f>IF(I16,E16,"")</x:f>
        <x:v>0.023692303379041036</x:v>
      </x:c>
      <x:c r="L16" s="100" t="n">
        <x:f>IF(I16,G16,"")</x:f>
        <x:v>0.01459947931233065</x:v>
      </x:c>
      <x:c r="M16" s="100" t="n">
        <x:f>IF(I16,F16^2,"")</x:f>
        <x:v>0.0002131447961911706</x:v>
      </x:c>
      <x:c r="N16" s="100" t="n">
        <x:f>IF(I16,F16,"")</x:f>
        <x:v>0.01459947931233065</x:v>
      </x:c>
      <x:c r="P16" t="n">
        <x:f>J16</x:f>
        <x:v>0.009092824066710387</x:v>
      </x:c>
      <x:c r="Q16" t="n">
        <x:f>K16</x:f>
        <x:v>0.023692303379041036</x:v>
      </x:c>
    </x:row>
    <x:row r="17">
      <x:c r="A17" s="99" t="str">
        <x:f>'Raw Z'!B11</x:f>
        <x:v>00045</x:v>
      </x:c>
      <x:c r="B17" s="100" t="n">
        <x:f>INDEX('Raw Stations'!$D$2:$D$299,MATCH(A17,'Raw Stations'!$A$2:$A$299,0))</x:f>
        <x:v>0.02515142487555863</x:v>
      </x:c>
      <x:c r="C17" s="100" t="n">
        <x:f>'Raw Z'!L11</x:f>
        <x:v>0.04990425673807952</x:v>
      </x:c>
      <x:c r="D17" s="100" t="n">
        <x:f>$B$2</x:f>
        <x:v>-0.0009288398653362757</x:v>
      </x:c>
      <x:c r="E17" s="100" t="n">
        <x:f>C17-D17</x:f>
        <x:v>0.0508330966034158</x:v>
      </x:c>
      <x:c r="F17" s="100" t="n">
        <x:f>E17-B17</x:f>
        <x:v>0.025681671727857167</x:v>
      </x:c>
      <x:c r="G17" s="100" t="n">
        <x:f>ABS(F17)</x:f>
        <x:v>0.025681671727857167</x:v>
      </x:c>
      <x:c r="H17" s="100" t="n">
        <x:f>'Raw Z'!N11</x:f>
        <x:v>0.6056292596058331</x:v>
      </x:c>
      <x:c r="I17" t="b">
        <x:f>'Raw Z'!O11</x:f>
        <x:v>1</x:v>
      </x:c>
      <x:c r="J17" s="100" t="n">
        <x:f>IF(I17,B17,"")</x:f>
        <x:v>0.02515142487555863</x:v>
      </x:c>
      <x:c r="K17" s="100" t="n">
        <x:f>IF(I17,E17,"")</x:f>
        <x:v>0.0508330966034158</x:v>
      </x:c>
      <x:c r="L17" s="100" t="n">
        <x:f>IF(I17,G17,"")</x:f>
        <x:v>0.025681671727857167</x:v>
      </x:c>
      <x:c r="M17" s="100" t="n">
        <x:f>IF(I17,F17^2,"")</x:f>
        <x:v>0.0006595482627374181</x:v>
      </x:c>
      <x:c r="N17" s="100" t="n">
        <x:f>IF(I17,F17,"")</x:f>
        <x:v>0.025681671727857167</x:v>
      </x:c>
      <x:c r="P17" t="n">
        <x:f>J17</x:f>
        <x:v>0.02515142487555863</x:v>
      </x:c>
      <x:c r="Q17" t="n">
        <x:f>K17</x:f>
        <x:v>0.0508330966034158</x:v>
      </x:c>
    </x:row>
    <x:row r="18">
      <x:c r="A18" s="99" t="str">
        <x:f>'Raw Z'!B12</x:f>
        <x:v>00046</x:v>
      </x:c>
      <x:c r="B18" s="100" t="n">
        <x:f>INDEX('Raw Stations'!$D$2:$D$299,MATCH(A18,'Raw Stations'!$A$2:$A$299,0))</x:f>
        <x:v>0.02675773833592649</x:v>
      </x:c>
      <x:c r="C18" s="100" t="n">
        <x:f>'Raw Z'!L12</x:f>
        <x:v>0.04648312488034334</x:v>
      </x:c>
      <x:c r="D18" s="100" t="n">
        <x:f>$B$2</x:f>
        <x:v>-0.0009288398653362757</x:v>
      </x:c>
      <x:c r="E18" s="100" t="n">
        <x:f>C18-D18</x:f>
        <x:v>0.047411964745679616</x:v>
      </x:c>
      <x:c r="F18" s="100" t="n">
        <x:f>E18-B18</x:f>
        <x:v>0.020654226409753125</x:v>
      </x:c>
      <x:c r="G18" s="100" t="n">
        <x:f>ABS(F18)</x:f>
        <x:v>0.020654226409753125</x:v>
      </x:c>
      <x:c r="H18" s="100" t="n">
        <x:f>'Raw Z'!N12</x:f>
        <x:v>0.6599900630375625</x:v>
      </x:c>
      <x:c r="I18" t="b">
        <x:f>'Raw Z'!O12</x:f>
        <x:v>1</x:v>
      </x:c>
      <x:c r="J18" s="100" t="n">
        <x:f>IF(I18,B18,"")</x:f>
        <x:v>0.02675773833592649</x:v>
      </x:c>
      <x:c r="K18" s="100" t="n">
        <x:f>IF(I18,E18,"")</x:f>
        <x:v>0.047411964745679616</x:v>
      </x:c>
      <x:c r="L18" s="100" t="n">
        <x:f>IF(I18,G18,"")</x:f>
        <x:v>0.020654226409753125</x:v>
      </x:c>
      <x:c r="M18" s="100" t="n">
        <x:f>IF(I18,F18^2,"")</x:f>
        <x:v>0.0004265970685853435</x:v>
      </x:c>
      <x:c r="N18" s="100" t="n">
        <x:f>IF(I18,F18,"")</x:f>
        <x:v>0.020654226409753125</x:v>
      </x:c>
      <x:c r="P18" t="n">
        <x:f>J18</x:f>
        <x:v>0.02675773833592649</x:v>
      </x:c>
      <x:c r="Q18" t="n">
        <x:f>K18</x:f>
        <x:v>0.047411964745679616</x:v>
      </x:c>
    </x:row>
    <x:row r="19">
      <x:c r="A19" s="99" t="str">
        <x:f>'Raw Z'!B13</x:f>
        <x:v>00047</x:v>
      </x:c>
      <x:c r="B19" s="100" t="n">
        <x:f>INDEX('Raw Stations'!$D$2:$D$299,MATCH(A19,'Raw Stations'!$A$2:$A$299,0))</x:f>
        <x:v>0.01528010894597948</x:v>
      </x:c>
      <x:c r="C19" s="100" t="n">
        <x:f>'Raw Z'!L13</x:f>
        <x:v>0.04945657303693106</x:v>
      </x:c>
      <x:c r="D19" s="100" t="n">
        <x:f>$B$2</x:f>
        <x:v>-0.0009288398653362757</x:v>
      </x:c>
      <x:c r="E19" s="100" t="n">
        <x:f>C19-D19</x:f>
        <x:v>0.050385412902267335</x:v>
      </x:c>
      <x:c r="F19" s="100" t="n">
        <x:f>E19-B19</x:f>
        <x:v>0.03510530395628786</x:v>
      </x:c>
      <x:c r="G19" s="100" t="n">
        <x:f>ABS(F19)</x:f>
        <x:v>0.03510530395628786</x:v>
      </x:c>
      <x:c r="H19" s="100" t="n">
        <x:f>'Raw Z'!N13</x:f>
        <x:v>0.934557474160122</x:v>
      </x:c>
      <x:c r="I19" t="b">
        <x:f>'Raw Z'!O13</x:f>
        <x:v>1</x:v>
      </x:c>
      <x:c r="J19" s="100" t="n">
        <x:f>IF(I19,B19,"")</x:f>
        <x:v>0.01528010894597948</x:v>
      </x:c>
      <x:c r="K19" s="100" t="n">
        <x:f>IF(I19,E19,"")</x:f>
        <x:v>0.050385412902267335</x:v>
      </x:c>
      <x:c r="L19" s="100" t="n">
        <x:f>IF(I19,G19,"")</x:f>
        <x:v>0.03510530395628786</x:v>
      </x:c>
      <x:c r="M19" s="100" t="n">
        <x:f>IF(I19,F19^2,"")</x:f>
        <x:v>0.00123238236586336</x:v>
      </x:c>
      <x:c r="N19" s="100" t="n">
        <x:f>IF(I19,F19,"")</x:f>
        <x:v>0.03510530395628786</x:v>
      </x:c>
      <x:c r="P19" t="n">
        <x:f>J19</x:f>
        <x:v>0.01528010894597948</x:v>
      </x:c>
      <x:c r="Q19" t="n">
        <x:f>K19</x:f>
        <x:v>0.050385412902267335</x:v>
      </x:c>
    </x:row>
    <x:row r="20">
      <x:c r="A20" s="99" t="str">
        <x:f>'Raw Z'!B14</x:f>
        <x:v>00048</x:v>
      </x:c>
      <x:c r="B20" s="100" t="n">
        <x:f>INDEX('Raw Stations'!$D$2:$D$299,MATCH(A20,'Raw Stations'!$A$2:$A$299,0))</x:f>
        <x:v>0.01644389798776964</x:v>
      </x:c>
      <x:c r="C20" s="100" t="n">
        <x:f>'Raw Z'!L14</x:f>
        <x:v>0.04758810589093808</x:v>
      </x:c>
      <x:c r="D20" s="100" t="n">
        <x:f>$B$2</x:f>
        <x:v>-0.0009288398653362757</x:v>
      </x:c>
      <x:c r="E20" s="100" t="n">
        <x:f>C20-D20</x:f>
        <x:v>0.048516945756274354</x:v>
      </x:c>
      <x:c r="F20" s="100" t="n">
        <x:f>E20-B20</x:f>
        <x:v>0.03207304776850471</x:v>
      </x:c>
      <x:c r="G20" s="100" t="n">
        <x:f>ABS(F20)</x:f>
        <x:v>0.03207304776850471</x:v>
      </x:c>
      <x:c r="H20" s="100" t="n">
        <x:f>'Raw Z'!N14</x:f>
        <x:v>0.8330986742982996</x:v>
      </x:c>
      <x:c r="I20" t="b">
        <x:f>'Raw Z'!O14</x:f>
        <x:v>1</x:v>
      </x:c>
      <x:c r="J20" s="100" t="n">
        <x:f>IF(I20,B20,"")</x:f>
        <x:v>0.01644389798776964</x:v>
      </x:c>
      <x:c r="K20" s="100" t="n">
        <x:f>IF(I20,E20,"")</x:f>
        <x:v>0.048516945756274354</x:v>
      </x:c>
      <x:c r="L20" s="100" t="n">
        <x:f>IF(I20,G20,"")</x:f>
        <x:v>0.03207304776850471</x:v>
      </x:c>
      <x:c r="M20" s="100" t="n">
        <x:f>IF(I20,F20^2,"")</x:f>
        <x:v>0.001028680393160785</x:v>
      </x:c>
      <x:c r="N20" s="100" t="n">
        <x:f>IF(I20,F20,"")</x:f>
        <x:v>0.03207304776850471</x:v>
      </x:c>
      <x:c r="P20" t="n">
        <x:f>J20</x:f>
        <x:v>0.01644389798776964</x:v>
      </x:c>
      <x:c r="Q20" t="n">
        <x:f>K20</x:f>
        <x:v>0.048516945756274354</x:v>
      </x:c>
    </x:row>
    <x:row r="21">
      <x:c r="A21" s="99" t="str">
        <x:f>'Raw Z'!B15</x:f>
        <x:v>00049</x:v>
      </x:c>
      <x:c r="B21" s="100" t="n">
        <x:f>INDEX('Raw Stations'!$D$2:$D$299,MATCH(A21,'Raw Stations'!$A$2:$A$299,0))</x:f>
        <x:v>0.002435572463590521</x:v>
      </x:c>
      <x:c r="C21" s="100" t="n">
        <x:f>'Raw Z'!L15</x:f>
        <x:v>0.03661203655454209</x:v>
      </x:c>
      <x:c r="D21" s="100" t="n">
        <x:f>$B$2</x:f>
        <x:v>-0.0009288398653362757</x:v>
      </x:c>
      <x:c r="E21" s="100" t="n">
        <x:f>C21-D21</x:f>
        <x:v>0.03754087641987837</x:v>
      </x:c>
      <x:c r="F21" s="100" t="n">
        <x:f>E21-B21</x:f>
        <x:v>0.035105303956287845</x:v>
      </x:c>
      <x:c r="G21" s="100" t="n">
        <x:f>ABS(F21)</x:f>
        <x:v>0.035105303956287845</x:v>
      </x:c>
      <x:c r="H21" s="100" t="n">
        <x:f>'Raw Z'!N15</x:f>
        <x:v>0.5216922914619082</x:v>
      </x:c>
      <x:c r="I21" t="b">
        <x:f>'Raw Z'!O15</x:f>
        <x:v>0</x:v>
      </x:c>
      <x:c r="J21" s="100" t="str">
        <x:f>IF(I21,B21,"")</x:f>
      </x:c>
      <x:c r="K21" s="100" t="str">
        <x:f>IF(I21,E21,"")</x:f>
      </x:c>
      <x:c r="L21" s="100" t="str">
        <x:f>IF(I21,G21,"")</x:f>
      </x:c>
      <x:c r="M21" s="100" t="str">
        <x:f>IF(I21,F21^2,"")</x:f>
      </x:c>
      <x:c r="N21" s="100" t="str">
        <x:f>IF(I21,F21,"")</x:f>
      </x:c>
      <x:c r="P21" t="str">
        <x:f>J21</x:f>
      </x:c>
      <x:c r="Q21" t="str">
        <x:f>K21</x:f>
      </x:c>
    </x:row>
    <x:row r="22">
      <x:c r="A22" s="99" t="str">
        <x:f>'Raw Z'!B16</x:f>
        <x:v>00051</x:v>
      </x:c>
      <x:c r="B22" s="100" t="n">
        <x:f>INDEX('Raw Stations'!$D$2:$D$299,MATCH(A22,'Raw Stations'!$A$2:$A$299,0))</x:f>
        <x:v>-0.00304927875036071</x:v>
      </x:c>
      <x:c r="C22" s="100" t="n">
        <x:f>'Raw Z'!L16</x:f>
        <x:v>0.00517052395810122</x:v>
      </x:c>
      <x:c r="D22" s="100" t="n">
        <x:f>$B$2</x:f>
        <x:v>-0.0009288398653362757</x:v>
      </x:c>
      <x:c r="E22" s="100" t="n">
        <x:f>C22-D22</x:f>
        <x:v>0.006099363823437495</x:v>
      </x:c>
      <x:c r="F22" s="100" t="n">
        <x:f>E22-B22</x:f>
        <x:v>0.009148642573798205</x:v>
      </x:c>
      <x:c r="G22" s="100" t="n">
        <x:f>ABS(F22)</x:f>
        <x:v>0.009148642573798205</x:v>
      </x:c>
      <x:c r="H22" s="100" t="n">
        <x:f>'Raw Z'!N16</x:f>
        <x:v>0.9920141560348341</x:v>
      </x:c>
      <x:c r="I22" t="b">
        <x:f>'Raw Z'!O16</x:f>
        <x:v>1</x:v>
      </x:c>
      <x:c r="J22" s="100" t="n">
        <x:f>IF(I22,B22,"")</x:f>
        <x:v>-0.00304927875036071</x:v>
      </x:c>
      <x:c r="K22" s="100" t="n">
        <x:f>IF(I22,E22,"")</x:f>
        <x:v>0.006099363823437495</x:v>
      </x:c>
      <x:c r="L22" s="100" t="n">
        <x:f>IF(I22,G22,"")</x:f>
        <x:v>0.009148642573798205</x:v>
      </x:c>
      <x:c r="M22" s="100" t="n">
        <x:f>IF(I22,F22^2,"")</x:f>
        <x:v>0.00008369766094311305</x:v>
      </x:c>
      <x:c r="N22" s="100" t="n">
        <x:f>IF(I22,F22,"")</x:f>
        <x:v>0.009148642573798205</x:v>
      </x:c>
      <x:c r="P22" t="n">
        <x:f>J22</x:f>
        <x:v>-0.00304927875036071</x:v>
      </x:c>
      <x:c r="Q22" t="n">
        <x:f>K22</x:f>
        <x:v>0.006099363823437495</x:v>
      </x:c>
    </x:row>
    <x:row r="23">
      <x:c r="A23" s="99" t="str">
        <x:f>'Raw Z'!B17</x:f>
        <x:v>00052</x:v>
      </x:c>
      <x:c r="B23" s="100" t="n">
        <x:f>INDEX('Raw Stations'!$D$2:$D$299,MATCH(A23,'Raw Stations'!$A$2:$A$299,0))</x:f>
        <x:v>0.000814765883671513</x:v>
      </x:c>
      <x:c r="C23" s="100" t="n">
        <x:f>'Raw Z'!L17</x:f>
        <x:v>0.01572538654441685</x:v>
      </x:c>
      <x:c r="D23" s="100" t="n">
        <x:f>$B$2</x:f>
        <x:v>-0.0009288398653362757</x:v>
      </x:c>
      <x:c r="E23" s="100" t="n">
        <x:f>C23-D23</x:f>
        <x:v>0.016654226409753125</x:v>
      </x:c>
      <x:c r="F23" s="100" t="n">
        <x:f>E23-B23</x:f>
        <x:v>0.015839460526081612</x:v>
      </x:c>
      <x:c r="G23" s="100" t="n">
        <x:f>ABS(F23)</x:f>
        <x:v>0.015839460526081612</x:v>
      </x:c>
      <x:c r="H23" s="100" t="n">
        <x:f>'Raw Z'!N17</x:f>
        <x:v>0.9369416838193019</x:v>
      </x:c>
      <x:c r="I23" t="b">
        <x:f>'Raw Z'!O17</x:f>
        <x:v>1</x:v>
      </x:c>
      <x:c r="J23" s="100" t="n">
        <x:f>IF(I23,B23,"")</x:f>
        <x:v>0.000814765883671513</x:v>
      </x:c>
      <x:c r="K23" s="100" t="n">
        <x:f>IF(I23,E23,"")</x:f>
        <x:v>0.016654226409753125</x:v>
      </x:c>
      <x:c r="L23" s="100" t="n">
        <x:f>IF(I23,G23,"")</x:f>
        <x:v>0.015839460526081612</x:v>
      </x:c>
      <x:c r="M23" s="100" t="n">
        <x:f>IF(I23,F23^2,"")</x:f>
        <x:v>0.00025088850975729757</x:v>
      </x:c>
      <x:c r="N23" s="100" t="n">
        <x:f>IF(I23,F23,"")</x:f>
        <x:v>0.015839460526081612</x:v>
      </x:c>
      <x:c r="P23" t="n">
        <x:f>J23</x:f>
        <x:v>0.000814765883671513</x:v>
      </x:c>
      <x:c r="Q23" t="n">
        <x:f>K23</x:f>
        <x:v>0.016654226409753125</x:v>
      </x:c>
    </x:row>
    <x:row r="24">
      <x:c r="A24" s="99" t="str">
        <x:f>'Raw Z'!B18</x:f>
        <x:v>00053</x:v>
      </x:c>
      <x:c r="B24" s="100" t="n">
        <x:f>INDEX('Raw Stations'!$D$2:$D$299,MATCH(A24,'Raw Stations'!$A$2:$A$299,0))</x:f>
        <x:v>-0.001777453088283948</x:v>
      </x:c>
      <x:c r="C24" s="100" t="n">
        <x:f>'Raw Z'!L18</x:f>
        <x:v>0.006834583466258148</x:v>
      </x:c>
      <x:c r="D24" s="100" t="n">
        <x:f>$B$2</x:f>
        <x:v>-0.0009288398653362757</x:v>
      </x:c>
      <x:c r="E24" s="100" t="n">
        <x:f>C24-D24</x:f>
        <x:v>0.007763423331594424</x:v>
      </x:c>
      <x:c r="F24" s="100" t="n">
        <x:f>E24-B24</x:f>
        <x:v>0.009540876419878372</x:v>
      </x:c>
      <x:c r="G24" s="100" t="n">
        <x:f>ABS(F24)</x:f>
        <x:v>0.009540876419878372</x:v>
      </x:c>
      <x:c r="H24" s="100" t="n">
        <x:f>'Raw Z'!N18</x:f>
        <x:v>0.8727252965273906</x:v>
      </x:c>
      <x:c r="I24" t="b">
        <x:f>'Raw Z'!O18</x:f>
        <x:v>1</x:v>
      </x:c>
      <x:c r="J24" s="100" t="n">
        <x:f>IF(I24,B24,"")</x:f>
        <x:v>-0.001777453088283948</x:v>
      </x:c>
      <x:c r="K24" s="100" t="n">
        <x:f>IF(I24,E24,"")</x:f>
        <x:v>0.007763423331594424</x:v>
      </x:c>
      <x:c r="L24" s="100" t="n">
        <x:f>IF(I24,G24,"")</x:f>
        <x:v>0.009540876419878372</x:v>
      </x:c>
      <x:c r="M24" s="100" t="n">
        <x:f>IF(I24,F24^2,"")</x:f>
        <x:v>0.00009102832285939114</x:v>
      </x:c>
      <x:c r="N24" s="100" t="n">
        <x:f>IF(I24,F24,"")</x:f>
        <x:v>0.009540876419878372</x:v>
      </x:c>
      <x:c r="P24" t="n">
        <x:f>J24</x:f>
        <x:v>-0.001777453088283948</x:v>
      </x:c>
      <x:c r="Q24" t="n">
        <x:f>K24</x:f>
        <x:v>0.007763423331594424</x:v>
      </x:c>
    </x:row>
    <x:row r="25">
      <x:c r="A25" s="99" t="str">
        <x:f>'Raw Z'!B19</x:f>
        <x:v>00054</x:v>
      </x:c>
      <x:c r="B25" s="100" t="n">
        <x:f>INDEX('Raw Stations'!$D$2:$D$299,MATCH(A25,'Raw Stations'!$A$2:$A$299,0))</x:f>
        <x:v>-0.00139910433944199</x:v>
      </x:c>
      <x:c r="C25" s="100" t="n">
        <x:f>'Raw Z'!L19</x:f>
        <x:v>0.01482069836901995</x:v>
      </x:c>
      <x:c r="D25" s="100" t="n">
        <x:f>$B$2</x:f>
        <x:v>-0.0009288398653362757</x:v>
      </x:c>
      <x:c r="E25" s="100" t="n">
        <x:f>C25-D25</x:f>
        <x:v>0.015749538234356226</x:v>
      </x:c>
      <x:c r="F25" s="100" t="n">
        <x:f>E25-B25</x:f>
        <x:v>0.017148642573798216</x:v>
      </x:c>
      <x:c r="G25" s="100" t="n">
        <x:f>ABS(F25)</x:f>
        <x:v>0.017148642573798216</x:v>
      </x:c>
      <x:c r="H25" s="100" t="n">
        <x:f>'Raw Z'!N19</x:f>
        <x:v>0.7438896426520829</x:v>
      </x:c>
      <x:c r="I25" t="b">
        <x:f>'Raw Z'!O19</x:f>
        <x:v>1</x:v>
      </x:c>
      <x:c r="J25" s="100" t="n">
        <x:f>IF(I25,B25,"")</x:f>
        <x:v>-0.00139910433944199</x:v>
      </x:c>
      <x:c r="K25" s="100" t="n">
        <x:f>IF(I25,E25,"")</x:f>
        <x:v>0.015749538234356226</x:v>
      </x:c>
      <x:c r="L25" s="100" t="n">
        <x:f>IF(I25,G25,"")</x:f>
        <x:v>0.017148642573798216</x:v>
      </x:c>
      <x:c r="M25" s="100" t="n">
        <x:f>IF(I25,F25^2,"")</x:f>
        <x:v>0.0002940759421238847</x:v>
      </x:c>
      <x:c r="N25" s="100" t="n">
        <x:f>IF(I25,F25,"")</x:f>
        <x:v>0.017148642573798216</x:v>
      </x:c>
      <x:c r="P25" t="n">
        <x:f>J25</x:f>
        <x:v>-0.00139910433944199</x:v>
      </x:c>
      <x:c r="Q25" t="n">
        <x:f>K25</x:f>
        <x:v>0.015749538234356226</x:v>
      </x:c>
    </x:row>
    <x:row r="26">
      <x:c r="A26" s="99" t="str">
        <x:f>'Raw Z'!B20</x:f>
        <x:v>00055</x:v>
      </x:c>
      <x:c r="B26" s="100" t="n">
        <x:f>INDEX('Raw Stations'!$D$2:$D$299,MATCH(A26,'Raw Stations'!$A$2:$A$299,0))</x:f>
        <x:v>-0.0008299823692701699</x:v>
      </x:c>
      <x:c r="C26" s="100" t="n">
        <x:f>'Raw Z'!L20</x:f>
        <x:v>-0.04983920735732086</x:v>
      </x:c>
      <x:c r="D26" s="100" t="n">
        <x:f>$B$2</x:f>
        <x:v>-0.0009288398653362757</x:v>
      </x:c>
      <x:c r="E26" s="100" t="n">
        <x:f>C26-D26</x:f>
        <x:v>-0.04891036749198458</x:v>
      </x:c>
      <x:c r="F26" s="100" t="n">
        <x:f>E26-B26</x:f>
        <x:v>-0.04808038512271441</x:v>
      </x:c>
      <x:c r="G26" s="100" t="n">
        <x:f>ABS(F26)</x:f>
        <x:v>0.04808038512271441</x:v>
      </x:c>
      <x:c r="H26" s="100" t="n">
        <x:f>'Raw Z'!N20</x:f>
        <x:v>0.8423567332750449</x:v>
      </x:c>
      <x:c r="I26" t="b">
        <x:f>'Raw Z'!O20</x:f>
        <x:v>1</x:v>
      </x:c>
      <x:c r="J26" s="100" t="n">
        <x:f>IF(I26,B26,"")</x:f>
        <x:v>-0.0008299823692701699</x:v>
      </x:c>
      <x:c r="K26" s="100" t="n">
        <x:f>IF(I26,E26,"")</x:f>
        <x:v>-0.04891036749198458</x:v>
      </x:c>
      <x:c r="L26" s="100" t="n">
        <x:f>IF(I26,G26,"")</x:f>
        <x:v>0.04808038512271441</x:v>
      </x:c>
      <x:c r="M26" s="100" t="n">
        <x:f>IF(I26,F26^2,"")</x:f>
        <x:v>0.0023117234335485373</x:v>
      </x:c>
      <x:c r="N26" s="100" t="n">
        <x:f>IF(I26,F26,"")</x:f>
        <x:v>-0.04808038512271441</x:v>
      </x:c>
      <x:c r="P26" t="n">
        <x:f>J26</x:f>
        <x:v>-0.0008299823692701699</x:v>
      </x:c>
      <x:c r="Q26" t="n">
        <x:f>K26</x:f>
        <x:v>-0.04891036749198458</x:v>
      </x:c>
    </x:row>
    <x:row r="27">
      <x:c r="A27" s="99" t="str">
        <x:f>'Raw Z'!B21</x:f>
        <x:v>00056</x:v>
      </x:c>
      <x:c r="B27" s="100" t="n">
        <x:f>INDEX('Raw Stations'!$D$2:$D$299,MATCH(A27,'Raw Stations'!$A$2:$A$299,0))</x:f>
        <x:v>-0.0001455628683264855</x:v>
      </x:c>
      <x:c r="C27" s="100" t="n">
        <x:f>'Raw Z'!L21</x:f>
        <x:v>0.01054332170031783</x:v>
      </x:c>
      <x:c r="D27" s="100" t="n">
        <x:f>$B$2</x:f>
        <x:v>-0.0009288398653362757</x:v>
      </x:c>
      <x:c r="E27" s="100" t="n">
        <x:f>C27-D27</x:f>
        <x:v>0.011472161565654105</x:v>
      </x:c>
      <x:c r="F27" s="100" t="n">
        <x:f>E27-B27</x:f>
        <x:v>0.01161772443398059</x:v>
      </x:c>
      <x:c r="G27" s="100" t="n">
        <x:f>ABS(F27)</x:f>
        <x:v>0.01161772443398059</x:v>
      </x:c>
      <x:c r="H27" s="100" t="n">
        <x:f>'Raw Z'!N21</x:f>
        <x:v>0.8172719654827975</x:v>
      </x:c>
      <x:c r="I27" t="b">
        <x:f>'Raw Z'!O21</x:f>
        <x:v>1</x:v>
      </x:c>
      <x:c r="J27" s="100" t="n">
        <x:f>IF(I27,B27,"")</x:f>
        <x:v>-0.0001455628683264855</x:v>
      </x:c>
      <x:c r="K27" s="100" t="n">
        <x:f>IF(I27,E27,"")</x:f>
        <x:v>0.011472161565654105</x:v>
      </x:c>
      <x:c r="L27" s="100" t="n">
        <x:f>IF(I27,G27,"")</x:f>
        <x:v>0.01161772443398059</x:v>
      </x:c>
      <x:c r="M27" s="100" t="n">
        <x:f>IF(I27,F27^2,"")</x:f>
        <x:v>0.00013497152102390962</x:v>
      </x:c>
      <x:c r="N27" s="100" t="n">
        <x:f>IF(I27,F27,"")</x:f>
        <x:v>0.01161772443398059</x:v>
      </x:c>
      <x:c r="P27" t="n">
        <x:f>J27</x:f>
        <x:v>-0.0001455628683264855</x:v>
      </x:c>
      <x:c r="Q27" t="n">
        <x:f>K27</x:f>
        <x:v>0.011472161565654105</x:v>
      </x:c>
    </x:row>
    <x:row r="28">
      <x:c r="A28" s="99" t="str">
        <x:f>'Raw Z'!B22</x:f>
        <x:v>00057</x:v>
      </x:c>
      <x:c r="B28" s="100" t="n">
        <x:f>INDEX('Raw Stations'!$D$2:$D$299,MATCH(A28,'Raw Stations'!$A$2:$A$299,0))</x:f>
        <x:v>0.003210485626882521</x:v>
      </x:c>
      <x:c r="C28" s="100" t="n">
        <x:f>'Raw Z'!L22</x:f>
        <x:v>-0.04924805801645762</x:v>
      </x:c>
      <x:c r="D28" s="100" t="n">
        <x:f>$B$2</x:f>
        <x:v>-0.0009288398653362757</x:v>
      </x:c>
      <x:c r="E28" s="100" t="n">
        <x:f>C28-D28</x:f>
        <x:v>-0.04831921815112134</x:v>
      </x:c>
      <x:c r="F28" s="100" t="n">
        <x:f>E28-B28</x:f>
        <x:v>-0.051529703778003866</x:v>
      </x:c>
      <x:c r="G28" s="100" t="n">
        <x:f>ABS(F28)</x:f>
        <x:v>0.051529703778003866</x:v>
      </x:c>
      <x:c r="H28" s="100" t="n">
        <x:f>'Raw Z'!N22</x:f>
        <x:v>0.6821532916534747</x:v>
      </x:c>
      <x:c r="I28" t="b">
        <x:f>'Raw Z'!O22</x:f>
        <x:v>1</x:v>
      </x:c>
      <x:c r="J28" s="100" t="n">
        <x:f>IF(I28,B28,"")</x:f>
        <x:v>0.003210485626882521</x:v>
      </x:c>
      <x:c r="K28" s="100" t="n">
        <x:f>IF(I28,E28,"")</x:f>
        <x:v>-0.04831921815112134</x:v>
      </x:c>
      <x:c r="L28" s="100" t="n">
        <x:f>IF(I28,G28,"")</x:f>
        <x:v>0.051529703778003866</x:v>
      </x:c>
      <x:c r="M28" s="100" t="n">
        <x:f>IF(I28,F28^2,"")</x:f>
        <x:v>0.002655310371448826</x:v>
      </x:c>
      <x:c r="N28" s="100" t="n">
        <x:f>IF(I28,F28,"")</x:f>
        <x:v>-0.051529703778003866</x:v>
      </x:c>
      <x:c r="P28" t="n">
        <x:f>J28</x:f>
        <x:v>0.003210485626882521</x:v>
      </x:c>
      <x:c r="Q28" t="n">
        <x:f>K28</x:f>
        <x:v>-0.04831921815112134</x:v>
      </x:c>
    </x:row>
    <x:row r="29">
      <x:c r="A29" s="99" t="str">
        <x:f>'Raw Z'!B23</x:f>
        <x:v>00059</x:v>
      </x:c>
      <x:c r="B29" s="100" t="n">
        <x:f>INDEX('Raw Stations'!$D$2:$D$299,MATCH(A29,'Raw Stations'!$A$2:$A$299,0))</x:f>
        <x:v>0.01677899036493022</x:v>
      </x:c>
      <x:c r="C29" s="100" t="n">
        <x:f>'Raw Z'!L23</x:f>
        <x:v>0.02728353057413468</x:v>
      </x:c>
      <x:c r="D29" s="100" t="n">
        <x:f>$B$2</x:f>
        <x:v>-0.0009288398653362757</x:v>
      </x:c>
      <x:c r="E29" s="100" t="n">
        <x:f>C29-D29</x:f>
        <x:v>0.028212370439470957</x:v>
      </x:c>
      <x:c r="F29" s="100" t="n">
        <x:f>E29-B29</x:f>
        <x:v>0.011433380074540738</x:v>
      </x:c>
      <x:c r="G29" s="100" t="n">
        <x:f>ABS(F29)</x:f>
        <x:v>0.011433380074540738</x:v>
      </x:c>
      <x:c r="H29" s="100" t="n">
        <x:f>'Raw Z'!N23</x:f>
        <x:v>0.7547926273978346</x:v>
      </x:c>
      <x:c r="I29" t="b">
        <x:f>'Raw Z'!O23</x:f>
        <x:v>1</x:v>
      </x:c>
      <x:c r="J29" s="100" t="n">
        <x:f>IF(I29,B29,"")</x:f>
        <x:v>0.01677899036493022</x:v>
      </x:c>
      <x:c r="K29" s="100" t="n">
        <x:f>IF(I29,E29,"")</x:f>
        <x:v>0.028212370439470957</x:v>
      </x:c>
      <x:c r="L29" s="100" t="n">
        <x:f>IF(I29,G29,"")</x:f>
        <x:v>0.011433380074540738</x:v>
      </x:c>
      <x:c r="M29" s="100" t="n">
        <x:f>IF(I29,F29^2,"")</x:f>
        <x:v>0.00013072217992890516</x:v>
      </x:c>
      <x:c r="N29" s="100" t="n">
        <x:f>IF(I29,F29,"")</x:f>
        <x:v>0.011433380074540738</x:v>
      </x:c>
      <x:c r="P29" t="n">
        <x:f>J29</x:f>
        <x:v>0.01677899036493022</x:v>
      </x:c>
      <x:c r="Q29" t="n">
        <x:f>K29</x:f>
        <x:v>0.028212370439470957</x:v>
      </x:c>
    </x:row>
    <x:row r="30">
      <x:c r="A30" s="99" t="str">
        <x:f>'Raw Z'!B24</x:f>
        <x:v>00060</x:v>
      </x:c>
      <x:c r="B30" s="100" t="n">
        <x:f>INDEX('Raw Stations'!$D$2:$D$299,MATCH(A30,'Raw Stations'!$A$2:$A$299,0))</x:f>
        <x:v>0.01538300236054295</x:v>
      </x:c>
      <x:c r="C30" s="100" t="n">
        <x:f>'Raw Z'!L24</x:f>
        <x:v>0.03991747576215196</x:v>
      </x:c>
      <x:c r="D30" s="100" t="n">
        <x:f>$B$2</x:f>
        <x:v>-0.0009288398653362757</x:v>
      </x:c>
      <x:c r="E30" s="100" t="n">
        <x:f>C30-D30</x:f>
        <x:v>0.040846315627488236</x:v>
      </x:c>
      <x:c r="F30" s="100" t="n">
        <x:f>E30-B30</x:f>
        <x:v>0.025463313266945287</x:v>
      </x:c>
      <x:c r="G30" s="100" t="n">
        <x:f>ABS(F30)</x:f>
        <x:v>0.025463313266945287</x:v>
      </x:c>
      <x:c r="H30" s="100" t="n">
        <x:f>'Raw Z'!N24</x:f>
        <x:v>0.8100588981177028</x:v>
      </x:c>
      <x:c r="I30" t="b">
        <x:f>'Raw Z'!O24</x:f>
        <x:v>1</x:v>
      </x:c>
      <x:c r="J30" s="100" t="n">
        <x:f>IF(I30,B30,"")</x:f>
        <x:v>0.01538300236054295</x:v>
      </x:c>
      <x:c r="K30" s="100" t="n">
        <x:f>IF(I30,E30,"")</x:f>
        <x:v>0.040846315627488236</x:v>
      </x:c>
      <x:c r="L30" s="100" t="n">
        <x:f>IF(I30,G30,"")</x:f>
        <x:v>0.025463313266945287</x:v>
      </x:c>
      <x:c r="M30" s="100" t="n">
        <x:f>IF(I30,F30^2,"")</x:f>
        <x:v>0.0006483803225305918</x:v>
      </x:c>
      <x:c r="N30" s="100" t="n">
        <x:f>IF(I30,F30,"")</x:f>
        <x:v>0.025463313266945287</x:v>
      </x:c>
      <x:c r="P30" t="n">
        <x:f>J30</x:f>
        <x:v>0.01538300236054295</x:v>
      </x:c>
      <x:c r="Q30" t="n">
        <x:f>K30</x:f>
        <x:v>0.040846315627488236</x:v>
      </x:c>
    </x:row>
    <x:row r="31">
      <x:c r="A31" s="99" t="str">
        <x:f>'Raw Z'!B25</x:f>
        <x:v>00061</x:v>
      </x:c>
      <x:c r="B31" s="100" t="n">
        <x:f>INDEX('Raw Stations'!$D$2:$D$299,MATCH(A31,'Raw Stations'!$A$2:$A$299,0))</x:f>
        <x:v>0.01209617621466055</x:v>
      </x:c>
      <x:c r="C31" s="100" t="n">
        <x:f>'Raw Z'!L25</x:f>
        <x:v>0.04958582768912308</x:v>
      </x:c>
      <x:c r="D31" s="100" t="n">
        <x:f>$B$2</x:f>
        <x:v>-0.0009288398653362757</x:v>
      </x:c>
      <x:c r="E31" s="100" t="n">
        <x:f>C31-D31</x:f>
        <x:v>0.05051466755445935</x:v>
      </x:c>
      <x:c r="F31" s="100" t="n">
        <x:f>E31-B31</x:f>
        <x:v>0.0384184913397988</x:v>
      </x:c>
      <x:c r="G31" s="100" t="n">
        <x:f>ABS(F31)</x:f>
        <x:v>0.0384184913397988</x:v>
      </x:c>
      <x:c r="H31" s="100" t="n">
        <x:f>'Raw Z'!N25</x:f>
        <x:v>0.8746077931722798</x:v>
      </x:c>
      <x:c r="I31" t="b">
        <x:f>'Raw Z'!O25</x:f>
        <x:v>1</x:v>
      </x:c>
      <x:c r="J31" s="100" t="n">
        <x:f>IF(I31,B31,"")</x:f>
        <x:v>0.01209617621466055</x:v>
      </x:c>
      <x:c r="K31" s="100" t="n">
        <x:f>IF(I31,E31,"")</x:f>
        <x:v>0.05051466755445935</x:v>
      </x:c>
      <x:c r="L31" s="100" t="n">
        <x:f>IF(I31,G31,"")</x:f>
        <x:v>0.0384184913397988</x:v>
      </x:c>
      <x:c r="M31" s="100" t="n">
        <x:f>IF(I31,F31^2,"")</x:f>
        <x:v>0.0014759804768261953</x:v>
      </x:c>
      <x:c r="N31" s="100" t="n">
        <x:f>IF(I31,F31,"")</x:f>
        <x:v>0.0384184913397988</x:v>
      </x:c>
      <x:c r="P31" t="n">
        <x:f>J31</x:f>
        <x:v>0.01209617621466055</x:v>
      </x:c>
      <x:c r="Q31" t="n">
        <x:f>K31</x:f>
        <x:v>0.05051466755445935</x:v>
      </x:c>
    </x:row>
    <x:row r="32">
      <x:c r="A32" s="99" t="str">
        <x:f>'Raw Z'!B26</x:f>
        <x:v>00062</x:v>
      </x:c>
      <x:c r="B32" s="100" t="n">
        <x:f>INDEX('Raw Stations'!$D$2:$D$299,MATCH(A32,'Raw Stations'!$A$2:$A$299,0))</x:f>
        <x:v>0.02100475637705957</x:v>
      </x:c>
      <x:c r="C32" s="100" t="n">
        <x:f>'Raw Z'!L26</x:f>
        <x:v>0.04946166662573553</x:v>
      </x:c>
      <x:c r="D32" s="100" t="n">
        <x:f>$B$2</x:f>
        <x:v>-0.0009288398653362757</x:v>
      </x:c>
      <x:c r="E32" s="100" t="n">
        <x:f>C32-D32</x:f>
        <x:v>0.0503905064910718</x:v>
      </x:c>
      <x:c r="F32" s="100" t="n">
        <x:f>E32-B32</x:f>
        <x:v>0.029385750114012232</x:v>
      </x:c>
      <x:c r="G32" s="100" t="n">
        <x:f>ABS(F32)</x:f>
        <x:v>0.029385750114012232</x:v>
      </x:c>
      <x:c r="H32" s="100" t="n">
        <x:f>'Raw Z'!N26</x:f>
        <x:v>0.7171386582230485</x:v>
      </x:c>
      <x:c r="I32" t="b">
        <x:f>'Raw Z'!O26</x:f>
        <x:v>1</x:v>
      </x:c>
      <x:c r="J32" s="100" t="n">
        <x:f>IF(I32,B32,"")</x:f>
        <x:v>0.02100475637705957</x:v>
      </x:c>
      <x:c r="K32" s="100" t="n">
        <x:f>IF(I32,E32,"")</x:f>
        <x:v>0.0503905064910718</x:v>
      </x:c>
      <x:c r="L32" s="100" t="n">
        <x:f>IF(I32,G32,"")</x:f>
        <x:v>0.029385750114012232</x:v>
      </x:c>
      <x:c r="M32" s="100" t="n">
        <x:f>IF(I32,F32^2,"")</x:f>
        <x:v>0.0008635223097631699</x:v>
      </x:c>
      <x:c r="N32" s="100" t="n">
        <x:f>IF(I32,F32,"")</x:f>
        <x:v>0.029385750114012232</x:v>
      </x:c>
      <x:c r="P32" t="n">
        <x:f>J32</x:f>
        <x:v>0.02100475637705957</x:v>
      </x:c>
      <x:c r="Q32" t="n">
        <x:f>K32</x:f>
        <x:v>0.0503905064910718</x:v>
      </x:c>
    </x:row>
    <x:row r="33">
      <x:c r="A33" s="99" t="str">
        <x:f>'Raw Z'!B27</x:f>
        <x:v>00063</x:v>
      </x:c>
      <x:c r="B33" s="100" t="n">
        <x:f>INDEX('Raw Stations'!$D$2:$D$299,MATCH(A33,'Raw Stations'!$A$2:$A$299,0))</x:f>
        <x:v>-0.001555160798704242</x:v>
      </x:c>
      <x:c r="C33" s="100" t="n">
        <x:f>'Raw Z'!L27</x:f>
        <x:v>-0.005112759441309206</x:v>
      </x:c>
      <x:c r="D33" s="100" t="n">
        <x:f>$B$2</x:f>
        <x:v>-0.0009288398653362757</x:v>
      </x:c>
      <x:c r="E33" s="100" t="n">
        <x:f>C33-D33</x:f>
        <x:v>-0.00418391957597293</x:v>
      </x:c>
      <x:c r="F33" s="100" t="n">
        <x:f>E33-B33</x:f>
        <x:v>-0.0026287587772686884</x:v>
      </x:c>
      <x:c r="G33" s="100" t="n">
        <x:f>ABS(F33)</x:f>
        <x:v>0.0026287587772686884</x:v>
      </x:c>
      <x:c r="H33" s="100" t="n">
        <x:f>'Raw Z'!N27</x:f>
        <x:v>0.7102833866630639</x:v>
      </x:c>
      <x:c r="I33" t="b">
        <x:f>'Raw Z'!O27</x:f>
        <x:v>1</x:v>
      </x:c>
      <x:c r="J33" s="100" t="n">
        <x:f>IF(I33,B33,"")</x:f>
        <x:v>-0.001555160798704242</x:v>
      </x:c>
      <x:c r="K33" s="100" t="n">
        <x:f>IF(I33,E33,"")</x:f>
        <x:v>-0.00418391957597293</x:v>
      </x:c>
      <x:c r="L33" s="100" t="n">
        <x:f>IF(I33,G33,"")</x:f>
        <x:v>0.0026287587772686884</x:v>
      </x:c>
      <x:c r="M33" s="100" t="n">
        <x:f>IF(I33,F33^2,"")</x:f>
        <x:v>0.00000691037270906717</x:v>
      </x:c>
      <x:c r="N33" s="100" t="n">
        <x:f>IF(I33,F33,"")</x:f>
        <x:v>-0.0026287587772686884</x:v>
      </x:c>
      <x:c r="P33" t="n">
        <x:f>J33</x:f>
        <x:v>-0.001555160798704242</x:v>
      </x:c>
      <x:c r="Q33" t="n">
        <x:f>K33</x:f>
        <x:v>-0.00418391957597293</x:v>
      </x:c>
    </x:row>
    <x:row r="34">
      <x:c r="A34" s="99" t="str">
        <x:f>'Raw Z'!B28</x:f>
        <x:v>00064</x:v>
      </x:c>
      <x:c r="B34" s="100" t="n">
        <x:f>INDEX('Raw Stations'!$D$2:$D$299,MATCH(A34,'Raw Stations'!$A$2:$A$299,0))</x:f>
        <x:v>-0.002851098971430328</x:v>
      </x:c>
      <x:c r="C34" s="100" t="n">
        <x:f>'Raw Z'!L28</x:f>
        <x:v>0.001605811277245656</x:v>
      </x:c>
      <x:c r="D34" s="100" t="n">
        <x:f>$B$2</x:f>
        <x:v>-0.0009288398653362757</x:v>
      </x:c>
      <x:c r="E34" s="100" t="n">
        <x:f>C34-D34</x:f>
        <x:v>0.0025346511425819317</x:v>
      </x:c>
      <x:c r="F34" s="100" t="n">
        <x:f>E34-B34</x:f>
        <x:v>0.00538575011401226</x:v>
      </x:c>
      <x:c r="G34" s="100" t="n">
        <x:f>ABS(F34)</x:f>
        <x:v>0.00538575011401226</x:v>
      </x:c>
      <x:c r="H34" s="100" t="n">
        <x:f>'Raw Z'!N28</x:f>
        <x:v>0.9346218847334775</x:v>
      </x:c>
      <x:c r="I34" t="b">
        <x:f>'Raw Z'!O28</x:f>
        <x:v>1</x:v>
      </x:c>
      <x:c r="J34" s="100" t="n">
        <x:f>IF(I34,B34,"")</x:f>
        <x:v>-0.002851098971430328</x:v>
      </x:c>
      <x:c r="K34" s="100" t="n">
        <x:f>IF(I34,E34,"")</x:f>
        <x:v>0.0025346511425819317</x:v>
      </x:c>
      <x:c r="L34" s="100" t="n">
        <x:f>IF(I34,G34,"")</x:f>
        <x:v>0.00538575011401226</x:v>
      </x:c>
      <x:c r="M34" s="100" t="n">
        <x:f>IF(I34,F34^2,"")</x:f>
        <x:v>0.000029006304290583067</x:v>
      </x:c>
      <x:c r="N34" s="100" t="n">
        <x:f>IF(I34,F34,"")</x:f>
        <x:v>0.00538575011401226</x:v>
      </x:c>
      <x:c r="P34" t="n">
        <x:f>J34</x:f>
        <x:v>-0.002851098971430328</x:v>
      </x:c>
      <x:c r="Q34" t="n">
        <x:f>K34</x:f>
        <x:v>0.0025346511425819317</x:v>
      </x:c>
    </x:row>
    <x:row r="35">
      <x:c r="A35" s="99" t="str">
        <x:f>'Raw Z'!B29</x:f>
        <x:v>00065</x:v>
      </x:c>
      <x:c r="B35" s="100" t="n">
        <x:f>INDEX('Raw Stations'!$D$2:$D$299,MATCH(A35,'Raw Stations'!$A$2:$A$299,0))</x:f>
        <x:v>-0.00007756315293306823</x:v>
      </x:c>
      <x:c r="C35" s="100" t="n">
        <x:f>'Raw Z'!L29</x:f>
        <x:v>0.0004569102486759458</x:v>
      </x:c>
      <x:c r="D35" s="100" t="n">
        <x:f>$B$2</x:f>
        <x:v>-0.0009288398653362757</x:v>
      </x:c>
      <x:c r="E35" s="100" t="n">
        <x:f>C35-D35</x:f>
        <x:v>0.0013857501140122216</x:v>
      </x:c>
      <x:c r="F35" s="100" t="n">
        <x:f>E35-B35</x:f>
        <x:v>0.0014633132669452898</x:v>
      </x:c>
      <x:c r="G35" s="100" t="n">
        <x:f>ABS(F35)</x:f>
        <x:v>0.0014633132669452898</x:v>
      </x:c>
      <x:c r="H35" s="100" t="n">
        <x:f>'Raw Z'!N29</x:f>
        <x:v>0.9658562162337639</x:v>
      </x:c>
      <x:c r="I35" t="b">
        <x:f>'Raw Z'!O29</x:f>
        <x:v>1</x:v>
      </x:c>
      <x:c r="J35" s="100" t="n">
        <x:f>IF(I35,B35,"")</x:f>
        <x:v>-0.00007756315293306823</x:v>
      </x:c>
      <x:c r="K35" s="100" t="n">
        <x:f>IF(I35,E35,"")</x:f>
        <x:v>0.0013857501140122216</x:v>
      </x:c>
      <x:c r="L35" s="100" t="n">
        <x:f>IF(I35,G35,"")</x:f>
        <x:v>0.0014633132669452898</x:v>
      </x:c>
      <x:c r="M35" s="100" t="n">
        <x:f>IF(I35,F35^2,"")</x:f>
        <x:v>0.000002141285717218097</x:v>
      </x:c>
      <x:c r="N35" s="100" t="n">
        <x:f>IF(I35,F35,"")</x:f>
        <x:v>0.0014633132669452898</x:v>
      </x:c>
      <x:c r="P35" t="n">
        <x:f>J35</x:f>
        <x:v>-0.00007756315293306823</x:v>
      </x:c>
      <x:c r="Q35" t="n">
        <x:f>K35</x:f>
        <x:v>0.0013857501140122216</x:v>
      </x:c>
    </x:row>
    <x:row r="36">
      <x:c r="A36" s="99" t="str">
        <x:f>'Raw Z'!B30</x:f>
        <x:v>00066</x:v>
      </x:c>
      <x:c r="B36" s="100" t="n">
        <x:f>INDEX('Raw Stations'!$D$2:$D$299,MATCH(A36,'Raw Stations'!$A$2:$A$299,0))</x:f>
        <x:v>-0.002358009310657449</x:v>
      </x:c>
      <x:c r="C36" s="100" t="n">
        <x:f>'Raw Z'!L30</x:f>
        <x:v>0.01017646409095158</x:v>
      </x:c>
      <x:c r="D36" s="100" t="n">
        <x:f>$B$2</x:f>
        <x:v>-0.0009288398653362757</x:v>
      </x:c>
      <x:c r="E36" s="100" t="n">
        <x:f>C36-D36</x:f>
        <x:v>0.011105303956287855</x:v>
      </x:c>
      <x:c r="F36" s="100" t="n">
        <x:f>E36-B36</x:f>
        <x:v>0.013463313266945304</x:v>
      </x:c>
      <x:c r="G36" s="100" t="n">
        <x:f>ABS(F36)</x:f>
        <x:v>0.013463313266945304</x:v>
      </x:c>
      <x:c r="H36" s="100" t="n">
        <x:f>'Raw Z'!N30</x:f>
        <x:v>0.9452822536385846</x:v>
      </x:c>
      <x:c r="I36" t="b">
        <x:f>'Raw Z'!O30</x:f>
        <x:v>1</x:v>
      </x:c>
      <x:c r="J36" s="100" t="n">
        <x:f>IF(I36,B36,"")</x:f>
        <x:v>-0.002358009310657449</x:v>
      </x:c>
      <x:c r="K36" s="100" t="n">
        <x:f>IF(I36,E36,"")</x:f>
        <x:v>0.011105303956287855</x:v>
      </x:c>
      <x:c r="L36" s="100" t="n">
        <x:f>IF(I36,G36,"")</x:f>
        <x:v>0.013463313266945304</x:v>
      </x:c>
      <x:c r="M36" s="100" t="n">
        <x:f>IF(I36,F36^2,"")</x:f>
        <x:v>0.00018126080412390544</x:v>
      </x:c>
      <x:c r="N36" s="100" t="n">
        <x:f>IF(I36,F36,"")</x:f>
        <x:v>0.013463313266945304</x:v>
      </x:c>
      <x:c r="P36" t="n">
        <x:f>J36</x:f>
        <x:v>-0.002358009310657449</x:v>
      </x:c>
      <x:c r="Q36" t="n">
        <x:f>K36</x:f>
        <x:v>0.011105303956287855</x:v>
      </x:c>
    </x:row>
    <x:row r="37">
      <x:c r="A37" s="99" t="str">
        <x:f>'Raw Z'!B31</x:f>
        <x:v>00067</x:v>
      </x:c>
      <x:c r="B37" s="100" t="n">
        <x:f>INDEX('Raw Stations'!$D$2:$D$299,MATCH(A37,'Raw Stations'!$A$2:$A$299,0))</x:f>
        <x:v>-0.001078709786160901</x:v>
      </x:c>
      <x:c r="C37" s="100" t="n">
        <x:f>'Raw Z'!L31</x:f>
        <x:v>-0.002745421826417183</x:v>
      </x:c>
      <x:c r="D37" s="100" t="n">
        <x:f>$B$2</x:f>
        <x:v>-0.0009288398653362757</x:v>
      </x:c>
      <x:c r="E37" s="100" t="n">
        <x:f>C37-D37</x:f>
        <x:v>-0.0018165819610809074</x:v>
      </x:c>
      <x:c r="F37" s="100" t="n">
        <x:f>E37-B37</x:f>
        <x:v>-0.0007378721749200063</x:v>
      </x:c>
      <x:c r="G37" s="100" t="n">
        <x:f>ABS(F37)</x:f>
        <x:v>0.0007378721749200063</x:v>
      </x:c>
      <x:c r="H37" s="100" t="n">
        <x:f>'Raw Z'!N31</x:f>
        <x:v>0.9493360139608332</x:v>
      </x:c>
      <x:c r="I37" t="b">
        <x:f>'Raw Z'!O31</x:f>
        <x:v>1</x:v>
      </x:c>
      <x:c r="J37" s="100" t="n">
        <x:f>IF(I37,B37,"")</x:f>
        <x:v>-0.001078709786160901</x:v>
      </x:c>
      <x:c r="K37" s="100" t="n">
        <x:f>IF(I37,E37,"")</x:f>
        <x:v>-0.0018165819610809074</x:v>
      </x:c>
      <x:c r="L37" s="100" t="n">
        <x:f>IF(I37,G37,"")</x:f>
        <x:v>0.0007378721749200063</x:v>
      </x:c>
      <x:c r="M37" s="100" t="n">
        <x:f>IF(I37,F37^2,"")</x:f>
        <x:v>5.444553465211804e-7</x:v>
      </x:c>
      <x:c r="N37" s="100" t="n">
        <x:f>IF(I37,F37,"")</x:f>
        <x:v>-0.0007378721749200063</x:v>
      </x:c>
      <x:c r="P37" t="n">
        <x:f>J37</x:f>
        <x:v>-0.001078709786160901</x:v>
      </x:c>
      <x:c r="Q37" t="n">
        <x:f>K37</x:f>
        <x:v>-0.0018165819610809074</x:v>
      </x:c>
    </x:row>
    <x:row r="38">
      <x:c r="A38" s="99" t="str">
        <x:f>'Raw Z'!B32</x:f>
        <x:v>00068</x:v>
      </x:c>
      <x:c r="B38" s="100" t="n">
        <x:f>INDEX('Raw Stations'!$D$2:$D$299,MATCH(A38,'Raw Stations'!$A$2:$A$299,0))</x:f>
        <x:v>0.004258249371668545</x:v>
      </x:c>
      <x:c r="C38" s="100" t="n">
        <x:f>'Raw Z'!L32</x:f>
        <x:v>0.03916887003241387</x:v>
      </x:c>
      <x:c r="D38" s="100" t="n">
        <x:f>$B$2</x:f>
        <x:v>-0.0009288398653362757</x:v>
      </x:c>
      <x:c r="E38" s="100" t="n">
        <x:f>C38-D38</x:f>
        <x:v>0.04009770989775015</x:v>
      </x:c>
      <x:c r="F38" s="100" t="n">
        <x:f>E38-B38</x:f>
        <x:v>0.0358394605260816</x:v>
      </x:c>
      <x:c r="G38" s="100" t="n">
        <x:f>ABS(F38)</x:f>
        <x:v>0.0358394605260816</x:v>
      </x:c>
      <x:c r="H38" s="100" t="n">
        <x:f>'Raw Z'!N32</x:f>
        <x:v>0.5602860223475106</x:v>
      </x:c>
      <x:c r="I38" t="b">
        <x:f>'Raw Z'!O32</x:f>
        <x:v>0</x:v>
      </x:c>
      <x:c r="J38" s="100" t="str">
        <x:f>IF(I38,B38,"")</x:f>
      </x:c>
      <x:c r="K38" s="100" t="str">
        <x:f>IF(I38,E38,"")</x:f>
      </x:c>
      <x:c r="L38" s="100" t="str">
        <x:f>IF(I38,G38,"")</x:f>
      </x:c>
      <x:c r="M38" s="100" t="str">
        <x:f>IF(I38,F38^2,"")</x:f>
      </x:c>
      <x:c r="N38" s="100" t="str">
        <x:f>IF(I38,F38,"")</x:f>
      </x:c>
      <x:c r="P38" t="str">
        <x:f>J38</x:f>
      </x:c>
      <x:c r="Q38" t="str">
        <x:f>K38</x:f>
      </x:c>
    </x:row>
    <x:row r="39">
      <x:c r="A39" s="99" t="str">
        <x:f>'Raw Z'!B33</x:f>
        <x:v>00069</x:v>
      </x:c>
      <x:c r="B39" s="100" t="n">
        <x:f>INDEX('Raw Stations'!$D$2:$D$299,MATCH(A39,'Raw Stations'!$A$2:$A$299,0))</x:f>
        <x:v>0.001685727655549044</x:v>
      </x:c>
      <x:c r="C39" s="100" t="n">
        <x:f>'Raw Z'!L33</x:f>
        <x:v>0.01822020105715808</x:v>
      </x:c>
      <x:c r="D39" s="100" t="n">
        <x:f>$B$2</x:f>
        <x:v>-0.0009288398653362757</x:v>
      </x:c>
      <x:c r="E39" s="100" t="n">
        <x:f>C39-D39</x:f>
        <x:v>0.019149040922494354</x:v>
      </x:c>
      <x:c r="F39" s="100" t="n">
        <x:f>E39-B39</x:f>
        <x:v>0.01746331326694531</x:v>
      </x:c>
      <x:c r="G39" s="100" t="n">
        <x:f>ABS(F39)</x:f>
        <x:v>0.01746331326694531</x:v>
      </x:c>
      <x:c r="H39" s="100" t="n">
        <x:f>'Raw Z'!N33</x:f>
        <x:v>0.7017110042921748</x:v>
      </x:c>
      <x:c r="I39" t="b">
        <x:f>'Raw Z'!O33</x:f>
        <x:v>1</x:v>
      </x:c>
      <x:c r="J39" s="100" t="n">
        <x:f>IF(I39,B39,"")</x:f>
        <x:v>0.001685727655549044</x:v>
      </x:c>
      <x:c r="K39" s="100" t="n">
        <x:f>IF(I39,E39,"")</x:f>
        <x:v>0.019149040922494354</x:v>
      </x:c>
      <x:c r="L39" s="100" t="n">
        <x:f>IF(I39,G39,"")</x:f>
        <x:v>0.01746331326694531</x:v>
      </x:c>
      <x:c r="M39" s="100" t="n">
        <x:f>IF(I39,F39^2,"")</x:f>
        <x:v>0.0003049673102594681</x:v>
      </x:c>
      <x:c r="N39" s="100" t="n">
        <x:f>IF(I39,F39,"")</x:f>
        <x:v>0.01746331326694531</x:v>
      </x:c>
      <x:c r="P39" t="n">
        <x:f>J39</x:f>
        <x:v>0.001685727655549044</x:v>
      </x:c>
      <x:c r="Q39" t="n">
        <x:f>K39</x:f>
        <x:v>0.019149040922494354</x:v>
      </x:c>
    </x:row>
    <x:row r="40">
      <x:c r="A40" s="99" t="str">
        <x:f>'Raw Z'!B34</x:f>
        <x:v>00070</x:v>
      </x:c>
      <x:c r="B40" s="100" t="n">
        <x:f>INDEX('Raw Stations'!$D$2:$D$299,MATCH(A40,'Raw Stations'!$A$2:$A$299,0))</x:f>
        <x:v>0.002677299169714938</x:v>
      </x:c>
      <x:c r="C40" s="100" t="n">
        <x:f>'Raw Z'!L34</x:f>
        <x:v>0.009913918796924492</x:v>
      </x:c>
      <x:c r="D40" s="100" t="n">
        <x:f>$B$2</x:f>
        <x:v>-0.0009288398653362757</x:v>
      </x:c>
      <x:c r="E40" s="100" t="n">
        <x:f>C40-D40</x:f>
        <x:v>0.010842758662260768</x:v>
      </x:c>
      <x:c r="F40" s="100" t="n">
        <x:f>E40-B40</x:f>
        <x:v>0.00816545949254583</x:v>
      </x:c>
      <x:c r="G40" s="100" t="n">
        <x:f>ABS(F40)</x:f>
        <x:v>0.00816545949254583</x:v>
      </x:c>
      <x:c r="H40" s="100" t="n">
        <x:f>'Raw Z'!N34</x:f>
        <x:v>0.6060904752884734</x:v>
      </x:c>
      <x:c r="I40" t="b">
        <x:f>'Raw Z'!O34</x:f>
        <x:v>1</x:v>
      </x:c>
      <x:c r="J40" s="100" t="n">
        <x:f>IF(I40,B40,"")</x:f>
        <x:v>0.002677299169714938</x:v>
      </x:c>
      <x:c r="K40" s="100" t="n">
        <x:f>IF(I40,E40,"")</x:f>
        <x:v>0.010842758662260768</x:v>
      </x:c>
      <x:c r="L40" s="100" t="n">
        <x:f>IF(I40,G40,"")</x:f>
        <x:v>0.00816545949254583</x:v>
      </x:c>
      <x:c r="M40" s="100" t="n">
        <x:f>IF(I40,F40^2,"")</x:f>
        <x:v>0.0000666747287244068</x:v>
      </x:c>
      <x:c r="N40" s="100" t="n">
        <x:f>IF(I40,F40,"")</x:f>
        <x:v>0.00816545949254583</x:v>
      </x:c>
      <x:c r="P40" t="n">
        <x:f>J40</x:f>
        <x:v>0.002677299169714938</x:v>
      </x:c>
      <x:c r="Q40" t="n">
        <x:f>K40</x:f>
        <x:v>0.010842758662260768</x:v>
      </x:c>
    </x:row>
    <x:row r="41">
      <x:c r="A41" s="99" t="str">
        <x:f>'Raw Z'!B35</x:f>
        <x:v>00071</x:v>
      </x:c>
      <x:c r="B41" s="100" t="n">
        <x:f>INDEX('Raw Stations'!$D$2:$D$299,MATCH(A41,'Raw Stations'!$A$2:$A$299,0))</x:f>
        <x:v>0.00347313508830038</x:v>
      </x:c>
      <x:c r="C41" s="100" t="n">
        <x:f>'Raw Z'!L35</x:f>
        <x:v>0.04351819953318489</x:v>
      </x:c>
      <x:c r="D41" s="100" t="n">
        <x:f>$B$2</x:f>
        <x:v>-0.0009288398653362757</x:v>
      </x:c>
      <x:c r="E41" s="100" t="n">
        <x:f>C41-D41</x:f>
        <x:v>0.04444703939852117</x:v>
      </x:c>
      <x:c r="F41" s="100" t="n">
        <x:f>E41-B41</x:f>
        <x:v>0.040973904310220785</x:v>
      </x:c>
      <x:c r="G41" s="100" t="n">
        <x:f>ABS(F41)</x:f>
        <x:v>0.040973904310220785</x:v>
      </x:c>
      <x:c r="H41" s="100" t="n">
        <x:f>'Raw Z'!N35</x:f>
        <x:v>0.7794099106248624</x:v>
      </x:c>
      <x:c r="I41" t="b">
        <x:f>'Raw Z'!O35</x:f>
        <x:v>1</x:v>
      </x:c>
      <x:c r="J41" s="100" t="n">
        <x:f>IF(I41,B41,"")</x:f>
        <x:v>0.00347313508830038</x:v>
      </x:c>
      <x:c r="K41" s="100" t="n">
        <x:f>IF(I41,E41,"")</x:f>
        <x:v>0.04444703939852117</x:v>
      </x:c>
      <x:c r="L41" s="100" t="n">
        <x:f>IF(I41,G41,"")</x:f>
        <x:v>0.040973904310220785</x:v>
      </x:c>
      <x:c r="M41" s="100" t="n">
        <x:f>IF(I41,F41^2,"")</x:f>
        <x:v>0.0016788608344231295</x:v>
      </x:c>
      <x:c r="N41" s="100" t="n">
        <x:f>IF(I41,F41,"")</x:f>
        <x:v>0.040973904310220785</x:v>
      </x:c>
      <x:c r="P41" t="n">
        <x:f>J41</x:f>
        <x:v>0.00347313508830038</x:v>
      </x:c>
      <x:c r="Q41" t="n">
        <x:f>K41</x:f>
        <x:v>0.04444703939852117</x:v>
      </x:c>
    </x:row>
    <x:row r="42">
      <x:c r="A42" s="99" t="str">
        <x:f>'Raw Z'!B36</x:f>
        <x:v>00072</x:v>
      </x:c>
      <x:c r="B42" s="100" t="n">
        <x:f>INDEX('Raw Stations'!$D$2:$D$299,MATCH(A42,'Raw Stations'!$A$2:$A$299,0))</x:f>
        <x:v>0.00334039756828081</x:v>
      </x:c>
      <x:c r="C42" s="100" t="n">
        <x:f>'Raw Z'!L36</x:f>
        <x:v>0.0216736855280245</x:v>
      </x:c>
      <x:c r="D42" s="100" t="n">
        <x:f>$B$2</x:f>
        <x:v>-0.0009288398653362757</x:v>
      </x:c>
      <x:c r="E42" s="100" t="n">
        <x:f>C42-D42</x:f>
        <x:v>0.022602525393360776</x:v>
      </x:c>
      <x:c r="F42" s="100" t="n">
        <x:f>E42-B42</x:f>
        <x:v>0.019262127825079967</x:v>
      </x:c>
      <x:c r="G42" s="100" t="n">
        <x:f>ABS(F42)</x:f>
        <x:v>0.019262127825079967</x:v>
      </x:c>
      <x:c r="H42" s="100" t="n">
        <x:f>'Raw Z'!N36</x:f>
        <x:v>0.9282737256663888</x:v>
      </x:c>
      <x:c r="I42" t="b">
        <x:f>'Raw Z'!O36</x:f>
        <x:v>1</x:v>
      </x:c>
      <x:c r="J42" s="100" t="n">
        <x:f>IF(I42,B42,"")</x:f>
        <x:v>0.00334039756828081</x:v>
      </x:c>
      <x:c r="K42" s="100" t="n">
        <x:f>IF(I42,E42,"")</x:f>
        <x:v>0.022602525393360776</x:v>
      </x:c>
      <x:c r="L42" s="100" t="n">
        <x:f>IF(I42,G42,"")</x:f>
        <x:v>0.019262127825079967</x:v>
      </x:c>
      <x:c r="M42" s="100" t="n">
        <x:f>IF(I42,F42^2,"")</x:f>
        <x:v>0.00037102956834971987</x:v>
      </x:c>
      <x:c r="N42" s="100" t="n">
        <x:f>IF(I42,F42,"")</x:f>
        <x:v>0.019262127825079967</x:v>
      </x:c>
      <x:c r="P42" t="n">
        <x:f>J42</x:f>
        <x:v>0.00334039756828081</x:v>
      </x:c>
      <x:c r="Q42" t="n">
        <x:f>K42</x:f>
        <x:v>0.022602525393360776</x:v>
      </x:c>
    </x:row>
    <x:row r="43">
      <x:c r="A43" s="99" t="str">
        <x:f>'Raw Z'!B37</x:f>
        <x:v>00073</x:v>
      </x:c>
      <x:c r="B43" s="100" t="n">
        <x:f>INDEX('Raw Stations'!$D$2:$D$299,MATCH(A43,'Raw Stations'!$A$2:$A$299,0))</x:f>
        <x:v>0.00198140294720622</x:v>
      </x:c>
      <x:c r="C43" s="100" t="n">
        <x:f>'Raw Z'!L37</x:f>
        <x:v>0.03073423480972712</x:v>
      </x:c>
      <x:c r="D43" s="100" t="n">
        <x:f>$B$2</x:f>
        <x:v>-0.0009288398653362757</x:v>
      </x:c>
      <x:c r="E43" s="100" t="n">
        <x:f>C43-D43</x:f>
        <x:v>0.0316630746750634</x:v>
      </x:c>
      <x:c r="F43" s="100" t="n">
        <x:f>E43-B43</x:f>
        <x:v>0.02968167172785718</x:v>
      </x:c>
      <x:c r="G43" s="100" t="n">
        <x:f>ABS(F43)</x:f>
        <x:v>0.02968167172785718</x:v>
      </x:c>
      <x:c r="H43" s="100" t="n">
        <x:f>'Raw Z'!N37</x:f>
        <x:v>0.8721122277497815</x:v>
      </x:c>
      <x:c r="I43" t="b">
        <x:f>'Raw Z'!O37</x:f>
        <x:v>1</x:v>
      </x:c>
      <x:c r="J43" s="100" t="n">
        <x:f>IF(I43,B43,"")</x:f>
        <x:v>0.00198140294720622</x:v>
      </x:c>
      <x:c r="K43" s="100" t="n">
        <x:f>IF(I43,E43,"")</x:f>
        <x:v>0.0316630746750634</x:v>
      </x:c>
      <x:c r="L43" s="100" t="n">
        <x:f>IF(I43,G43,"")</x:f>
        <x:v>0.02968167172785718</x:v>
      </x:c>
      <x:c r="M43" s="100" t="n">
        <x:f>IF(I43,F43^2,"")</x:f>
        <x:v>0.0008810016365602762</x:v>
      </x:c>
      <x:c r="N43" s="100" t="n">
        <x:f>IF(I43,F43,"")</x:f>
        <x:v>0.02968167172785718</x:v>
      </x:c>
      <x:c r="P43" t="n">
        <x:f>J43</x:f>
        <x:v>0.00198140294720622</x:v>
      </x:c>
      <x:c r="Q43" t="n">
        <x:f>K43</x:f>
        <x:v>0.0316630746750634</x:v>
      </x:c>
    </x:row>
    <x:row r="44">
      <x:c r="A44" s="99" t="str">
        <x:f>'Raw Z'!B38</x:f>
        <x:v>00075</x:v>
      </x:c>
      <x:c r="B44" s="100" t="n">
        <x:f>INDEX('Raw Stations'!$D$2:$D$299,MATCH(A44,'Raw Stations'!$A$2:$A$299,0))</x:f>
        <x:v>0.01807670723018075</x:v>
      </x:c>
      <x:c r="C44" s="100" t="n">
        <x:f>'Raw Z'!L38</x:f>
        <x:v>0.0489043481478198</x:v>
      </x:c>
      <x:c r="D44" s="100" t="n">
        <x:f>$B$2</x:f>
        <x:v>-0.0009288398653362757</x:v>
      </x:c>
      <x:c r="E44" s="100" t="n">
        <x:f>C44-D44</x:f>
        <x:v>0.049833188013156074</x:v>
      </x:c>
      <x:c r="F44" s="100" t="n">
        <x:f>E44-B44</x:f>
        <x:v>0.03175648078297533</x:v>
      </x:c>
      <x:c r="G44" s="100" t="n">
        <x:f>ABS(F44)</x:f>
        <x:v>0.03175648078297533</x:v>
      </x:c>
      <x:c r="H44" s="100" t="n">
        <x:f>'Raw Z'!N38</x:f>
        <x:v>0.8270733385856456</x:v>
      </x:c>
      <x:c r="I44" t="b">
        <x:f>'Raw Z'!O38</x:f>
        <x:v>1</x:v>
      </x:c>
      <x:c r="J44" s="100" t="n">
        <x:f>IF(I44,B44,"")</x:f>
        <x:v>0.01807670723018075</x:v>
      </x:c>
      <x:c r="K44" s="100" t="n">
        <x:f>IF(I44,E44,"")</x:f>
        <x:v>0.049833188013156074</x:v>
      </x:c>
      <x:c r="L44" s="100" t="n">
        <x:f>IF(I44,G44,"")</x:f>
        <x:v>0.03175648078297533</x:v>
      </x:c>
      <x:c r="M44" s="100" t="n">
        <x:f>IF(I44,F44^2,"")</x:f>
        <x:v>0.0010084740717194811</x:v>
      </x:c>
      <x:c r="N44" s="100" t="n">
        <x:f>IF(I44,F44,"")</x:f>
        <x:v>0.03175648078297533</x:v>
      </x:c>
      <x:c r="P44" t="n">
        <x:f>J44</x:f>
        <x:v>0.01807670723018075</x:v>
      </x:c>
      <x:c r="Q44" t="n">
        <x:f>K44</x:f>
        <x:v>0.049833188013156074</x:v>
      </x:c>
    </x:row>
    <x:row r="45">
      <x:c r="A45" s="99" t="str">
        <x:f>'Raw Z'!B39</x:f>
        <x:v>00076</x:v>
      </x:c>
      <x:c r="B45" s="100" t="n">
        <x:f>INDEX('Raw Stations'!$D$2:$D$299,MATCH(A45,'Raw Stations'!$A$2:$A$299,0))</x:f>
        <x:v>0.02336182492799753</x:v>
      </x:c>
      <x:c r="C45" s="100" t="n">
        <x:f>'Raw Z'!L39</x:f>
        <x:v>0.04725225842206231</x:v>
      </x:c>
      <x:c r="D45" s="100" t="n">
        <x:f>$B$2</x:f>
        <x:v>-0.0009288398653362757</x:v>
      </x:c>
      <x:c r="E45" s="100" t="n">
        <x:f>C45-D45</x:f>
        <x:v>0.04818109828739858</x:v>
      </x:c>
      <x:c r="F45" s="100" t="n">
        <x:f>E45-B45</x:f>
        <x:v>0.024819273359401053</x:v>
      </x:c>
      <x:c r="G45" s="100" t="n">
        <x:f>ABS(F45)</x:f>
        <x:v>0.024819273359401053</x:v>
      </x:c>
      <x:c r="H45" s="100" t="n">
        <x:f>'Raw Z'!N39</x:f>
        <x:v>0.7242734360093562</x:v>
      </x:c>
      <x:c r="I45" t="b">
        <x:f>'Raw Z'!O39</x:f>
        <x:v>1</x:v>
      </x:c>
      <x:c r="J45" s="100" t="n">
        <x:f>IF(I45,B45,"")</x:f>
        <x:v>0.02336182492799753</x:v>
      </x:c>
      <x:c r="K45" s="100" t="n">
        <x:f>IF(I45,E45,"")</x:f>
        <x:v>0.04818109828739858</x:v>
      </x:c>
      <x:c r="L45" s="100" t="n">
        <x:f>IF(I45,G45,"")</x:f>
        <x:v>0.024819273359401053</x:v>
      </x:c>
      <x:c r="M45" s="100" t="n">
        <x:f>IF(I45,F45^2,"")</x:f>
        <x:v>0.0006159963300886749</x:v>
      </x:c>
      <x:c r="N45" s="100" t="n">
        <x:f>IF(I45,F45,"")</x:f>
        <x:v>0.024819273359401053</x:v>
      </x:c>
      <x:c r="P45" t="n">
        <x:f>J45</x:f>
        <x:v>0.02336182492799753</x:v>
      </x:c>
      <x:c r="Q45" t="n">
        <x:f>K45</x:f>
        <x:v>0.04818109828739858</x:v>
      </x:c>
    </x:row>
    <x:row r="46">
      <x:c r="A46" s="99" t="str">
        <x:f>'Raw Z'!B40</x:f>
        <x:v>00077</x:v>
      </x:c>
      <x:c r="B46" s="100" t="n">
        <x:f>INDEX('Raw Stations'!$D$2:$D$299,MATCH(A46,'Raw Stations'!$A$2:$A$299,0))</x:f>
        <x:v>0.02126319951126142</x:v>
      </x:c>
      <x:c r="C46" s="100" t="n">
        <x:f>'Raw Z'!L40</x:f>
        <x:v>0.04898858605567828</x:v>
      </x:c>
      <x:c r="D46" s="100" t="n">
        <x:f>$B$2</x:f>
        <x:v>-0.0009288398653362757</x:v>
      </x:c>
      <x:c r="E46" s="100" t="n">
        <x:f>C46-D46</x:f>
        <x:v>0.04991742592101456</x:v>
      </x:c>
      <x:c r="F46" s="100" t="n">
        <x:f>E46-B46</x:f>
        <x:v>0.02865422640975314</x:v>
      </x:c>
      <x:c r="G46" s="100" t="n">
        <x:f>ABS(F46)</x:f>
        <x:v>0.02865422640975314</x:v>
      </x:c>
      <x:c r="H46" s="100" t="n">
        <x:f>'Raw Z'!N40</x:f>
        <x:v>0.8000574308527177</x:v>
      </x:c>
      <x:c r="I46" t="b">
        <x:f>'Raw Z'!O40</x:f>
        <x:v>1</x:v>
      </x:c>
      <x:c r="J46" s="100" t="n">
        <x:f>IF(I46,B46,"")</x:f>
        <x:v>0.02126319951126142</x:v>
      </x:c>
      <x:c r="K46" s="100" t="n">
        <x:f>IF(I46,E46,"")</x:f>
        <x:v>0.04991742592101456</x:v>
      </x:c>
      <x:c r="L46" s="100" t="n">
        <x:f>IF(I46,G46,"")</x:f>
        <x:v>0.02865422640975314</x:v>
      </x:c>
      <x:c r="M46" s="100" t="n">
        <x:f>IF(I46,F46^2,"")</x:f>
        <x:v>0.0008210646911413943</x:v>
      </x:c>
      <x:c r="N46" s="100" t="n">
        <x:f>IF(I46,F46,"")</x:f>
        <x:v>0.02865422640975314</x:v>
      </x:c>
      <x:c r="P46" t="n">
        <x:f>J46</x:f>
        <x:v>0.02126319951126142</x:v>
      </x:c>
      <x:c r="Q46" t="n">
        <x:f>K46</x:f>
        <x:v>0.04991742592101456</x:v>
      </x:c>
    </x:row>
    <x:row r="47">
      <x:c r="A47" s="99" t="str">
        <x:f>'Raw Z'!B41</x:f>
        <x:v>00078</x:v>
      </x:c>
      <x:c r="B47" s="100" t="n">
        <x:f>INDEX('Raw Stations'!$D$2:$D$299,MATCH(A47,'Raw Stations'!$A$2:$A$299,0))</x:f>
        <x:v>-0.004203737816722061</x:v>
      </x:c>
      <x:c r="C47" s="100" t="n">
        <x:f>'Raw Z'!L41</x:f>
        <x:v>-0.0001586733718375588</x:v>
      </x:c>
      <x:c r="D47" s="100" t="n">
        <x:f>$B$2</x:f>
        <x:v>-0.0009288398653362757</x:v>
      </x:c>
      <x:c r="E47" s="100" t="n">
        <x:f>C47-D47</x:f>
        <x:v>0.0007701664934987169</x:v>
      </x:c>
      <x:c r="F47" s="100" t="n">
        <x:f>E47-B47</x:f>
        <x:v>0.004973904310220778</x:v>
      </x:c>
      <x:c r="G47" s="100" t="n">
        <x:f>ABS(F47)</x:f>
        <x:v>0.004973904310220778</x:v>
      </x:c>
      <x:c r="H47" s="100" t="n">
        <x:f>'Raw Z'!N41</x:f>
        <x:v>0.9266147845685185</x:v>
      </x:c>
      <x:c r="I47" t="b">
        <x:f>'Raw Z'!O41</x:f>
        <x:v>1</x:v>
      </x:c>
      <x:c r="J47" s="100" t="n">
        <x:f>IF(I47,B47,"")</x:f>
        <x:v>-0.004203737816722061</x:v>
      </x:c>
      <x:c r="K47" s="100" t="n">
        <x:f>IF(I47,E47,"")</x:f>
        <x:v>0.0007701664934987169</x:v>
      </x:c>
      <x:c r="L47" s="100" t="n">
        <x:f>IF(I47,G47,"")</x:f>
        <x:v>0.004973904310220778</x:v>
      </x:c>
      <x:c r="M47" s="100" t="n">
        <x:f>IF(I47,F47^2,"")</x:f>
        <x:v>0.000024739724087232835</x:v>
      </x:c>
      <x:c r="N47" s="100" t="n">
        <x:f>IF(I47,F47,"")</x:f>
        <x:v>0.004973904310220778</x:v>
      </x:c>
      <x:c r="P47" t="n">
        <x:f>J47</x:f>
        <x:v>-0.004203737816722061</x:v>
      </x:c>
      <x:c r="Q47" t="n">
        <x:f>K47</x:f>
        <x:v>0.0007701664934987169</x:v>
      </x:c>
    </x:row>
    <x:row r="48">
      <x:c r="A48" s="99" t="str">
        <x:f>'Raw Z'!B42</x:f>
        <x:v>00079</x:v>
      </x:c>
      <x:c r="B48" s="100" t="n">
        <x:f>INDEX('Raw Stations'!$D$2:$D$299,MATCH(A48,'Raw Stations'!$A$2:$A$299,0))</x:f>
        <x:v>-0.005715521247267239</x:v>
      </x:c>
      <x:c r="C48" s="100" t="n">
        <x:f>'Raw Z'!L42</x:f>
        <x:v>-0.01035799507836438</x:v>
      </x:c>
      <x:c r="D48" s="100" t="n">
        <x:f>$B$2</x:f>
        <x:v>-0.0009288398653362757</x:v>
      </x:c>
      <x:c r="E48" s="100" t="n">
        <x:f>C48-D48</x:f>
        <x:v>-0.009429155213028104</x:v>
      </x:c>
      <x:c r="F48" s="100" t="n">
        <x:f>E48-B48</x:f>
        <x:v>-0.0037136339657608645</x:v>
      </x:c>
      <x:c r="G48" s="100" t="n">
        <x:f>ABS(F48)</x:f>
        <x:v>0.0037136339657608645</x:v>
      </x:c>
      <x:c r="H48" s="100" t="n">
        <x:f>'Raw Z'!N42</x:f>
        <x:v>0.9010825080839919</x:v>
      </x:c>
      <x:c r="I48" t="b">
        <x:f>'Raw Z'!O42</x:f>
        <x:v>1</x:v>
      </x:c>
      <x:c r="J48" s="100" t="n">
        <x:f>IF(I48,B48,"")</x:f>
        <x:v>-0.005715521247267239</x:v>
      </x:c>
      <x:c r="K48" s="100" t="n">
        <x:f>IF(I48,E48,"")</x:f>
        <x:v>-0.009429155213028104</x:v>
      </x:c>
      <x:c r="L48" s="100" t="n">
        <x:f>IF(I48,G48,"")</x:f>
        <x:v>0.0037136339657608645</x:v>
      </x:c>
      <x:c r="M48" s="100" t="n">
        <x:f>IF(I48,F48^2,"")</x:f>
        <x:v>0.000013791077231652767</x:v>
      </x:c>
      <x:c r="N48" s="100" t="n">
        <x:f>IF(I48,F48,"")</x:f>
        <x:v>-0.0037136339657608645</x:v>
      </x:c>
      <x:c r="P48" t="n">
        <x:f>J48</x:f>
        <x:v>-0.005715521247267239</x:v>
      </x:c>
      <x:c r="Q48" t="n">
        <x:f>K48</x:f>
        <x:v>-0.009429155213028104</x:v>
      </x:c>
    </x:row>
    <x:row r="49">
      <x:c r="A49" s="99" t="str">
        <x:f>'Raw Z'!B43</x:f>
        <x:v>00080</x:v>
      </x:c>
      <x:c r="B49" s="100" t="n">
        <x:f>INDEX('Raw Stations'!$D$2:$D$299,MATCH(A49,'Raw Stations'!$A$2:$A$299,0))</x:f>
        <x:v>-0.001428292388092174</x:v>
      </x:c>
      <x:c r="C49" s="100" t="n">
        <x:f>'Raw Z'!L43</x:f>
        <x:v>-0.008946938257902215</x:v>
      </x:c>
      <x:c r="D49" s="100" t="n">
        <x:f>$B$2</x:f>
        <x:v>-0.0009288398653362757</x:v>
      </x:c>
      <x:c r="E49" s="100" t="n">
        <x:f>C49-D49</x:f>
        <x:v>-0.00801809839256594</x:v>
      </x:c>
      <x:c r="F49" s="100" t="n">
        <x:f>E49-B49</x:f>
        <x:v>-0.006589806004473765</x:v>
      </x:c>
      <x:c r="G49" s="100" t="n">
        <x:f>ABS(F49)</x:f>
        <x:v>0.006589806004473765</x:v>
      </x:c>
      <x:c r="H49" s="100" t="n">
        <x:f>'Raw Z'!N43</x:f>
        <x:v>0.9106554458538413</x:v>
      </x:c>
      <x:c r="I49" t="b">
        <x:f>'Raw Z'!O43</x:f>
        <x:v>1</x:v>
      </x:c>
      <x:c r="J49" s="100" t="n">
        <x:f>IF(I49,B49,"")</x:f>
        <x:v>-0.001428292388092174</x:v>
      </x:c>
      <x:c r="K49" s="100" t="n">
        <x:f>IF(I49,E49,"")</x:f>
        <x:v>-0.00801809839256594</x:v>
      </x:c>
      <x:c r="L49" s="100" t="n">
        <x:f>IF(I49,G49,"")</x:f>
        <x:v>0.006589806004473765</x:v>
      </x:c>
      <x:c r="M49" s="100" t="n">
        <x:f>IF(I49,F49^2,"")</x:f>
        <x:v>0.00004342554317659849</x:v>
      </x:c>
      <x:c r="N49" s="100" t="n">
        <x:f>IF(I49,F49,"")</x:f>
        <x:v>-0.006589806004473765</x:v>
      </x:c>
      <x:c r="P49" t="n">
        <x:f>J49</x:f>
        <x:v>-0.001428292388092174</x:v>
      </x:c>
      <x:c r="Q49" t="n">
        <x:f>K49</x:f>
        <x:v>-0.00801809839256594</x:v>
      </x:c>
    </x:row>
    <x:row r="50">
      <x:c r="A50" s="99" t="str">
        <x:f>'Raw Z'!B44</x:f>
        <x:v>00081</x:v>
      </x:c>
      <x:c r="B50" s="100" t="n">
        <x:f>INDEX('Raw Stations'!$D$2:$D$299,MATCH(A50,'Raw Stations'!$A$2:$A$299,0))</x:f>
        <x:v>-0.005377671962295084</x:v>
      </x:c>
      <x:c r="C50" s="100" t="n">
        <x:f>'Raw Z'!L44</x:f>
        <x:v>-0.002467051301549755</x:v>
      </x:c>
      <x:c r="D50" s="100" t="n">
        <x:f>$B$2</x:f>
        <x:v>-0.0009288398653362757</x:v>
      </x:c>
      <x:c r="E50" s="100" t="n">
        <x:f>C50-D50</x:f>
        <x:v>-0.0015382114362134792</x:v>
      </x:c>
      <x:c r="F50" s="100" t="n">
        <x:f>E50-B50</x:f>
        <x:v>0.003839460526081605</x:v>
      </x:c>
      <x:c r="G50" s="100" t="n">
        <x:f>ABS(F50)</x:f>
        <x:v>0.003839460526081605</x:v>
      </x:c>
      <x:c r="H50" s="100" t="n">
        <x:f>'Raw Z'!N44</x:f>
        <x:v>0.9917706647529617</x:v>
      </x:c>
      <x:c r="I50" t="b">
        <x:f>'Raw Z'!O44</x:f>
        <x:v>1</x:v>
      </x:c>
      <x:c r="J50" s="100" t="n">
        <x:f>IF(I50,B50,"")</x:f>
        <x:v>-0.005377671962295084</x:v>
      </x:c>
      <x:c r="K50" s="100" t="n">
        <x:f>IF(I50,E50,"")</x:f>
        <x:v>-0.0015382114362134792</x:v>
      </x:c>
      <x:c r="L50" s="100" t="n">
        <x:f>IF(I50,G50,"")</x:f>
        <x:v>0.003839460526081605</x:v>
      </x:c>
      <x:c r="M50" s="100" t="n">
        <x:f>IF(I50,F50^2,"")</x:f>
        <x:v>0.000014741457131338837</x:v>
      </x:c>
      <x:c r="N50" s="100" t="n">
        <x:f>IF(I50,F50,"")</x:f>
        <x:v>0.003839460526081605</x:v>
      </x:c>
      <x:c r="P50" t="n">
        <x:f>J50</x:f>
        <x:v>-0.005377671962295084</x:v>
      </x:c>
      <x:c r="Q50" t="n">
        <x:f>K50</x:f>
        <x:v>-0.0015382114362134792</x:v>
      </x:c>
    </x:row>
    <x:row r="51">
      <x:c r="A51" s="99" t="str">
        <x:f>'Raw Z'!B45</x:f>
        <x:v>00082</x:v>
      </x:c>
      <x:c r="B51" s="100" t="n">
        <x:f>INDEX('Raw Stations'!$D$2:$D$299,MATCH(A51,'Raw Stations'!$A$2:$A$299,0))</x:f>
        <x:v>0.002615997766090779</x:v>
      </x:c>
      <x:c r="C51" s="100" t="n">
        <x:f>'Raw Z'!L45</x:f>
        <x:v>-0.01332944463431246</x:v>
      </x:c>
      <x:c r="D51" s="100" t="n">
        <x:f>$B$2</x:f>
        <x:v>-0.0009288398653362757</x:v>
      </x:c>
      <x:c r="E51" s="100" t="n">
        <x:f>C51-D51</x:f>
        <x:v>-0.012400604768976184</x:v>
      </x:c>
      <x:c r="F51" s="100" t="n">
        <x:f>E51-B51</x:f>
        <x:v>-0.015016602535066963</x:v>
      </x:c>
      <x:c r="G51" s="100" t="n">
        <x:f>ABS(F51)</x:f>
        <x:v>0.015016602535066963</x:v>
      </x:c>
      <x:c r="H51" s="100" t="n">
        <x:f>'Raw Z'!N45</x:f>
        <x:v>0.8854235360541372</x:v>
      </x:c>
      <x:c r="I51" t="b">
        <x:f>'Raw Z'!O45</x:f>
        <x:v>1</x:v>
      </x:c>
      <x:c r="J51" s="100" t="n">
        <x:f>IF(I51,B51,"")</x:f>
        <x:v>0.002615997766090779</x:v>
      </x:c>
      <x:c r="K51" s="100" t="n">
        <x:f>IF(I51,E51,"")</x:f>
        <x:v>-0.012400604768976184</x:v>
      </x:c>
      <x:c r="L51" s="100" t="n">
        <x:f>IF(I51,G51,"")</x:f>
        <x:v>0.015016602535066963</x:v>
      </x:c>
      <x:c r="M51" s="100" t="n">
        <x:f>IF(I51,F51^2,"")</x:f>
        <x:v>0.00022549835169617956</x:v>
      </x:c>
      <x:c r="N51" s="100" t="n">
        <x:f>IF(I51,F51,"")</x:f>
        <x:v>-0.015016602535066963</x:v>
      </x:c>
      <x:c r="P51" t="n">
        <x:f>J51</x:f>
        <x:v>0.002615997766090779</x:v>
      </x:c>
      <x:c r="Q51" t="n">
        <x:f>K51</x:f>
        <x:v>-0.012400604768976184</x:v>
      </x:c>
    </x:row>
    <x:row r="52">
      <x:c r="A52" s="99" t="str">
        <x:f>'Raw Z'!B46</x:f>
        <x:v>00083</x:v>
      </x:c>
      <x:c r="B52" s="100" t="n">
        <x:f>INDEX('Raw Stations'!$D$2:$D$299,MATCH(A52,'Raw Stations'!$A$2:$A$299,0))</x:f>
        <x:v>0.0053460092687972</x:v>
      </x:c>
      <x:c r="C52" s="100" t="n">
        <x:f>'Raw Z'!L46</x:f>
        <x:v>-0.01111253437454293</x:v>
      </x:c>
      <x:c r="D52" s="100" t="n">
        <x:f>$B$2</x:f>
        <x:v>-0.0009288398653362757</x:v>
      </x:c>
      <x:c r="E52" s="100" t="n">
        <x:f>C52-D52</x:f>
        <x:v>-0.010183694509206654</x:v>
      </x:c>
      <x:c r="F52" s="100" t="n">
        <x:f>E52-B52</x:f>
        <x:v>-0.015529703778003855</x:v>
      </x:c>
      <x:c r="G52" s="100" t="n">
        <x:f>ABS(F52)</x:f>
        <x:v>0.015529703778003855</x:v>
      </x:c>
      <x:c r="H52" s="100" t="n">
        <x:f>'Raw Z'!N46</x:f>
        <x:v>0.7444332636593939</x:v>
      </x:c>
      <x:c r="I52" t="b">
        <x:f>'Raw Z'!O46</x:f>
        <x:v>1</x:v>
      </x:c>
      <x:c r="J52" s="100" t="n">
        <x:f>IF(I52,B52,"")</x:f>
        <x:v>0.0053460092687972</x:v>
      </x:c>
      <x:c r="K52" s="100" t="n">
        <x:f>IF(I52,E52,"")</x:f>
        <x:v>-0.010183694509206654</x:v>
      </x:c>
      <x:c r="L52" s="100" t="n">
        <x:f>IF(I52,G52,"")</x:f>
        <x:v>0.015529703778003855</x:v>
      </x:c>
      <x:c r="M52" s="100" t="n">
        <x:f>IF(I52,F52^2,"")</x:f>
        <x:v>0.00024117169943254718</x:v>
      </x:c>
      <x:c r="N52" s="100" t="n">
        <x:f>IF(I52,F52,"")</x:f>
        <x:v>-0.015529703778003855</x:v>
      </x:c>
      <x:c r="P52" t="n">
        <x:f>J52</x:f>
        <x:v>0.0053460092687972</x:v>
      </x:c>
      <x:c r="Q52" t="n">
        <x:f>K52</x:f>
        <x:v>-0.010183694509206654</x:v>
      </x:c>
    </x:row>
    <x:row r="53">
      <x:c r="A53" s="99" t="str">
        <x:f>'Raw Z'!B47</x:f>
        <x:v>00084</x:v>
      </x:c>
      <x:c r="B53" s="100" t="n">
        <x:f>INDEX('Raw Stations'!$D$2:$D$299,MATCH(A53,'Raw Stations'!$A$2:$A$299,0))</x:f>
        <x:v>0.006623867605021951</x:v>
      </x:c>
      <x:c r="C53" s="100" t="n">
        <x:f>'Raw Z'!L47</x:f>
        <x:v>0.01884367031348388</x:v>
      </x:c>
      <x:c r="D53" s="100" t="n">
        <x:f>$B$2</x:f>
        <x:v>-0.0009288398653362757</x:v>
      </x:c>
      <x:c r="E53" s="100" t="n">
        <x:f>C53-D53</x:f>
        <x:v>0.019772510178820157</x:v>
      </x:c>
      <x:c r="F53" s="100" t="n">
        <x:f>E53-B53</x:f>
        <x:v>0.013148642573798205</x:v>
      </x:c>
      <x:c r="G53" s="100" t="n">
        <x:f>ABS(F53)</x:f>
        <x:v>0.013148642573798205</x:v>
      </x:c>
      <x:c r="H53" s="100" t="n">
        <x:f>'Raw Z'!N47</x:f>
        <x:v>0.8212980854504001</x:v>
      </x:c>
      <x:c r="I53" t="b">
        <x:f>'Raw Z'!O47</x:f>
        <x:v>1</x:v>
      </x:c>
      <x:c r="J53" s="100" t="n">
        <x:f>IF(I53,B53,"")</x:f>
        <x:v>0.006623867605021951</x:v>
      </x:c>
      <x:c r="K53" s="100" t="n">
        <x:f>IF(I53,E53,"")</x:f>
        <x:v>0.019772510178820157</x:v>
      </x:c>
      <x:c r="L53" s="100" t="n">
        <x:f>IF(I53,G53,"")</x:f>
        <x:v>0.013148642573798205</x:v>
      </x:c>
      <x:c r="M53" s="100" t="n">
        <x:f>IF(I53,F53^2,"")</x:f>
        <x:v>0.0001728868015334987</x:v>
      </x:c>
      <x:c r="N53" s="100" t="n">
        <x:f>IF(I53,F53,"")</x:f>
        <x:v>0.013148642573798205</x:v>
      </x:c>
      <x:c r="P53" t="n">
        <x:f>J53</x:f>
        <x:v>0.006623867605021951</x:v>
      </x:c>
      <x:c r="Q53" t="n">
        <x:f>K53</x:f>
        <x:v>0.019772510178820157</x:v>
      </x:c>
    </x:row>
    <x:row r="54">
      <x:c r="A54" s="99" t="str">
        <x:f>'Raw Z'!B48</x:f>
        <x:v>00086</x:v>
      </x:c>
      <x:c r="B54" s="100" t="n">
        <x:f>INDEX('Raw Stations'!$D$2:$D$299,MATCH(A54,'Raw Stations'!$A$2:$A$299,0))</x:f>
        <x:v>0.007899155347603819</x:v>
      </x:c>
      <x:c r="C54" s="100" t="n">
        <x:f>'Raw Z'!L48</x:f>
        <x:v>0.00395371294720058</x:v>
      </x:c>
      <x:c r="D54" s="100" t="n">
        <x:f>$B$2</x:f>
        <x:v>-0.0009288398653362757</x:v>
      </x:c>
      <x:c r="E54" s="100" t="n">
        <x:f>C54-D54</x:f>
        <x:v>0.004882552812536856</x:v>
      </x:c>
      <x:c r="F54" s="100" t="n">
        <x:f>E54-B54</x:f>
        <x:v>-0.003016602535066963</x:v>
      </x:c>
      <x:c r="G54" s="100" t="n">
        <x:f>ABS(F54)</x:f>
        <x:v>0.003016602535066963</x:v>
      </x:c>
      <x:c r="H54" s="100" t="n">
        <x:f>'Raw Z'!N48</x:f>
        <x:v>0.8280741927567438</x:v>
      </x:c>
      <x:c r="I54" t="b">
        <x:f>'Raw Z'!O48</x:f>
        <x:v>1</x:v>
      </x:c>
      <x:c r="J54" s="100" t="n">
        <x:f>IF(I54,B54,"")</x:f>
        <x:v>0.007899155347603819</x:v>
      </x:c>
      <x:c r="K54" s="100" t="n">
        <x:f>IF(I54,E54,"")</x:f>
        <x:v>0.004882552812536856</x:v>
      </x:c>
      <x:c r="L54" s="100" t="n">
        <x:f>IF(I54,G54,"")</x:f>
        <x:v>0.003016602535066963</x:v>
      </x:c>
      <x:c r="M54" s="100" t="n">
        <x:f>IF(I54,F54^2,"")</x:f>
        <x:v>0.000009099890854572428</x:v>
      </x:c>
      <x:c r="N54" s="100" t="n">
        <x:f>IF(I54,F54,"")</x:f>
        <x:v>-0.003016602535066963</x:v>
      </x:c>
      <x:c r="P54" t="n">
        <x:f>J54</x:f>
        <x:v>0.007899155347603819</x:v>
      </x:c>
      <x:c r="Q54" t="n">
        <x:f>K54</x:f>
        <x:v>0.004882552812536856</x:v>
      </x:c>
    </x:row>
    <x:row r="55">
      <x:c r="A55" s="99" t="str">
        <x:f>'Raw Z'!B49</x:f>
        <x:v>00087</x:v>
      </x:c>
      <x:c r="B55" s="100" t="n">
        <x:f>INDEX('Raw Stations'!$D$2:$D$299,MATCH(A55,'Raw Stations'!$A$2:$A$299,0))</x:f>
        <x:v>-0.0003104305051258895</x:v>
      </x:c>
      <x:c r="C55" s="100" t="n">
        <x:f>'Raw Z'!L49</x:f>
        <x:v>0.01244240135739502</x:v>
      </x:c>
      <x:c r="D55" s="100" t="n">
        <x:f>$B$2</x:f>
        <x:v>-0.0009288398653362757</x:v>
      </x:c>
      <x:c r="E55" s="100" t="n">
        <x:f>C55-D55</x:f>
        <x:v>0.013371241222731296</x:v>
      </x:c>
      <x:c r="F55" s="100" t="n">
        <x:f>E55-B55</x:f>
        <x:v>0.013681671727857185</x:v>
      </x:c>
      <x:c r="G55" s="100" t="n">
        <x:f>ABS(F55)</x:f>
        <x:v>0.013681671727857185</x:v>
      </x:c>
      <x:c r="H55" s="100" t="n">
        <x:f>'Raw Z'!N49</x:f>
        <x:v>0.9387660704076806</x:v>
      </x:c>
      <x:c r="I55" t="b">
        <x:f>'Raw Z'!O49</x:f>
        <x:v>1</x:v>
      </x:c>
      <x:c r="J55" s="100" t="n">
        <x:f>IF(I55,B55,"")</x:f>
        <x:v>-0.0003104305051258895</x:v>
      </x:c>
      <x:c r="K55" s="100" t="n">
        <x:f>IF(I55,E55,"")</x:f>
        <x:v>0.013371241222731296</x:v>
      </x:c>
      <x:c r="L55" s="100" t="n">
        <x:f>IF(I55,G55,"")</x:f>
        <x:v>0.013681671727857185</x:v>
      </x:c>
      <x:c r="M55" s="100" t="n">
        <x:f>IF(I55,F55^2,"")</x:f>
        <x:v>0.00018718814126884663</x:v>
      </x:c>
      <x:c r="N55" s="100" t="n">
        <x:f>IF(I55,F55,"")</x:f>
        <x:v>0.013681671727857185</x:v>
      </x:c>
      <x:c r="P55" t="n">
        <x:f>J55</x:f>
        <x:v>-0.0003104305051258895</x:v>
      </x:c>
      <x:c r="Q55" t="n">
        <x:f>K55</x:f>
        <x:v>0.013371241222731296</x:v>
      </x:c>
    </x:row>
    <x:row r="56">
      <x:c r="A56" s="99" t="str">
        <x:f>'Raw Z'!B50</x:f>
        <x:v>00088</x:v>
      </x:c>
      <x:c r="B56" s="100" t="n">
        <x:f>INDEX('Raw Stations'!$D$2:$D$299,MATCH(A56,'Raw Stations'!$A$2:$A$299,0))</x:f>
        <x:v>0.0157461620590449</x:v>
      </x:c>
      <x:c r="C56" s="100" t="n">
        <x:f>'Raw Z'!L50</x:f>
        <x:v>0.04941680150603927</x:v>
      </x:c>
      <x:c r="D56" s="100" t="n">
        <x:f>$B$2</x:f>
        <x:v>-0.0009288398653362757</x:v>
      </x:c>
      <x:c r="E56" s="100" t="n">
        <x:f>C56-D56</x:f>
        <x:v>0.050345641371375545</x:v>
      </x:c>
      <x:c r="F56" s="100" t="n">
        <x:f>E56-B56</x:f>
        <x:v>0.03459947931233065</x:v>
      </x:c>
      <x:c r="G56" s="100" t="n">
        <x:f>ABS(F56)</x:f>
        <x:v>0.03459947931233065</x:v>
      </x:c>
      <x:c r="H56" s="100" t="n">
        <x:f>'Raw Z'!N50</x:f>
        <x:v>0.7705080893463988</x:v>
      </x:c>
      <x:c r="I56" t="b">
        <x:f>'Raw Z'!O50</x:f>
        <x:v>1</x:v>
      </x:c>
      <x:c r="J56" s="100" t="n">
        <x:f>IF(I56,B56,"")</x:f>
        <x:v>0.0157461620590449</x:v>
      </x:c>
      <x:c r="K56" s="100" t="n">
        <x:f>IF(I56,E56,"")</x:f>
        <x:v>0.050345641371375545</x:v>
      </x:c>
      <x:c r="L56" s="100" t="n">
        <x:f>IF(I56,G56,"")</x:f>
        <x:v>0.03459947931233065</x:v>
      </x:c>
      <x:c r="M56" s="100" t="n">
        <x:f>IF(I56,F56^2,"")</x:f>
        <x:v>0.0011971239686843966</x:v>
      </x:c>
      <x:c r="N56" s="100" t="n">
        <x:f>IF(I56,F56,"")</x:f>
        <x:v>0.03459947931233065</x:v>
      </x:c>
      <x:c r="P56" t="n">
        <x:f>J56</x:f>
        <x:v>0.0157461620590449</x:v>
      </x:c>
      <x:c r="Q56" t="n">
        <x:f>K56</x:f>
        <x:v>0.050345641371375545</x:v>
      </x:c>
    </x:row>
    <x:row r="57">
      <x:c r="A57" s="99" t="str">
        <x:f>'Raw Z'!B51</x:f>
        <x:v>00089</x:v>
      </x:c>
      <x:c r="B57" s="100" t="n">
        <x:f>INDEX('Raw Stations'!$D$2:$D$299,MATCH(A57,'Raw Stations'!$A$2:$A$299,0))</x:f>
        <x:v>0.01282976438716787</x:v>
      </x:c>
      <x:c r="C57" s="100" t="n">
        <x:f>'Raw Z'!L51</x:f>
        <x:v>0.009364237788776902</x:v>
      </x:c>
      <x:c r="D57" s="100" t="n">
        <x:f>$B$2</x:f>
        <x:v>-0.0009288398653362757</x:v>
      </x:c>
      <x:c r="E57" s="100" t="n">
        <x:f>C57-D57</x:f>
        <x:v>0.010293077654113178</x:v>
      </x:c>
      <x:c r="F57" s="100" t="n">
        <x:f>E57-B57</x:f>
        <x:v>-0.0025366867330546914</x:v>
      </x:c>
      <x:c r="G57" s="100" t="n">
        <x:f>ABS(F57)</x:f>
        <x:v>0.0025366867330546914</x:v>
      </x:c>
      <x:c r="H57" s="100" t="n">
        <x:f>'Raw Z'!N51</x:f>
        <x:v>0.8781340895768578</x:v>
      </x:c>
      <x:c r="I57" t="b">
        <x:f>'Raw Z'!O51</x:f>
        <x:v>1</x:v>
      </x:c>
      <x:c r="J57" s="100" t="n">
        <x:f>IF(I57,B57,"")</x:f>
        <x:v>0.01282976438716787</x:v>
      </x:c>
      <x:c r="K57" s="100" t="n">
        <x:f>IF(I57,E57,"")</x:f>
        <x:v>0.010293077654113178</x:v>
      </x:c>
      <x:c r="L57" s="100" t="n">
        <x:f>IF(I57,G57,"")</x:f>
        <x:v>0.0025366867330546914</x:v>
      </x:c>
      <x:c r="M57" s="100" t="n">
        <x:f>IF(I57,F57^2,"")</x:f>
        <x:v>0.000006434779581655683</x:v>
      </x:c>
      <x:c r="N57" s="100" t="n">
        <x:f>IF(I57,F57,"")</x:f>
        <x:v>-0.0025366867330546914</x:v>
      </x:c>
      <x:c r="P57" t="n">
        <x:f>J57</x:f>
        <x:v>0.01282976438716787</x:v>
      </x:c>
      <x:c r="Q57" t="n">
        <x:f>K57</x:f>
        <x:v>0.010293077654113178</x:v>
      </x:c>
    </x:row>
    <x:row r="58">
      <x:c r="A58" s="99" t="str">
        <x:f>'Raw Z'!B52</x:f>
        <x:v>00090</x:v>
      </x:c>
      <x:c r="B58" s="100" t="n">
        <x:f>INDEX('Raw Stations'!$D$2:$D$299,MATCH(A58,'Raw Stations'!$A$2:$A$299,0))</x:f>
        <x:v>0.01948776418940744</x:v>
      </x:c>
      <x:c r="C58" s="100" t="n">
        <x:f>'Raw Z'!L52</x:f>
        <x:v>0.04631540510704649</x:v>
      </x:c>
      <x:c r="D58" s="100" t="n">
        <x:f>$B$2</x:f>
        <x:v>-0.0009288398653362757</x:v>
      </x:c>
      <x:c r="E58" s="100" t="n">
        <x:f>C58-D58</x:f>
        <x:v>0.04724424497238276</x:v>
      </x:c>
      <x:c r="F58" s="100" t="n">
        <x:f>E58-B58</x:f>
        <x:v>0.027756480782975324</x:v>
      </x:c>
      <x:c r="G58" s="100" t="n">
        <x:f>ABS(F58)</x:f>
        <x:v>0.027756480782975324</x:v>
      </x:c>
      <x:c r="H58" s="100" t="n">
        <x:f>'Raw Z'!N52</x:f>
        <x:v>0.5362899864047985</x:v>
      </x:c>
      <x:c r="I58" t="b">
        <x:f>'Raw Z'!O52</x:f>
        <x:v>0</x:v>
      </x:c>
      <x:c r="J58" s="100" t="str">
        <x:f>IF(I58,B58,"")</x:f>
      </x:c>
      <x:c r="K58" s="100" t="str">
        <x:f>IF(I58,E58,"")</x:f>
      </x:c>
      <x:c r="L58" s="100" t="str">
        <x:f>IF(I58,G58,"")</x:f>
      </x:c>
      <x:c r="M58" s="100" t="str">
        <x:f>IF(I58,F58^2,"")</x:f>
      </x:c>
      <x:c r="N58" s="100" t="str">
        <x:f>IF(I58,F58,"")</x:f>
      </x:c>
      <x:c r="P58" t="str">
        <x:f>J58</x:f>
      </x:c>
      <x:c r="Q58" t="str">
        <x:f>K58</x:f>
      </x:c>
    </x:row>
    <x:row r="59">
      <x:c r="A59" s="99" t="str">
        <x:f>'Raw Z'!B53</x:f>
        <x:v>00091</x:v>
      </x:c>
      <x:c r="B59" s="100" t="n">
        <x:f>INDEX('Raw Stations'!$D$2:$D$299,MATCH(A59,'Raw Stations'!$A$2:$A$299,0))</x:f>
        <x:v>0.0279982488109449</x:v>
      </x:c>
      <x:c r="C59" s="100" t="n">
        <x:f>'Raw Z'!L53</x:f>
        <x:v>-0.04633111174206073</x:v>
      </x:c>
      <x:c r="D59" s="100" t="n">
        <x:f>$B$2</x:f>
        <x:v>-0.0009288398653362757</x:v>
      </x:c>
      <x:c r="E59" s="100" t="n">
        <x:f>C59-D59</x:f>
        <x:v>-0.04540227187672445</x:v>
      </x:c>
      <x:c r="F59" s="100" t="n">
        <x:f>E59-B59</x:f>
        <x:v>-0.07340052068766935</x:v>
      </x:c>
      <x:c r="G59" s="100" t="n">
        <x:f>ABS(F59)</x:f>
        <x:v>0.07340052068766935</x:v>
      </x:c>
      <x:c r="H59" s="100" t="n">
        <x:f>'Raw Z'!N53</x:f>
        <x:v>0.6652442905501204</x:v>
      </x:c>
      <x:c r="I59" t="b">
        <x:f>'Raw Z'!O53</x:f>
        <x:v>1</x:v>
      </x:c>
      <x:c r="J59" s="100" t="n">
        <x:f>IF(I59,B59,"")</x:f>
        <x:v>0.0279982488109449</x:v>
      </x:c>
      <x:c r="K59" s="100" t="n">
        <x:f>IF(I59,E59,"")</x:f>
        <x:v>-0.04540227187672445</x:v>
      </x:c>
      <x:c r="L59" s="100" t="n">
        <x:f>IF(I59,G59,"")</x:f>
        <x:v>0.07340052068766935</x:v>
      </x:c>
      <x:c r="M59" s="100" t="n">
        <x:f>IF(I59,F59^2,"")</x:f>
        <x:v>0.005387636437220976</x:v>
      </x:c>
      <x:c r="N59" s="100" t="n">
        <x:f>IF(I59,F59,"")</x:f>
        <x:v>-0.07340052068766935</x:v>
      </x:c>
      <x:c r="P59" t="n">
        <x:f>J59</x:f>
        <x:v>0.0279982488109449</x:v>
      </x:c>
      <x:c r="Q59" t="n">
        <x:f>K59</x:f>
        <x:v>-0.04540227187672445</x:v>
      </x:c>
    </x:row>
    <x:row r="60">
      <x:c r="A60" s="99" t="str">
        <x:f>'Raw Z'!B54</x:f>
        <x:v>00092</x:v>
      </x:c>
      <x:c r="B60" s="100" t="n">
        <x:f>INDEX('Raw Stations'!$D$2:$D$299,MATCH(A60,'Raw Stations'!$A$2:$A$299,0))</x:f>
        <x:v>0.01721080396433336</x:v>
      </x:c>
      <x:c r="C60" s="100" t="n">
        <x:f>'Raw Z'!L54</x:f>
        <x:v>0.04754409192407706</x:v>
      </x:c>
      <x:c r="D60" s="100" t="n">
        <x:f>$B$2</x:f>
        <x:v>-0.0009288398653362757</x:v>
      </x:c>
      <x:c r="E60" s="100" t="n">
        <x:f>C60-D60</x:f>
        <x:v>0.04847293178941334</x:v>
      </x:c>
      <x:c r="F60" s="100" t="n">
        <x:f>E60-B60</x:f>
        <x:v>0.03126212782507998</x:v>
      </x:c>
      <x:c r="G60" s="100" t="n">
        <x:f>ABS(F60)</x:f>
        <x:v>0.03126212782507998</x:v>
      </x:c>
      <x:c r="H60" s="100" t="n">
        <x:f>'Raw Z'!N54</x:f>
        <x:v>0.9200078588716172</x:v>
      </x:c>
      <x:c r="I60" t="b">
        <x:f>'Raw Z'!O54</x:f>
        <x:v>1</x:v>
      </x:c>
      <x:c r="J60" s="100" t="n">
        <x:f>IF(I60,B60,"")</x:f>
        <x:v>0.01721080396433336</x:v>
      </x:c>
      <x:c r="K60" s="100" t="n">
        <x:f>IF(I60,E60,"")</x:f>
        <x:v>0.04847293178941334</x:v>
      </x:c>
      <x:c r="L60" s="100" t="n">
        <x:f>IF(I60,G60,"")</x:f>
        <x:v>0.03126212782507998</x:v>
      </x:c>
      <x:c r="M60" s="100" t="n">
        <x:f>IF(I60,F60^2,"")</x:f>
        <x:v>0.0009773206361516397</x:v>
      </x:c>
      <x:c r="N60" s="100" t="n">
        <x:f>IF(I60,F60,"")</x:f>
        <x:v>0.03126212782507998</x:v>
      </x:c>
      <x:c r="P60" t="n">
        <x:f>J60</x:f>
        <x:v>0.01721080396433336</x:v>
      </x:c>
      <x:c r="Q60" t="n">
        <x:f>K60</x:f>
        <x:v>0.04847293178941334</x:v>
      </x:c>
    </x:row>
    <x:row r="61">
      <x:c r="A61" s="99" t="str">
        <x:f>'Raw Z'!B55</x:f>
        <x:v>00093</x:v>
      </x:c>
      <x:c r="B61" s="100" t="n">
        <x:f>INDEX('Raw Stations'!$D$2:$D$299,MATCH(A61,'Raw Stations'!$A$2:$A$299,0))</x:f>
        <x:v>0.01259627872693789</x:v>
      </x:c>
      <x:c r="C61" s="100" t="n">
        <x:f>'Raw Z'!L55</x:f>
        <x:v>0.04984488224828621</x:v>
      </x:c>
      <x:c r="D61" s="100" t="n">
        <x:f>$B$2</x:f>
        <x:v>-0.0009288398653362757</x:v>
      </x:c>
      <x:c r="E61" s="100" t="n">
        <x:f>C61-D61</x:f>
        <x:v>0.05077372211362249</x:v>
      </x:c>
      <x:c r="F61" s="100" t="n">
        <x:f>E61-B61</x:f>
        <x:v>0.03817744338668459</x:v>
      </x:c>
      <x:c r="G61" s="100" t="n">
        <x:f>ABS(F61)</x:f>
        <x:v>0.03817744338668459</x:v>
      </x:c>
      <x:c r="H61" s="100" t="n">
        <x:f>'Raw Z'!N55</x:f>
        <x:v>0.9555982097193993</x:v>
      </x:c>
      <x:c r="I61" t="b">
        <x:f>'Raw Z'!O55</x:f>
        <x:v>1</x:v>
      </x:c>
      <x:c r="J61" s="100" t="n">
        <x:f>IF(I61,B61,"")</x:f>
        <x:v>0.01259627872693789</x:v>
      </x:c>
      <x:c r="K61" s="100" t="n">
        <x:f>IF(I61,E61,"")</x:f>
        <x:v>0.05077372211362249</x:v>
      </x:c>
      <x:c r="L61" s="100" t="n">
        <x:f>IF(I61,G61,"")</x:f>
        <x:v>0.03817744338668459</x:v>
      </x:c>
      <x:c r="M61" s="100" t="n">
        <x:f>IF(I61,F61^2,"")</x:f>
        <x:v>0.0014575171835435072</x:v>
      </x:c>
      <x:c r="N61" s="100" t="n">
        <x:f>IF(I61,F61,"")</x:f>
        <x:v>0.03817744338668459</x:v>
      </x:c>
      <x:c r="P61" t="n">
        <x:f>J61</x:f>
        <x:v>0.01259627872693789</x:v>
      </x:c>
      <x:c r="Q61" t="n">
        <x:f>K61</x:f>
        <x:v>0.05077372211362249</x:v>
      </x:c>
    </x:row>
    <x:row r="62">
      <x:c r="A62" s="99" t="str">
        <x:f>'Raw Z'!B56</x:f>
        <x:v>00094</x:v>
      </x:c>
      <x:c r="B62" s="100" t="n">
        <x:f>INDEX('Raw Stations'!$D$2:$D$299,MATCH(A62,'Raw Stations'!$A$2:$A$299,0))</x:f>
        <x:v>0.0007725978080579399</x:v>
      </x:c>
      <x:c r="C62" s="100" t="n">
        <x:f>'Raw Z'!L56</x:f>
        <x:v>-0.01186987602303918</x:v>
      </x:c>
      <x:c r="D62" s="100" t="n">
        <x:f>$B$2</x:f>
        <x:v>-0.0009288398653362757</x:v>
      </x:c>
      <x:c r="E62" s="100" t="n">
        <x:f>C62-D62</x:f>
        <x:v>-0.010941036157702904</x:v>
      </x:c>
      <x:c r="F62" s="100" t="n">
        <x:f>E62-B62</x:f>
        <x:v>-0.011713633965760844</x:v>
      </x:c>
      <x:c r="G62" s="100" t="n">
        <x:f>ABS(F62)</x:f>
        <x:v>0.011713633965760844</x:v>
      </x:c>
      <x:c r="H62" s="100" t="n">
        <x:f>'Raw Z'!N56</x:f>
        <x:v>0.8815983810332383</x:v>
      </x:c>
      <x:c r="I62" t="b">
        <x:f>'Raw Z'!O56</x:f>
        <x:v>1</x:v>
      </x:c>
      <x:c r="J62" s="100" t="n">
        <x:f>IF(I62,B62,"")</x:f>
        <x:v>0.0007725978080579399</x:v>
      </x:c>
      <x:c r="K62" s="100" t="n">
        <x:f>IF(I62,E62,"")</x:f>
        <x:v>-0.010941036157702904</x:v>
      </x:c>
      <x:c r="L62" s="100" t="n">
        <x:f>IF(I62,G62,"")</x:f>
        <x:v>0.011713633965760844</x:v>
      </x:c>
      <x:c r="M62" s="100" t="n">
        <x:f>IF(I62,F62^2,"")</x:f>
        <x:v>0.00013720922068382612</x:v>
      </x:c>
      <x:c r="N62" s="100" t="n">
        <x:f>IF(I62,F62,"")</x:f>
        <x:v>-0.011713633965760844</x:v>
      </x:c>
      <x:c r="P62" t="n">
        <x:f>J62</x:f>
        <x:v>0.0007725978080579399</x:v>
      </x:c>
      <x:c r="Q62" t="n">
        <x:f>K62</x:f>
        <x:v>-0.010941036157702904</x:v>
      </x:c>
    </x:row>
    <x:row r="63">
      <x:c r="A63" s="99" t="str">
        <x:f>'Raw Z'!B57</x:f>
        <x:v>00095</x:v>
      </x:c>
      <x:c r="B63" s="100" t="n">
        <x:f>INDEX('Raw Stations'!$D$2:$D$299,MATCH(A63,'Raw Stations'!$A$2:$A$299,0))</x:f>
        <x:v>-0.0289975210238233</x:v>
      </x:c>
      <x:c r="C63" s="100" t="n">
        <x:f>'Raw Z'!L57</x:f>
        <x:v>-0.01665916454525435</x:v>
      </x:c>
      <x:c r="D63" s="100" t="n">
        <x:f>$B$2</x:f>
        <x:v>-0.0009288398653362757</x:v>
      </x:c>
      <x:c r="E63" s="100" t="n">
        <x:f>C63-D63</x:f>
        <x:v>-0.015730324679918074</x:v>
      </x:c>
      <x:c r="F63" s="100" t="n">
        <x:f>E63-B63</x:f>
        <x:v>0.013267196343905226</x:v>
      </x:c>
      <x:c r="G63" s="100" t="n">
        <x:f>ABS(F63)</x:f>
        <x:v>0.013267196343905226</x:v>
      </x:c>
      <x:c r="H63" s="100" t="n">
        <x:f>'Raw Z'!N57</x:f>
        <x:v>0.8891536835063705</x:v>
      </x:c>
      <x:c r="I63" t="b">
        <x:f>'Raw Z'!O57</x:f>
        <x:v>1</x:v>
      </x:c>
      <x:c r="J63" s="100" t="n">
        <x:f>IF(I63,B63,"")</x:f>
        <x:v>-0.0289975210238233</x:v>
      </x:c>
      <x:c r="K63" s="100" t="n">
        <x:f>IF(I63,E63,"")</x:f>
        <x:v>-0.015730324679918074</x:v>
      </x:c>
      <x:c r="L63" s="100" t="n">
        <x:f>IF(I63,G63,"")</x:f>
        <x:v>0.013267196343905226</x:v>
      </x:c>
      <x:c r="M63" s="100" t="n">
        <x:f>IF(I63,F63^2,"")</x:f>
        <x:v>0.0001760184988277322</x:v>
      </x:c>
      <x:c r="N63" s="100" t="n">
        <x:f>IF(I63,F63,"")</x:f>
        <x:v>0.013267196343905226</x:v>
      </x:c>
      <x:c r="P63" t="n">
        <x:f>J63</x:f>
        <x:v>-0.0289975210238233</x:v>
      </x:c>
      <x:c r="Q63" t="n">
        <x:f>K63</x:f>
        <x:v>-0.015730324679918074</x:v>
      </x:c>
    </x:row>
    <x:row r="64">
      <x:c r="A64" s="99" t="str">
        <x:f>'Raw Z'!B58</x:f>
        <x:v>00096</x:v>
      </x:c>
      <x:c r="B64" s="100" t="n">
        <x:f>INDEX('Raw Stations'!$D$2:$D$299,MATCH(A64,'Raw Stations'!$A$2:$A$299,0))</x:f>
        <x:v>-0.0083776807166418</x:v>
      </x:c>
      <x:c r="C64" s="100" t="n">
        <x:f>'Raw Z'!L58</x:f>
        <x:v>-0.009873140507437345</x:v>
      </x:c>
      <x:c r="D64" s="100" t="n">
        <x:f>$B$2</x:f>
        <x:v>-0.0009288398653362757</x:v>
      </x:c>
      <x:c r="E64" s="100" t="n">
        <x:f>C64-D64</x:f>
        <x:v>-0.008944300642101069</x:v>
      </x:c>
      <x:c r="F64" s="100" t="n">
        <x:f>E64-B64</x:f>
        <x:v>-0.0005666199254592691</x:v>
      </x:c>
      <x:c r="G64" s="100" t="n">
        <x:f>ABS(F64)</x:f>
        <x:v>0.0005666199254592691</x:v>
      </x:c>
      <x:c r="H64" s="100" t="n">
        <x:f>'Raw Z'!N58</x:f>
        <x:v>0.9210931948234745</x:v>
      </x:c>
      <x:c r="I64" t="b">
        <x:f>'Raw Z'!O58</x:f>
        <x:v>1</x:v>
      </x:c>
      <x:c r="J64" s="100" t="n">
        <x:f>IF(I64,B64,"")</x:f>
        <x:v>-0.0083776807166418</x:v>
      </x:c>
      <x:c r="K64" s="100" t="n">
        <x:f>IF(I64,E64,"")</x:f>
        <x:v>-0.008944300642101069</x:v>
      </x:c>
      <x:c r="L64" s="100" t="n">
        <x:f>IF(I64,G64,"")</x:f>
        <x:v>0.0005666199254592691</x:v>
      </x:c>
      <x:c r="M64" s="100" t="n">
        <x:f>IF(I64,F64^2,"")</x:f>
        <x:v>3.2105813992746764e-7</x:v>
      </x:c>
      <x:c r="N64" s="100" t="n">
        <x:f>IF(I64,F64,"")</x:f>
        <x:v>-0.0005666199254592691</x:v>
      </x:c>
      <x:c r="P64" t="n">
        <x:f>J64</x:f>
        <x:v>-0.0083776807166418</x:v>
      </x:c>
      <x:c r="Q64" t="n">
        <x:f>K64</x:f>
        <x:v>-0.008944300642101069</x:v>
      </x:c>
    </x:row>
    <x:row r="65">
      <x:c r="A65" s="99" t="str">
        <x:f>'Raw Z'!B59</x:f>
        <x:v>00097</x:v>
      </x:c>
      <x:c r="B65" s="100" t="n">
        <x:f>INDEX('Raw Stations'!$D$2:$D$299,MATCH(A65,'Raw Stations'!$A$2:$A$299,0))</x:f>
        <x:v>-0.006458927007562558</x:v>
      </x:c>
      <x:c r="C65" s="100" t="n">
        <x:f>'Raw Z'!L59</x:f>
        <x:v>-0.007608690559057191</x:v>
      </x:c>
      <x:c r="D65" s="100" t="n">
        <x:f>$B$2</x:f>
        <x:v>-0.0009288398653362757</x:v>
      </x:c>
      <x:c r="E65" s="100" t="n">
        <x:f>C65-D65</x:f>
        <x:v>-0.006679850693720915</x:v>
      </x:c>
      <x:c r="F65" s="100" t="n">
        <x:f>E65-B65</x:f>
        <x:v>-0.00022092368615835717</x:v>
      </x:c>
      <x:c r="G65" s="100" t="n">
        <x:f>ABS(F65)</x:f>
        <x:v>0.00022092368615835717</x:v>
      </x:c>
      <x:c r="H65" s="100" t="n">
        <x:f>'Raw Z'!N59</x:f>
        <x:v>0.9690772544763708</x:v>
      </x:c>
      <x:c r="I65" t="b">
        <x:f>'Raw Z'!O59</x:f>
        <x:v>1</x:v>
      </x:c>
      <x:c r="J65" s="100" t="n">
        <x:f>IF(I65,B65,"")</x:f>
        <x:v>-0.006458927007562558</x:v>
      </x:c>
      <x:c r="K65" s="100" t="n">
        <x:f>IF(I65,E65,"")</x:f>
        <x:v>-0.006679850693720915</x:v>
      </x:c>
      <x:c r="L65" s="100" t="n">
        <x:f>IF(I65,G65,"")</x:f>
        <x:v>0.00022092368615835717</x:v>
      </x:c>
      <x:c r="M65" s="100" t="n">
        <x:f>IF(I65,F65^2,"")</x:f>
        <x:v>4.8807275105796294e-8</x:v>
      </x:c>
      <x:c r="N65" s="100" t="n">
        <x:f>IF(I65,F65,"")</x:f>
        <x:v>-0.00022092368615835717</x:v>
      </x:c>
      <x:c r="P65" t="n">
        <x:f>J65</x:f>
        <x:v>-0.006458927007562558</x:v>
      </x:c>
      <x:c r="Q65" t="n">
        <x:f>K65</x:f>
        <x:v>-0.006679850693720915</x:v>
      </x:c>
    </x:row>
    <x:row r="66">
      <x:c r="A66" s="99" t="str">
        <x:f>'Raw Z'!B60</x:f>
        <x:v>00098</x:v>
      </x:c>
      <x:c r="B66" s="100" t="n">
        <x:f>INDEX('Raw Stations'!$D$2:$D$299,MATCH(A66,'Raw Stations'!$A$2:$A$299,0))</x:f>
        <x:v>-0.001755968804049431</x:v>
      </x:c>
      <x:c r="C66" s="100" t="n">
        <x:f>'Raw Z'!L60</x:f>
        <x:v>-0.01142268084430573</x:v>
      </x:c>
      <x:c r="D66" s="100" t="n">
        <x:f>$B$2</x:f>
        <x:v>-0.0009288398653362757</x:v>
      </x:c>
      <x:c r="E66" s="100" t="n">
        <x:f>C66-D66</x:f>
        <x:v>-0.010493840978969455</x:v>
      </x:c>
      <x:c r="F66" s="100" t="n">
        <x:f>E66-B66</x:f>
        <x:v>-0.008737872174920024</x:v>
      </x:c>
      <x:c r="G66" s="100" t="n">
        <x:f>ABS(F66)</x:f>
        <x:v>0.008737872174920024</x:v>
      </x:c>
      <x:c r="H66" s="100" t="n">
        <x:f>'Raw Z'!N60</x:f>
        <x:v>0.9168816079323374</x:v>
      </x:c>
      <x:c r="I66" t="b">
        <x:f>'Raw Z'!O60</x:f>
        <x:v>1</x:v>
      </x:c>
      <x:c r="J66" s="100" t="n">
        <x:f>IF(I66,B66,"")</x:f>
        <x:v>-0.001755968804049431</x:v>
      </x:c>
      <x:c r="K66" s="100" t="n">
        <x:f>IF(I66,E66,"")</x:f>
        <x:v>-0.010493840978969455</x:v>
      </x:c>
      <x:c r="L66" s="100" t="n">
        <x:f>IF(I66,G66,"")</x:f>
        <x:v>0.008737872174920024</x:v>
      </x:c>
      <x:c r="M66" s="100" t="n">
        <x:f>IF(I66,F66^2,"")</x:f>
        <x:v>0.00007635041014524158</x:v>
      </x:c>
      <x:c r="N66" s="100" t="n">
        <x:f>IF(I66,F66,"")</x:f>
        <x:v>-0.008737872174920024</x:v>
      </x:c>
      <x:c r="P66" t="n">
        <x:f>J66</x:f>
        <x:v>-0.001755968804049431</x:v>
      </x:c>
      <x:c r="Q66" t="n">
        <x:f>K66</x:f>
        <x:v>-0.010493840978969455</x:v>
      </x:c>
    </x:row>
    <x:row r="67">
      <x:c r="A67" s="99" t="str">
        <x:f>'Raw Z'!B61</x:f>
        <x:v>00099</x:v>
      </x:c>
      <x:c r="B67" s="100" t="n">
        <x:f>INDEX('Raw Stations'!$D$2:$D$299,MATCH(A67,'Raw Stations'!$A$2:$A$299,0))</x:f>
        <x:v>-0.001897182119154382</x:v>
      </x:c>
      <x:c r="C67" s="100" t="n">
        <x:f>'Raw Z'!L61</x:f>
        <x:v>-0.005842624519557638</x:v>
      </x:c>
      <x:c r="D67" s="100" t="n">
        <x:f>$B$2</x:f>
        <x:v>-0.0009288398653362757</x:v>
      </x:c>
      <x:c r="E67" s="100" t="n">
        <x:f>C67-D67</x:f>
        <x:v>-0.004913784654221362</x:v>
      </x:c>
      <x:c r="F67" s="100" t="n">
        <x:f>E67-B67</x:f>
        <x:v>-0.00301660253506698</x:v>
      </x:c>
      <x:c r="G67" s="100" t="n">
        <x:f>ABS(F67)</x:f>
        <x:v>0.00301660253506698</x:v>
      </x:c>
      <x:c r="H67" s="100" t="n">
        <x:f>'Raw Z'!N61</x:f>
        <x:v>0.9537533824397165</x:v>
      </x:c>
      <x:c r="I67" t="b">
        <x:f>'Raw Z'!O61</x:f>
        <x:v>1</x:v>
      </x:c>
      <x:c r="J67" s="100" t="n">
        <x:f>IF(I67,B67,"")</x:f>
        <x:v>-0.001897182119154382</x:v>
      </x:c>
      <x:c r="K67" s="100" t="n">
        <x:f>IF(I67,E67,"")</x:f>
        <x:v>-0.004913784654221362</x:v>
      </x:c>
      <x:c r="L67" s="100" t="n">
        <x:f>IF(I67,G67,"")</x:f>
        <x:v>0.00301660253506698</x:v>
      </x:c>
      <x:c r="M67" s="100" t="n">
        <x:f>IF(I67,F67^2,"")</x:f>
        <x:v>0.00000909989085457253</x:v>
      </x:c>
      <x:c r="N67" s="100" t="n">
        <x:f>IF(I67,F67,"")</x:f>
        <x:v>-0.00301660253506698</x:v>
      </x:c>
      <x:c r="P67" t="n">
        <x:f>J67</x:f>
        <x:v>-0.001897182119154382</x:v>
      </x:c>
      <x:c r="Q67" t="n">
        <x:f>K67</x:f>
        <x:v>-0.004913784654221362</x:v>
      </x:c>
    </x:row>
    <x:row r="68">
      <x:c r="A68" s="99" t="str">
        <x:f>'Raw Z'!B62</x:f>
        <x:v>00101</x:v>
      </x:c>
      <x:c r="B68" s="100" t="n">
        <x:f>INDEX('Raw Stations'!$D$2:$D$299,MATCH(A68,'Raw Stations'!$A$2:$A$299,0))</x:f>
        <x:v>0.00816297832850466</x:v>
      </x:c>
      <x:c r="C68" s="100" t="n">
        <x:f>'Raw Z'!L62</x:f>
        <x:v>-0.002347370197032808</x:v>
      </x:c>
      <x:c r="D68" s="100" t="n">
        <x:f>$B$2</x:f>
        <x:v>-0.0009288398653362757</x:v>
      </x:c>
      <x:c r="E68" s="100" t="n">
        <x:f>C68-D68</x:f>
        <x:v>-0.0014185303316965325</x:v>
      </x:c>
      <x:c r="F68" s="100" t="n">
        <x:f>E68-B68</x:f>
        <x:v>-0.009581508660201193</x:v>
      </x:c>
      <x:c r="G68" s="100" t="n">
        <x:f>ABS(F68)</x:f>
        <x:v>0.009581508660201193</x:v>
      </x:c>
      <x:c r="H68" s="100" t="n">
        <x:f>'Raw Z'!N62</x:f>
        <x:v>0.9827935311468776</x:v>
      </x:c>
      <x:c r="I68" t="b">
        <x:f>'Raw Z'!O62</x:f>
        <x:v>1</x:v>
      </x:c>
      <x:c r="J68" s="100" t="n">
        <x:f>IF(I68,B68,"")</x:f>
        <x:v>0.00816297832850466</x:v>
      </x:c>
      <x:c r="K68" s="100" t="n">
        <x:f>IF(I68,E68,"")</x:f>
        <x:v>-0.0014185303316965325</x:v>
      </x:c>
      <x:c r="L68" s="100" t="n">
        <x:f>IF(I68,G68,"")</x:f>
        <x:v>0.009581508660201193</x:v>
      </x:c>
      <x:c r="M68" s="100" t="n">
        <x:f>IF(I68,F68^2,"")</x:f>
        <x:v>0.00009180530820551046</x:v>
      </x:c>
      <x:c r="N68" s="100" t="n">
        <x:f>IF(I68,F68,"")</x:f>
        <x:v>-0.009581508660201193</x:v>
      </x:c>
      <x:c r="P68" t="n">
        <x:f>J68</x:f>
        <x:v>0.00816297832850466</x:v>
      </x:c>
      <x:c r="Q68" t="n">
        <x:f>K68</x:f>
        <x:v>-0.0014185303316965325</x:v>
      </x:c>
    </x:row>
    <x:row r="69">
      <x:c r="A69" s="99" t="str">
        <x:f>'Raw Z'!B63</x:f>
        <x:v>00102</x:v>
      </x:c>
      <x:c r="B69" s="100" t="n">
        <x:f>INDEX('Raw Stations'!$D$2:$D$299,MATCH(A69,'Raw Stations'!$A$2:$A$299,0))</x:f>
        <x:v>0.006440861143389272</x:v>
      </x:c>
      <x:c r="C69" s="100" t="n">
        <x:f>'Raw Z'!L63</x:f>
        <x:v>0.0119305126178518</x:v>
      </x:c>
      <x:c r="D69" s="100" t="n">
        <x:f>$B$2</x:f>
        <x:v>-0.0009288398653362757</x:v>
      </x:c>
      <x:c r="E69" s="100" t="n">
        <x:f>C69-D69</x:f>
        <x:v>0.012859352483188076</x:v>
      </x:c>
      <x:c r="F69" s="100" t="n">
        <x:f>E69-B69</x:f>
        <x:v>0.006418491339798804</x:v>
      </x:c>
      <x:c r="G69" s="100" t="n">
        <x:f>ABS(F69)</x:f>
        <x:v>0.006418491339798804</x:v>
      </x:c>
      <x:c r="H69" s="100" t="n">
        <x:f>'Raw Z'!N63</x:f>
        <x:v>0.9496227730806106</x:v>
      </x:c>
      <x:c r="I69" t="b">
        <x:f>'Raw Z'!O63</x:f>
        <x:v>1</x:v>
      </x:c>
      <x:c r="J69" s="100" t="n">
        <x:f>IF(I69,B69,"")</x:f>
        <x:v>0.006440861143389272</x:v>
      </x:c>
      <x:c r="K69" s="100" t="n">
        <x:f>IF(I69,E69,"")</x:f>
        <x:v>0.012859352483188076</x:v>
      </x:c>
      <x:c r="L69" s="100" t="n">
        <x:f>IF(I69,G69,"")</x:f>
        <x:v>0.006418491339798804</x:v>
      </x:c>
      <x:c r="M69" s="100" t="n">
        <x:f>IF(I69,F69^2,"")</x:f>
        <x:v>0.000041197031079072244</x:v>
      </x:c>
      <x:c r="N69" s="100" t="n">
        <x:f>IF(I69,F69,"")</x:f>
        <x:v>0.006418491339798804</x:v>
      </x:c>
      <x:c r="P69" t="n">
        <x:f>J69</x:f>
        <x:v>0.006440861143389272</x:v>
      </x:c>
      <x:c r="Q69" t="n">
        <x:f>K69</x:f>
        <x:v>0.012859352483188076</x:v>
      </x:c>
    </x:row>
    <x:row r="70">
      <x:c r="A70" s="99" t="str">
        <x:f>'Raw Z'!B64</x:f>
        <x:v>00103</x:v>
      </x:c>
      <x:c r="B70" s="100" t="n">
        <x:f>INDEX('Raw Stations'!$D$2:$D$299,MATCH(A70,'Raw Stations'!$A$2:$A$299,0))</x:f>
        <x:v>0.00383762701612823</x:v>
      </x:c>
      <x:c r="C70" s="100" t="n">
        <x:f>'Raw Z'!L64</x:f>
        <x:v>0.0495082664631226</x:v>
      </x:c>
      <x:c r="D70" s="100" t="n">
        <x:f>$B$2</x:f>
        <x:v>-0.0009288398653362757</x:v>
      </x:c>
      <x:c r="E70" s="100" t="n">
        <x:f>C70-D70</x:f>
        <x:v>0.050437106328458874</x:v>
      </x:c>
      <x:c r="F70" s="100" t="n">
        <x:f>E70-B70</x:f>
        <x:v>0.04659947931233065</x:v>
      </x:c>
      <x:c r="G70" s="100" t="n">
        <x:f>ABS(F70)</x:f>
        <x:v>0.04659947931233065</x:v>
      </x:c>
      <x:c r="H70" s="100" t="n">
        <x:f>'Raw Z'!N64</x:f>
        <x:v>0.5870672132178967</x:v>
      </x:c>
      <x:c r="I70" t="b">
        <x:f>'Raw Z'!O64</x:f>
        <x:v>0</x:v>
      </x:c>
      <x:c r="J70" s="100" t="str">
        <x:f>IF(I70,B70,"")</x:f>
      </x:c>
      <x:c r="K70" s="100" t="str">
        <x:f>IF(I70,E70,"")</x:f>
      </x:c>
      <x:c r="L70" s="100" t="str">
        <x:f>IF(I70,G70,"")</x:f>
      </x:c>
      <x:c r="M70" s="100" t="str">
        <x:f>IF(I70,F70^2,"")</x:f>
      </x:c>
      <x:c r="N70" s="100" t="str">
        <x:f>IF(I70,F70,"")</x:f>
      </x:c>
      <x:c r="P70" t="str">
        <x:f>J70</x:f>
      </x:c>
      <x:c r="Q70" t="str">
        <x:f>K70</x:f>
      </x:c>
    </x:row>
    <x:row r="71">
      <x:c r="A71" s="99" t="str">
        <x:f>'Raw Z'!B65</x:f>
        <x:v>00104</x:v>
      </x:c>
      <x:c r="B71" s="100" t="n">
        <x:f>INDEX('Raw Stations'!$D$2:$D$299,MATCH(A71,'Raw Stations'!$A$2:$A$299,0))</x:f>
        <x:v>0.01838903316099029</x:v>
      </x:c>
      <x:c r="C71" s="100" t="n">
        <x:f>'Raw Z'!L65</x:f>
        <x:v>0.04687038729118024</x:v>
      </x:c>
      <x:c r="D71" s="100" t="n">
        <x:f>$B$2</x:f>
        <x:v>-0.0009288398653362757</x:v>
      </x:c>
      <x:c r="E71" s="100" t="n">
        <x:f>C71-D71</x:f>
        <x:v>0.047799227156516515</x:v>
      </x:c>
      <x:c r="F71" s="100" t="n">
        <x:f>E71-B71</x:f>
        <x:v>0.029410193995526225</x:v>
      </x:c>
      <x:c r="G71" s="100" t="n">
        <x:f>ABS(F71)</x:f>
        <x:v>0.029410193995526225</x:v>
      </x:c>
      <x:c r="H71" s="100" t="n">
        <x:f>'Raw Z'!N65</x:f>
        <x:v>0.4621819652331445</x:v>
      </x:c>
      <x:c r="I71" t="b">
        <x:f>'Raw Z'!O65</x:f>
        <x:v>0</x:v>
      </x:c>
      <x:c r="J71" s="100" t="str">
        <x:f>IF(I71,B71,"")</x:f>
      </x:c>
      <x:c r="K71" s="100" t="str">
        <x:f>IF(I71,E71,"")</x:f>
      </x:c>
      <x:c r="L71" s="100" t="str">
        <x:f>IF(I71,G71,"")</x:f>
      </x:c>
      <x:c r="M71" s="100" t="str">
        <x:f>IF(I71,F71^2,"")</x:f>
      </x:c>
      <x:c r="N71" s="100" t="str">
        <x:f>IF(I71,F71,"")</x:f>
      </x:c>
      <x:c r="P71" t="str">
        <x:f>J71</x:f>
      </x:c>
      <x:c r="Q71" t="str">
        <x:f>K71</x:f>
      </x:c>
    </x:row>
    <x:row r="72">
      <x:c r="A72" s="99" t="str">
        <x:f>'Raw Z'!B66</x:f>
        <x:v>00105</x:v>
      </x:c>
      <x:c r="B72" s="100" t="n">
        <x:f>INDEX('Raw Stations'!$D$2:$D$299,MATCH(A72,'Raw Stations'!$A$2:$A$299,0))</x:f>
        <x:v>0.02614009220453565</x:v>
      </x:c>
      <x:c r="C72" s="100" t="n">
        <x:f>'Raw Z'!L66</x:f>
        <x:v>0.04537671183174521</x:v>
      </x:c>
      <x:c r="D72" s="100" t="n">
        <x:f>$B$2</x:f>
        <x:v>-0.0009288398653362757</x:v>
      </x:c>
      <x:c r="E72" s="100" t="n">
        <x:f>C72-D72</x:f>
        <x:v>0.04630555169708148</x:v>
      </x:c>
      <x:c r="F72" s="100" t="n">
        <x:f>E72-B72</x:f>
        <x:v>0.020165459492545834</x:v>
      </x:c>
      <x:c r="G72" s="100" t="n">
        <x:f>ABS(F72)</x:f>
        <x:v>0.020165459492545834</x:v>
      </x:c>
      <x:c r="H72" s="100" t="n">
        <x:f>'Raw Z'!N66</x:f>
        <x:v>0.5567916780547221</x:v>
      </x:c>
      <x:c r="I72" t="b">
        <x:f>'Raw Z'!O66</x:f>
        <x:v>0</x:v>
      </x:c>
      <x:c r="J72" s="100" t="str">
        <x:f>IF(I72,B72,"")</x:f>
      </x:c>
      <x:c r="K72" s="100" t="str">
        <x:f>IF(I72,E72,"")</x:f>
      </x:c>
      <x:c r="L72" s="100" t="str">
        <x:f>IF(I72,G72,"")</x:f>
      </x:c>
      <x:c r="M72" s="100" t="str">
        <x:f>IF(I72,F72^2,"")</x:f>
      </x:c>
      <x:c r="N72" s="100" t="str">
        <x:f>IF(I72,F72,"")</x:f>
      </x:c>
      <x:c r="P72" t="str">
        <x:f>J72</x:f>
      </x:c>
      <x:c r="Q72" t="str">
        <x:f>K72</x:f>
      </x:c>
    </x:row>
    <x:row r="73">
      <x:c r="A73" s="99" t="str">
        <x:f>'Raw Z'!B67</x:f>
        <x:v>00106</x:v>
      </x:c>
      <x:c r="B73" s="100" t="n">
        <x:f>INDEX('Raw Stations'!$D$2:$D$299,MATCH(A73,'Raw Stations'!$A$2:$A$299,0))</x:f>
        <x:v>0.03147805817797152</x:v>
      </x:c>
      <x:c r="C73" s="100" t="n">
        <x:f>'Raw Z'!L67</x:f>
        <x:v>0.04720344472238837</x:v>
      </x:c>
      <x:c r="D73" s="100" t="n">
        <x:f>$B$2</x:f>
        <x:v>-0.0009288398653362757</x:v>
      </x:c>
      <x:c r="E73" s="100" t="n">
        <x:f>C73-D73</x:f>
        <x:v>0.048132284587724644</x:v>
      </x:c>
      <x:c r="F73" s="100" t="n">
        <x:f>E73-B73</x:f>
        <x:v>0.01665422640975312</x:v>
      </x:c>
      <x:c r="G73" s="100" t="n">
        <x:f>ABS(F73)</x:f>
        <x:v>0.01665422640975312</x:v>
      </x:c>
      <x:c r="H73" s="100" t="n">
        <x:f>'Raw Z'!N67</x:f>
        <x:v>0.3883759475617143</x:v>
      </x:c>
      <x:c r="I73" t="b">
        <x:f>'Raw Z'!O67</x:f>
        <x:v>0</x:v>
      </x:c>
      <x:c r="J73" s="100" t="str">
        <x:f>IF(I73,B73,"")</x:f>
      </x:c>
      <x:c r="K73" s="100" t="str">
        <x:f>IF(I73,E73,"")</x:f>
      </x:c>
      <x:c r="L73" s="100" t="str">
        <x:f>IF(I73,G73,"")</x:f>
      </x:c>
      <x:c r="M73" s="100" t="str">
        <x:f>IF(I73,F73^2,"")</x:f>
      </x:c>
      <x:c r="N73" s="100" t="str">
        <x:f>IF(I73,F73,"")</x:f>
      </x:c>
      <x:c r="P73" t="str">
        <x:f>J73</x:f>
      </x:c>
      <x:c r="Q73" t="str">
        <x:f>K73</x:f>
      </x:c>
    </x:row>
    <x:row r="74">
      <x:c r="A74" s="99" t="str">
        <x:f>'Raw Z'!B68</x:f>
        <x:v>00108</x:v>
      </x:c>
      <x:c r="B74" s="100" t="n">
        <x:f>INDEX('Raw Stations'!$D$2:$D$299,MATCH(A74,'Raw Stations'!$A$2:$A$299,0))</x:f>
        <x:v>0.009928117065160676</x:v>
      </x:c>
      <x:c r="C74" s="100" t="n">
        <x:f>'Raw Z'!L68</x:f>
        <x:v>0.0464625904667697</x:v>
      </x:c>
      <x:c r="D74" s="100" t="n">
        <x:f>$B$2</x:f>
        <x:v>-0.0009288398653362757</x:v>
      </x:c>
      <x:c r="E74" s="100" t="n">
        <x:f>C74-D74</x:f>
        <x:v>0.04739143033210597</x:v>
      </x:c>
      <x:c r="F74" s="100" t="n">
        <x:f>E74-B74</x:f>
        <x:v>0.0374633132669453</x:v>
      </x:c>
      <x:c r="G74" s="100" t="n">
        <x:f>ABS(F74)</x:f>
        <x:v>0.0374633132669453</x:v>
      </x:c>
      <x:c r="H74" s="100" t="n">
        <x:f>'Raw Z'!N68</x:f>
        <x:v>0.9120801095740617</x:v>
      </x:c>
      <x:c r="I74" t="b">
        <x:f>'Raw Z'!O68</x:f>
        <x:v>1</x:v>
      </x:c>
      <x:c r="J74" s="100" t="n">
        <x:f>IF(I74,B74,"")</x:f>
        <x:v>0.009928117065160676</x:v>
      </x:c>
      <x:c r="K74" s="100" t="n">
        <x:f>IF(I74,E74,"")</x:f>
        <x:v>0.04739143033210597</x:v>
      </x:c>
      <x:c r="L74" s="100" t="n">
        <x:f>IF(I74,G74,"")</x:f>
        <x:v>0.0374633132669453</x:v>
      </x:c>
      <x:c r="M74" s="100" t="n">
        <x:f>IF(I74,F74^2,"")</x:f>
        <x:v>0.0014034998409372796</x:v>
      </x:c>
      <x:c r="N74" s="100" t="n">
        <x:f>IF(I74,F74,"")</x:f>
        <x:v>0.0374633132669453</x:v>
      </x:c>
      <x:c r="P74" t="n">
        <x:f>J74</x:f>
        <x:v>0.009928117065160676</x:v>
      </x:c>
      <x:c r="Q74" t="n">
        <x:f>K74</x:f>
        <x:v>0.04739143033210597</x:v>
      </x:c>
    </x:row>
    <x:row r="75">
      <x:c r="A75" s="99" t="str">
        <x:f>'Raw Z'!B69</x:f>
        <x:v>00109</x:v>
      </x:c>
      <x:c r="B75" s="100" t="n">
        <x:f>INDEX('Raw Stations'!$D$2:$D$299,MATCH(A75,'Raw Stations'!$A$2:$A$299,0))</x:f>
        <x:v>0.00789210134272918</x:v>
      </x:c>
      <x:c r="C75" s="100" t="n">
        <x:f>'Raw Z'!L69</x:f>
        <x:v>0.04761748788714602</x:v>
      </x:c>
      <x:c r="D75" s="100" t="n">
        <x:f>$B$2</x:f>
        <x:v>-0.0009288398653362757</x:v>
      </x:c>
      <x:c r="E75" s="100" t="n">
        <x:f>C75-D75</x:f>
        <x:v>0.0485463277524823</x:v>
      </x:c>
      <x:c r="F75" s="100" t="n">
        <x:f>E75-B75</x:f>
        <x:v>0.04065422640975312</x:v>
      </x:c>
      <x:c r="G75" s="100" t="n">
        <x:f>ABS(F75)</x:f>
        <x:v>0.04065422640975312</x:v>
      </x:c>
      <x:c r="H75" s="100" t="n">
        <x:f>'Raw Z'!N69</x:f>
        <x:v>0.9590913358134723</x:v>
      </x:c>
      <x:c r="I75" t="b">
        <x:f>'Raw Z'!O69</x:f>
        <x:v>1</x:v>
      </x:c>
      <x:c r="J75" s="100" t="n">
        <x:f>IF(I75,B75,"")</x:f>
        <x:v>0.00789210134272918</x:v>
      </x:c>
      <x:c r="K75" s="100" t="n">
        <x:f>IF(I75,E75,"")</x:f>
        <x:v>0.0485463277524823</x:v>
      </x:c>
      <x:c r="L75" s="100" t="n">
        <x:f>IF(I75,G75,"")</x:f>
        <x:v>0.04065422640975312</x:v>
      </x:c>
      <x:c r="M75" s="100" t="n">
        <x:f>IF(I75,F75^2,"")</x:f>
        <x:v>0.0016527661249754683</x:v>
      </x:c>
      <x:c r="N75" s="100" t="n">
        <x:f>IF(I75,F75,"")</x:f>
        <x:v>0.04065422640975312</x:v>
      </x:c>
      <x:c r="P75" t="n">
        <x:f>J75</x:f>
        <x:v>0.00789210134272918</x:v>
      </x:c>
      <x:c r="Q75" t="n">
        <x:f>K75</x:f>
        <x:v>0.0485463277524823</x:v>
      </x:c>
    </x:row>
    <x:row r="76">
      <x:c r="A76" s="99" t="str">
        <x:f>'Raw Z'!B70</x:f>
        <x:v>00110</x:v>
      </x:c>
      <x:c r="B76" s="100" t="n">
        <x:f>INDEX('Raw Stations'!$D$2:$D$299,MATCH(A76,'Raw Stations'!$A$2:$A$299,0))</x:f>
        <x:v>-0.003302112007536884</x:v>
      </x:c>
      <x:c r="C76" s="100" t="n">
        <x:f>'Raw Z'!L70</x:f>
        <x:v>0.004505798011703949</x:v>
      </x:c>
      <x:c r="D76" s="100" t="n">
        <x:f>$B$2</x:f>
        <x:v>-0.0009288398653362757</x:v>
      </x:c>
      <x:c r="E76" s="100" t="n">
        <x:f>C76-D76</x:f>
        <x:v>0.005434637877040224</x:v>
      </x:c>
      <x:c r="F76" s="100" t="n">
        <x:f>E76-B76</x:f>
        <x:v>0.008736749884577108</x:v>
      </x:c>
      <x:c r="G76" s="100" t="n">
        <x:f>ABS(F76)</x:f>
        <x:v>0.008736749884577108</x:v>
      </x:c>
      <x:c r="H76" s="100" t="n">
        <x:f>'Raw Z'!N70</x:f>
        <x:v>0.9414299837258889</x:v>
      </x:c>
      <x:c r="I76" t="b">
        <x:f>'Raw Z'!O70</x:f>
        <x:v>1</x:v>
      </x:c>
      <x:c r="J76" s="100" t="n">
        <x:f>IF(I76,B76,"")</x:f>
        <x:v>-0.003302112007536884</x:v>
      </x:c>
      <x:c r="K76" s="100" t="n">
        <x:f>IF(I76,E76,"")</x:f>
        <x:v>0.005434637877040224</x:v>
      </x:c>
      <x:c r="L76" s="100" t="n">
        <x:f>IF(I76,G76,"")</x:f>
        <x:v>0.008736749884577108</x:v>
      </x:c>
      <x:c r="M76" s="100" t="n">
        <x:f>IF(I76,F76^2,"")</x:f>
        <x:v>0.00007633079854565812</x:v>
      </x:c>
      <x:c r="N76" s="100" t="n">
        <x:f>IF(I76,F76,"")</x:f>
        <x:v>0.008736749884577108</x:v>
      </x:c>
      <x:c r="P76" t="n">
        <x:f>J76</x:f>
        <x:v>-0.003302112007536884</x:v>
      </x:c>
      <x:c r="Q76" t="n">
        <x:f>K76</x:f>
        <x:v>0.005434637877040224</x:v>
      </x:c>
    </x:row>
    <x:row r="77">
      <x:c r="A77" s="99" t="str">
        <x:f>'Raw Z'!B71</x:f>
        <x:v>00111</x:v>
      </x:c>
      <x:c r="B77" s="100" t="n">
        <x:f>INDEX('Raw Stations'!$D$2:$D$299,MATCH(A77,'Raw Stations'!$A$2:$A$299,0))</x:f>
        <x:v>-0.001515677461293052</x:v>
      </x:c>
      <x:c r="C77" s="100" t="n">
        <x:f>'Raw Z'!L71</x:f>
        <x:v>-0.004762845598772159</x:v>
      </x:c>
      <x:c r="D77" s="100" t="n">
        <x:f>$B$2</x:f>
        <x:v>-0.0009288398653362757</x:v>
      </x:c>
      <x:c r="E77" s="100" t="n">
        <x:f>C77-D77</x:f>
        <x:v>-0.0038340057334358838</x:v>
      </x:c>
      <x:c r="F77" s="100" t="n">
        <x:f>E77-B77</x:f>
        <x:v>-0.002318328272142832</x:v>
      </x:c>
      <x:c r="G77" s="100" t="n">
        <x:f>ABS(F77)</x:f>
        <x:v>0.002318328272142832</x:v>
      </x:c>
      <x:c r="H77" s="100" t="n">
        <x:f>'Raw Z'!N71</x:f>
        <x:v>0.9168195488418753</x:v>
      </x:c>
      <x:c r="I77" t="b">
        <x:f>'Raw Z'!O71</x:f>
        <x:v>1</x:v>
      </x:c>
      <x:c r="J77" s="100" t="n">
        <x:f>IF(I77,B77,"")</x:f>
        <x:v>-0.001515677461293052</x:v>
      </x:c>
      <x:c r="K77" s="100" t="n">
        <x:f>IF(I77,E77,"")</x:f>
        <x:v>-0.0038340057334358838</x:v>
      </x:c>
      <x:c r="L77" s="100" t="n">
        <x:f>IF(I77,G77,"")</x:f>
        <x:v>0.002318328272142832</x:v>
      </x:c>
      <x:c r="M77" s="100" t="n">
        <x:f>IF(I77,F77^2,"")</x:f>
        <x:v>0.0000053746459774167686</x:v>
      </x:c>
      <x:c r="N77" s="100" t="n">
        <x:f>IF(I77,F77,"")</x:f>
        <x:v>-0.002318328272142832</x:v>
      </x:c>
      <x:c r="P77" t="n">
        <x:f>J77</x:f>
        <x:v>-0.001515677461293052</x:v>
      </x:c>
      <x:c r="Q77" t="n">
        <x:f>K77</x:f>
        <x:v>-0.0038340057334358838</x:v>
      </x:c>
    </x:row>
    <x:row r="78">
      <x:c r="A78" s="99" t="str">
        <x:f>'Raw Z'!B72</x:f>
        <x:v>00112</x:v>
      </x:c>
      <x:c r="B78" s="100" t="n">
        <x:f>INDEX('Raw Stations'!$D$2:$D$299,MATCH(A78,'Raw Stations'!$A$2:$A$299,0))</x:f>
        <x:v>-0.005290663059683133</x:v>
      </x:c>
      <x:c r="C78" s="100" t="n">
        <x:f>'Raw Z'!L72</x:f>
        <x:v>-0.00879497123454065</x:v>
      </x:c>
      <x:c r="D78" s="100" t="n">
        <x:f>$B$2</x:f>
        <x:v>-0.0009288398653362757</x:v>
      </x:c>
      <x:c r="E78" s="100" t="n">
        <x:f>C78-D78</x:f>
        <x:v>-0.007866131369204374</x:v>
      </x:c>
      <x:c r="F78" s="100" t="n">
        <x:f>E78-B78</x:f>
        <x:v>-0.002575468309521241</x:v>
      </x:c>
      <x:c r="G78" s="100" t="n">
        <x:f>ABS(F78)</x:f>
        <x:v>0.002575468309521241</x:v>
      </x:c>
      <x:c r="H78" s="100" t="n">
        <x:f>'Raw Z'!N72</x:f>
        <x:v>0.9366439464022978</x:v>
      </x:c>
      <x:c r="I78" t="b">
        <x:f>'Raw Z'!O72</x:f>
        <x:v>1</x:v>
      </x:c>
      <x:c r="J78" s="100" t="n">
        <x:f>IF(I78,B78,"")</x:f>
        <x:v>-0.005290663059683133</x:v>
      </x:c>
      <x:c r="K78" s="100" t="n">
        <x:f>IF(I78,E78,"")</x:f>
        <x:v>-0.007866131369204374</x:v>
      </x:c>
      <x:c r="L78" s="100" t="n">
        <x:f>IF(I78,G78,"")</x:f>
        <x:v>0.002575468309521241</x:v>
      </x:c>
      <x:c r="M78" s="100" t="n">
        <x:f>IF(I78,F78^2,"")</x:f>
        <x:v>0.000006633037013348199</x:v>
      </x:c>
      <x:c r="N78" s="100" t="n">
        <x:f>IF(I78,F78,"")</x:f>
        <x:v>-0.002575468309521241</x:v>
      </x:c>
      <x:c r="P78" t="n">
        <x:f>J78</x:f>
        <x:v>-0.005290663059683133</x:v>
      </x:c>
      <x:c r="Q78" t="n">
        <x:f>K78</x:f>
        <x:v>-0.007866131369204374</x:v>
      </x:c>
    </x:row>
    <x:row r="79">
      <x:c r="A79" s="99" t="str">
        <x:f>'Raw Z'!B73</x:f>
        <x:v>00113</x:v>
      </x:c>
      <x:c r="B79" s="100" t="n">
        <x:f>INDEX('Raw Stations'!$D$2:$D$299,MATCH(A79,'Raw Stations'!$A$2:$A$299,0))</x:f>
        <x:v>-0.009539030286302791</x:v>
      </x:c>
      <x:c r="C79" s="100" t="n">
        <x:f>'Raw Z'!L73</x:f>
        <x:v>-0.01018150411739993</x:v>
      </x:c>
      <x:c r="D79" s="100" t="n">
        <x:f>$B$2</x:f>
        <x:v>-0.0009288398653362757</x:v>
      </x:c>
      <x:c r="E79" s="100" t="n">
        <x:f>C79-D79</x:f>
        <x:v>-0.009252664252063654</x:v>
      </x:c>
      <x:c r="F79" s="100" t="n">
        <x:f>E79-B79</x:f>
        <x:v>0.00028636603423913727</x:v>
      </x:c>
      <x:c r="G79" s="100" t="n">
        <x:f>ABS(F79)</x:f>
        <x:v>0.00028636603423913727</x:v>
      </x:c>
      <x:c r="H79" s="100" t="n">
        <x:f>'Raw Z'!N73</x:f>
        <x:v>0.9464549205698366</x:v>
      </x:c>
      <x:c r="I79" t="b">
        <x:f>'Raw Z'!O73</x:f>
        <x:v>1</x:v>
      </x:c>
      <x:c r="J79" s="100" t="n">
        <x:f>IF(I79,B79,"")</x:f>
        <x:v>-0.009539030286302791</x:v>
      </x:c>
      <x:c r="K79" s="100" t="n">
        <x:f>IF(I79,E79,"")</x:f>
        <x:v>-0.009252664252063654</x:v>
      </x:c>
      <x:c r="L79" s="100" t="n">
        <x:f>IF(I79,G79,"")</x:f>
        <x:v>0.00028636603423913727</x:v>
      </x:c>
      <x:c r="M79" s="100" t="n">
        <x:f>IF(I79,F79^2,"")</x:f>
        <x:v>8.200550556585074e-8</x:v>
      </x:c>
      <x:c r="N79" s="100" t="n">
        <x:f>IF(I79,F79,"")</x:f>
        <x:v>0.00028636603423913727</x:v>
      </x:c>
      <x:c r="P79" t="n">
        <x:f>J79</x:f>
        <x:v>-0.009539030286302791</x:v>
      </x:c>
      <x:c r="Q79" t="n">
        <x:f>K79</x:f>
        <x:v>-0.009252664252063654</x:v>
      </x:c>
    </x:row>
    <x:row r="80">
      <x:c r="A80" s="99" t="str">
        <x:f>'Raw Z'!B74</x:f>
        <x:v>00114</x:v>
      </x:c>
      <x:c r="B80" s="100" t="n">
        <x:f>INDEX('Raw Stations'!$D$2:$D$299,MATCH(A80,'Raw Stations'!$A$2:$A$299,0))</x:f>
        <x:v>-0.002736037088127169</x:v>
      </x:c>
      <x:c r="C80" s="100" t="n">
        <x:f>'Raw Z'!L74</x:f>
        <x:v>-0.005487433566778846</x:v>
      </x:c>
      <x:c r="D80" s="100" t="n">
        <x:f>$B$2</x:f>
        <x:v>-0.0009288398653362757</x:v>
      </x:c>
      <x:c r="E80" s="100" t="n">
        <x:f>C80-D80</x:f>
        <x:v>-0.00455859370144257</x:v>
      </x:c>
      <x:c r="F80" s="100" t="n">
        <x:f>E80-B80</x:f>
        <x:v>-0.0018225566133154014</x:v>
      </x:c>
      <x:c r="G80" s="100" t="n">
        <x:f>ABS(F80)</x:f>
        <x:v>0.0018225566133154014</x:v>
      </x:c>
      <x:c r="H80" s="100" t="n">
        <x:f>'Raw Z'!N74</x:f>
        <x:v>0.9163075344849707</x:v>
      </x:c>
      <x:c r="I80" t="b">
        <x:f>'Raw Z'!O74</x:f>
        <x:v>1</x:v>
      </x:c>
      <x:c r="J80" s="100" t="n">
        <x:f>IF(I80,B80,"")</x:f>
        <x:v>-0.002736037088127169</x:v>
      </x:c>
      <x:c r="K80" s="100" t="n">
        <x:f>IF(I80,E80,"")</x:f>
        <x:v>-0.00455859370144257</x:v>
      </x:c>
      <x:c r="L80" s="100" t="n">
        <x:f>IF(I80,G80,"")</x:f>
        <x:v>0.0018225566133154014</x:v>
      </x:c>
      <x:c r="M80" s="100" t="n">
        <x:f>IF(I80,F80^2,"")</x:f>
        <x:v>0.0000033217126087397057</x:v>
      </x:c>
      <x:c r="N80" s="100" t="n">
        <x:f>IF(I80,F80,"")</x:f>
        <x:v>-0.0018225566133154014</x:v>
      </x:c>
      <x:c r="P80" t="n">
        <x:f>J80</x:f>
        <x:v>-0.002736037088127169</x:v>
      </x:c>
      <x:c r="Q80" t="n">
        <x:f>K80</x:f>
        <x:v>-0.00455859370144257</x:v>
      </x:c>
    </x:row>
    <x:row r="81">
      <x:c r="A81" s="99" t="str">
        <x:f>'Raw Z'!B75</x:f>
        <x:v>00115</x:v>
      </x:c>
      <x:c r="B81" s="100" t="n">
        <x:f>INDEX('Raw Stations'!$D$2:$D$299,MATCH(A81,'Raw Stations'!$A$2:$A$299,0))</x:f>
        <x:v>-0.002094424782700586</x:v>
      </x:c>
      <x:c r="C81" s="100" t="n">
        <x:f>'Raw Z'!L75</x:f>
        <x:v>-0.005609419622609205</x:v>
      </x:c>
      <x:c r="D81" s="100" t="n">
        <x:f>$B$2</x:f>
        <x:v>-0.0009288398653362757</x:v>
      </x:c>
      <x:c r="E81" s="100" t="n">
        <x:f>C81-D81</x:f>
        <x:v>-0.004680579757272929</x:v>
      </x:c>
      <x:c r="F81" s="100" t="n">
        <x:f>E81-B81</x:f>
        <x:v>-0.002586154974572343</x:v>
      </x:c>
      <x:c r="G81" s="100" t="n">
        <x:f>ABS(F81)</x:f>
        <x:v>0.002586154974572343</x:v>
      </x:c>
      <x:c r="H81" s="100" t="n">
        <x:f>'Raw Z'!N75</x:f>
        <x:v>0.9636302862311458</x:v>
      </x:c>
      <x:c r="I81" t="b">
        <x:f>'Raw Z'!O75</x:f>
        <x:v>1</x:v>
      </x:c>
      <x:c r="J81" s="100" t="n">
        <x:f>IF(I81,B81,"")</x:f>
        <x:v>-0.002094424782700586</x:v>
      </x:c>
      <x:c r="K81" s="100" t="n">
        <x:f>IF(I81,E81,"")</x:f>
        <x:v>-0.004680579757272929</x:v>
      </x:c>
      <x:c r="L81" s="100" t="n">
        <x:f>IF(I81,G81,"")</x:f>
        <x:v>0.002586154974572343</x:v>
      </x:c>
      <x:c r="M81" s="100" t="n">
        <x:f>IF(I81,F81^2,"")</x:f>
        <x:v>0.000006688197552505277</x:v>
      </x:c>
      <x:c r="N81" s="100" t="n">
        <x:f>IF(I81,F81,"")</x:f>
        <x:v>-0.002586154974572343</x:v>
      </x:c>
      <x:c r="P81" t="n">
        <x:f>J81</x:f>
        <x:v>-0.002094424782700586</x:v>
      </x:c>
      <x:c r="Q81" t="n">
        <x:f>K81</x:f>
        <x:v>-0.004680579757272929</x:v>
      </x:c>
    </x:row>
    <x:row r="82">
      <x:c r="A82" s="99" t="str">
        <x:f>'Raw Z'!B76</x:f>
        <x:v>00116</x:v>
      </x:c>
      <x:c r="B82" s="100" t="n">
        <x:f>INDEX('Raw Stations'!$D$2:$D$299,MATCH(A82,'Raw Stations'!$A$2:$A$299,0))</x:f>
        <x:v>0.00008376431429451409</x:v>
      </x:c>
      <x:c r="C82" s="100" t="n">
        <x:f>'Raw Z'!L76</x:f>
        <x:v>-0.001065999237200105</x:v>
      </x:c>
      <x:c r="D82" s="100" t="n">
        <x:f>$B$2</x:f>
        <x:v>-0.0009288398653362757</x:v>
      </x:c>
      <x:c r="E82" s="100" t="n">
        <x:f>C82-D82</x:f>
        <x:v>-0.0001371593718638293</x:v>
      </x:c>
      <x:c r="F82" s="100" t="n">
        <x:f>E82-B82</x:f>
        <x:v>-0.0002209236861583434</x:v>
      </x:c>
      <x:c r="G82" s="100" t="n">
        <x:f>ABS(F82)</x:f>
        <x:v>0.0002209236861583434</x:v>
      </x:c>
      <x:c r="H82" s="100" t="n">
        <x:f>'Raw Z'!N76</x:f>
        <x:v>0.9936815846962876</x:v>
      </x:c>
      <x:c r="I82" t="b">
        <x:f>'Raw Z'!O76</x:f>
        <x:v>1</x:v>
      </x:c>
      <x:c r="J82" s="100" t="n">
        <x:f>IF(I82,B82,"")</x:f>
        <x:v>0.00008376431429451409</x:v>
      </x:c>
      <x:c r="K82" s="100" t="n">
        <x:f>IF(I82,E82,"")</x:f>
        <x:v>-0.0001371593718638293</x:v>
      </x:c>
      <x:c r="L82" s="100" t="n">
        <x:f>IF(I82,G82,"")</x:f>
        <x:v>0.0002209236861583434</x:v>
      </x:c>
      <x:c r="M82" s="100" t="n">
        <x:f>IF(I82,F82^2,"")</x:f>
        <x:v>4.880727510579021e-8</x:v>
      </x:c>
      <x:c r="N82" s="100" t="n">
        <x:f>IF(I82,F82,"")</x:f>
        <x:v>-0.0002209236861583434</x:v>
      </x:c>
      <x:c r="P82" t="n">
        <x:f>J82</x:f>
        <x:v>0.00008376431429451409</x:v>
      </x:c>
      <x:c r="Q82" t="n">
        <x:f>K82</x:f>
        <x:v>-0.0001371593718638293</x:v>
      </x:c>
    </x:row>
    <x:row r="83">
      <x:c r="A83" s="99" t="str">
        <x:f>'Raw Z'!B77</x:f>
        <x:v>00117</x:v>
      </x:c>
      <x:c r="B83" s="100" t="n">
        <x:f>INDEX('Raw Stations'!$D$2:$D$299,MATCH(A83,'Raw Stations'!$A$2:$A$299,0))</x:f>
        <x:v>0.007654400323961891</x:v>
      </x:c>
      <x:c r="C83" s="100" t="n">
        <x:f>'Raw Z'!L77</x:f>
        <x:v>-0.003733563121496003</x:v>
      </x:c>
      <x:c r="D83" s="100" t="n">
        <x:f>$B$2</x:f>
        <x:v>-0.0009288398653362757</x:v>
      </x:c>
      <x:c r="E83" s="100" t="n">
        <x:f>C83-D83</x:f>
        <x:v>-0.0028047232561597274</x:v>
      </x:c>
      <x:c r="F83" s="100" t="n">
        <x:f>E83-B83</x:f>
        <x:v>-0.010459123580121618</x:v>
      </x:c>
      <x:c r="G83" s="100" t="n">
        <x:f>ABS(F83)</x:f>
        <x:v>0.010459123580121618</x:v>
      </x:c>
      <x:c r="H83" s="100" t="n">
        <x:f>'Raw Z'!N77</x:f>
        <x:v>0.9675445948164859</x:v>
      </x:c>
      <x:c r="I83" t="b">
        <x:f>'Raw Z'!O77</x:f>
        <x:v>1</x:v>
      </x:c>
      <x:c r="J83" s="100" t="n">
        <x:f>IF(I83,B83,"")</x:f>
        <x:v>0.007654400323961891</x:v>
      </x:c>
      <x:c r="K83" s="100" t="n">
        <x:f>IF(I83,E83,"")</x:f>
        <x:v>-0.0028047232561597274</x:v>
      </x:c>
      <x:c r="L83" s="100" t="n">
        <x:f>IF(I83,G83,"")</x:f>
        <x:v>0.010459123580121618</x:v>
      </x:c>
      <x:c r="M83" s="100" t="n">
        <x:f>IF(I83,F83^2,"")</x:f>
        <x:v>0.00010939326606425605</x:v>
      </x:c>
      <x:c r="N83" s="100" t="n">
        <x:f>IF(I83,F83,"")</x:f>
        <x:v>-0.010459123580121618</x:v>
      </x:c>
      <x:c r="P83" t="n">
        <x:f>J83</x:f>
        <x:v>0.007654400323961891</x:v>
      </x:c>
      <x:c r="Q83" t="n">
        <x:f>K83</x:f>
        <x:v>-0.0028047232561597274</x:v>
      </x:c>
    </x:row>
    <x:row r="84">
      <x:c r="A84" s="99" t="str">
        <x:f>'Raw Z'!B78</x:f>
        <x:v>00118</x:v>
      </x:c>
      <x:c r="B84" s="100" t="n">
        <x:f>INDEX('Raw Stations'!$D$2:$D$299,MATCH(A84,'Raw Stations'!$A$2:$A$299,0))</x:f>
        <x:v>0.01005063021135003</x:v>
      </x:c>
      <x:c r="C84" s="100" t="n">
        <x:f>'Raw Z'!L78</x:f>
        <x:v>-0.03459184361974711</x:v>
      </x:c>
      <x:c r="D84" s="100" t="n">
        <x:f>$B$2</x:f>
        <x:v>-0.0009288398653362757</x:v>
      </x:c>
      <x:c r="E84" s="100" t="n">
        <x:f>C84-D84</x:f>
        <x:v>-0.033663003754410836</x:v>
      </x:c>
      <x:c r="F84" s="100" t="n">
        <x:f>E84-B84</x:f>
        <x:v>-0.04371363396576087</x:v>
      </x:c>
      <x:c r="G84" s="100" t="n">
        <x:f>ABS(F84)</x:f>
        <x:v>0.04371363396576087</x:v>
      </x:c>
      <x:c r="H84" s="100" t="n">
        <x:f>'Raw Z'!N78</x:f>
        <x:v>0.5013659368577166</x:v>
      </x:c>
      <x:c r="I84" t="b">
        <x:f>'Raw Z'!O78</x:f>
        <x:v>0</x:v>
      </x:c>
      <x:c r="J84" s="100" t="str">
        <x:f>IF(I84,B84,"")</x:f>
      </x:c>
      <x:c r="K84" s="100" t="str">
        <x:f>IF(I84,E84,"")</x:f>
      </x:c>
      <x:c r="L84" s="100" t="str">
        <x:f>IF(I84,G84,"")</x:f>
      </x:c>
      <x:c r="M84" s="100" t="str">
        <x:f>IF(I84,F84^2,"")</x:f>
      </x:c>
      <x:c r="N84" s="100" t="str">
        <x:f>IF(I84,F84,"")</x:f>
      </x:c>
      <x:c r="P84" t="str">
        <x:f>J84</x:f>
      </x:c>
      <x:c r="Q84" t="str">
        <x:f>K84</x:f>
      </x:c>
    </x:row>
    <x:row r="85">
      <x:c r="A85" s="99" t="str">
        <x:f>'Raw Z'!B79</x:f>
        <x:v>00119</x:v>
      </x:c>
      <x:c r="B85" s="100" t="n">
        <x:f>INDEX('Raw Stations'!$D$2:$D$299,MATCH(A85,'Raw Stations'!$A$2:$A$299,0))</x:f>
        <x:v>0.00549873025298241</x:v>
      </x:c>
      <x:c r="C85" s="100" t="n">
        <x:f>'Raw Z'!L79</x:f>
        <x:v>0.04383201821272611</x:v>
      </x:c>
      <x:c r="D85" s="100" t="n">
        <x:f>$B$2</x:f>
        <x:v>-0.0009288398653362757</x:v>
      </x:c>
      <x:c r="E85" s="100" t="n">
        <x:f>C85-D85</x:f>
        <x:v>0.044760858078062384</x:v>
      </x:c>
      <x:c r="F85" s="100" t="n">
        <x:f>E85-B85</x:f>
        <x:v>0.03926212782507997</x:v>
      </x:c>
      <x:c r="G85" s="100" t="n">
        <x:f>ABS(F85)</x:f>
        <x:v>0.03926212782507997</x:v>
      </x:c>
      <x:c r="H85" s="100" t="n">
        <x:f>'Raw Z'!N79</x:f>
        <x:v>0.7013572825823253</x:v>
      </x:c>
      <x:c r="I85" t="b">
        <x:f>'Raw Z'!O79</x:f>
        <x:v>1</x:v>
      </x:c>
      <x:c r="J85" s="100" t="n">
        <x:f>IF(I85,B85,"")</x:f>
        <x:v>0.00549873025298241</x:v>
      </x:c>
      <x:c r="K85" s="100" t="n">
        <x:f>IF(I85,E85,"")</x:f>
        <x:v>0.044760858078062384</x:v>
      </x:c>
      <x:c r="L85" s="100" t="n">
        <x:f>IF(I85,G85,"")</x:f>
        <x:v>0.03926212782507997</x:v>
      </x:c>
      <x:c r="M85" s="100" t="n">
        <x:f>IF(I85,F85^2,"")</x:f>
        <x:v>0.0015415146813529189</x:v>
      </x:c>
      <x:c r="N85" s="100" t="n">
        <x:f>IF(I85,F85,"")</x:f>
        <x:v>0.03926212782507997</x:v>
      </x:c>
      <x:c r="P85" t="n">
        <x:f>J85</x:f>
        <x:v>0.00549873025298241</x:v>
      </x:c>
      <x:c r="Q85" t="n">
        <x:f>K85</x:f>
        <x:v>0.044760858078062384</x:v>
      </x:c>
    </x:row>
    <x:row r="86">
      <x:c r="A86" s="99" t="str">
        <x:f>'Raw Z'!B80</x:f>
        <x:v>00120</x:v>
      </x:c>
      <x:c r="B86" s="100" t="n">
        <x:f>INDEX('Raw Stations'!$D$2:$D$299,MATCH(A86,'Raw Stations'!$A$2:$A$299,0))</x:f>
        <x:v>0.009665517223232622</x:v>
      </x:c>
      <x:c r="C86" s="100" t="n">
        <x:f>'Raw Z'!L80</x:f>
        <x:v>-0.03385312864657744</x:v>
      </x:c>
      <x:c r="D86" s="100" t="n">
        <x:f>$B$2</x:f>
        <x:v>-0.0009288398653362757</x:v>
      </x:c>
      <x:c r="E86" s="100" t="n">
        <x:f>C86-D86</x:f>
        <x:v>-0.032924288781241165</x:v>
      </x:c>
      <x:c r="F86" s="100" t="n">
        <x:f>E86-B86</x:f>
        <x:v>-0.04258980600447379</x:v>
      </x:c>
      <x:c r="G86" s="100" t="n">
        <x:f>ABS(F86)</x:f>
        <x:v>0.04258980600447379</x:v>
      </x:c>
      <x:c r="H86" s="100" t="n">
        <x:f>'Raw Z'!N80</x:f>
        <x:v>0.7041084684803167</x:v>
      </x:c>
      <x:c r="I86" t="b">
        <x:f>'Raw Z'!O80</x:f>
        <x:v>1</x:v>
      </x:c>
      <x:c r="J86" s="100" t="n">
        <x:f>IF(I86,B86,"")</x:f>
        <x:v>0.009665517223232622</x:v>
      </x:c>
      <x:c r="K86" s="100" t="n">
        <x:f>IF(I86,E86,"")</x:f>
        <x:v>-0.032924288781241165</x:v>
      </x:c>
      <x:c r="L86" s="100" t="n">
        <x:f>IF(I86,G86,"")</x:f>
        <x:v>0.04258980600447379</x:v>
      </x:c>
      <x:c r="M86" s="100" t="n">
        <x:f>IF(I86,F86^2,"")</x:f>
        <x:v>0.0018138915754987118</x:v>
      </x:c>
      <x:c r="N86" s="100" t="n">
        <x:f>IF(I86,F86,"")</x:f>
        <x:v>-0.04258980600447379</x:v>
      </x:c>
      <x:c r="P86" t="n">
        <x:f>J86</x:f>
        <x:v>0.009665517223232622</x:v>
      </x:c>
      <x:c r="Q86" t="n">
        <x:f>K86</x:f>
        <x:v>-0.032924288781241165</x:v>
      </x:c>
    </x:row>
    <x:row r="87">
      <x:c r="A87" s="99" t="str">
        <x:f>'Raw Z'!B81</x:f>
        <x:v>00121</x:v>
      </x:c>
      <x:c r="B87" s="100" t="n">
        <x:f>INDEX('Raw Stations'!$D$2:$D$299,MATCH(A87,'Raw Stations'!$A$2:$A$299,0))</x:f>
        <x:v>0.0245258249930322</x:v>
      </x:c>
      <x:c r="C87" s="100" t="n">
        <x:f>'Raw Z'!L81</x:f>
        <x:v>-0.01780353555997344</x:v>
      </x:c>
      <x:c r="D87" s="100" t="n">
        <x:f>$B$2</x:f>
        <x:v>-0.0009288398653362757</x:v>
      </x:c>
      <x:c r="E87" s="100" t="n">
        <x:f>C87-D87</x:f>
        <x:v>-0.016874695694637166</x:v>
      </x:c>
      <x:c r="F87" s="100" t="n">
        <x:f>E87-B87</x:f>
        <x:v>-0.04140052068766936</x:v>
      </x:c>
      <x:c r="G87" s="100" t="n">
        <x:f>ABS(F87)</x:f>
        <x:v>0.04140052068766936</x:v>
      </x:c>
      <x:c r="H87" s="100" t="n">
        <x:f>'Raw Z'!N81</x:f>
        <x:v>0.7876503701614138</x:v>
      </x:c>
      <x:c r="I87" t="b">
        <x:f>'Raw Z'!O81</x:f>
        <x:v>1</x:v>
      </x:c>
      <x:c r="J87" s="100" t="n">
        <x:f>IF(I87,B87,"")</x:f>
        <x:v>0.0245258249930322</x:v>
      </x:c>
      <x:c r="K87" s="100" t="n">
        <x:f>IF(I87,E87,"")</x:f>
        <x:v>-0.016874695694637166</x:v>
      </x:c>
      <x:c r="L87" s="100" t="n">
        <x:f>IF(I87,G87,"")</x:f>
        <x:v>0.04140052068766936</x:v>
      </x:c>
      <x:c r="M87" s="100" t="n">
        <x:f>IF(I87,F87^2,"")</x:f>
        <x:v>0.001714003113210139</x:v>
      </x:c>
      <x:c r="N87" s="100" t="n">
        <x:f>IF(I87,F87,"")</x:f>
        <x:v>-0.04140052068766936</x:v>
      </x:c>
      <x:c r="P87" t="n">
        <x:f>J87</x:f>
        <x:v>0.0245258249930322</x:v>
      </x:c>
      <x:c r="Q87" t="n">
        <x:f>K87</x:f>
        <x:v>-0.016874695694637166</x:v>
      </x:c>
    </x:row>
    <x:row r="88">
      <x:c r="A88" s="99" t="str">
        <x:f>'Raw Z'!B82</x:f>
        <x:v>00122</x:v>
      </x:c>
      <x:c r="B88" s="100" t="n">
        <x:f>INDEX('Raw Stations'!$D$2:$D$299,MATCH(A88,'Raw Stations'!$A$2:$A$299,0))</x:f>
        <x:v>0.02265165976256095</x:v>
      </x:c>
      <x:c r="C88" s="100" t="n">
        <x:f>'Raw Z'!L82</x:f>
        <x:v>0.04414131123702347</x:v>
      </x:c>
      <x:c r="D88" s="100" t="n">
        <x:f>$B$2</x:f>
        <x:v>-0.0009288398653362757</x:v>
      </x:c>
      <x:c r="E88" s="100" t="n">
        <x:f>C88-D88</x:f>
        <x:v>0.04507015110235975</x:v>
      </x:c>
      <x:c r="F88" s="100" t="n">
        <x:f>E88-B88</x:f>
        <x:v>0.0224184913397988</x:v>
      </x:c>
      <x:c r="G88" s="100" t="n">
        <x:f>ABS(F88)</x:f>
        <x:v>0.0224184913397988</x:v>
      </x:c>
      <x:c r="H88" s="100" t="n">
        <x:f>'Raw Z'!N82</x:f>
        <x:v>0.8323044858748252</x:v>
      </x:c>
      <x:c r="I88" t="b">
        <x:f>'Raw Z'!O82</x:f>
        <x:v>1</x:v>
      </x:c>
      <x:c r="J88" s="100" t="n">
        <x:f>IF(I88,B88,"")</x:f>
        <x:v>0.02265165976256095</x:v>
      </x:c>
      <x:c r="K88" s="100" t="n">
        <x:f>IF(I88,E88,"")</x:f>
        <x:v>0.04507015110235975</x:v>
      </x:c>
      <x:c r="L88" s="100" t="n">
        <x:f>IF(I88,G88,"")</x:f>
        <x:v>0.0224184913397988</x:v>
      </x:c>
      <x:c r="M88" s="100" t="n">
        <x:f>IF(I88,F88^2,"")</x:f>
        <x:v>0.0005025887539526337</x:v>
      </x:c>
      <x:c r="N88" s="100" t="n">
        <x:f>IF(I88,F88,"")</x:f>
        <x:v>0.0224184913397988</x:v>
      </x:c>
      <x:c r="P88" t="n">
        <x:f>J88</x:f>
        <x:v>0.02265165976256095</x:v>
      </x:c>
      <x:c r="Q88" t="n">
        <x:f>K88</x:f>
        <x:v>0.04507015110235975</x:v>
      </x:c>
    </x:row>
    <x:row r="89">
      <x:c r="A89" s="99" t="str">
        <x:f>'Raw Z'!B83</x:f>
        <x:v>00123</x:v>
      </x:c>
      <x:c r="B89" s="100" t="n">
        <x:f>INDEX('Raw Stations'!$D$2:$D$299,MATCH(A89,'Raw Stations'!$A$2:$A$299,0))</x:f>
        <x:v>0.01763085976760898</x:v>
      </x:c>
      <x:c r="C89" s="100" t="n">
        <x:f>'Raw Z'!L83</x:f>
        <x:v>0.04045850068524803</x:v>
      </x:c>
      <x:c r="D89" s="100" t="n">
        <x:f>$B$2</x:f>
        <x:v>-0.0009288398653362757</x:v>
      </x:c>
      <x:c r="E89" s="100" t="n">
        <x:f>C89-D89</x:f>
        <x:v>0.04138734055058431</x:v>
      </x:c>
      <x:c r="F89" s="100" t="n">
        <x:f>E89-B89</x:f>
        <x:v>0.02375648078297533</x:v>
      </x:c>
      <x:c r="G89" s="100" t="n">
        <x:f>ABS(F89)</x:f>
        <x:v>0.02375648078297533</x:v>
      </x:c>
      <x:c r="H89" s="100" t="n">
        <x:f>'Raw Z'!N83</x:f>
        <x:v>0.9491576895212832</x:v>
      </x:c>
      <x:c r="I89" t="b">
        <x:f>'Raw Z'!O83</x:f>
        <x:v>1</x:v>
      </x:c>
      <x:c r="J89" s="100" t="n">
        <x:f>IF(I89,B89,"")</x:f>
        <x:v>0.01763085976760898</x:v>
      </x:c>
      <x:c r="K89" s="100" t="n">
        <x:f>IF(I89,E89,"")</x:f>
        <x:v>0.04138734055058431</x:v>
      </x:c>
      <x:c r="L89" s="100" t="n">
        <x:f>IF(I89,G89,"")</x:f>
        <x:v>0.02375648078297533</x:v>
      </x:c>
      <x:c r="M89" s="100" t="n">
        <x:f>IF(I89,F89^2,"")</x:f>
        <x:v>0.0005643703791918762</x:v>
      </x:c>
      <x:c r="N89" s="100" t="n">
        <x:f>IF(I89,F89,"")</x:f>
        <x:v>0.02375648078297533</x:v>
      </x:c>
      <x:c r="P89" t="n">
        <x:f>J89</x:f>
        <x:v>0.01763085976760898</x:v>
      </x:c>
      <x:c r="Q89" t="n">
        <x:f>K89</x:f>
        <x:v>0.04138734055058431</x:v>
      </x:c>
    </x:row>
    <x:row r="90">
      <x:c r="A90" s="99" t="str">
        <x:f>'Raw Z'!B84</x:f>
        <x:v>00124</x:v>
      </x:c>
      <x:c r="B90" s="100" t="n">
        <x:f>INDEX('Raw Stations'!$D$2:$D$299,MATCH(A90,'Raw Stations'!$A$2:$A$299,0))</x:f>
        <x:v>0.008342815360708862</x:v>
      </x:c>
      <x:c r="C90" s="100" t="n">
        <x:f>'Raw Z'!L84</x:f>
        <x:v>0.04251927945166044</x:v>
      </x:c>
      <x:c r="D90" s="100" t="n">
        <x:f>$B$2</x:f>
        <x:v>-0.0009288398653362757</x:v>
      </x:c>
      <x:c r="E90" s="100" t="n">
        <x:f>C90-D90</x:f>
        <x:v>0.043448119316996714</x:v>
      </x:c>
      <x:c r="F90" s="100" t="n">
        <x:f>E90-B90</x:f>
        <x:v>0.03510530395628785</x:v>
      </x:c>
      <x:c r="G90" s="100" t="n">
        <x:f>ABS(F90)</x:f>
        <x:v>0.03510530395628785</x:v>
      </x:c>
      <x:c r="H90" s="100" t="n">
        <x:f>'Raw Z'!N84</x:f>
        <x:v>0.9763289287262531</x:v>
      </x:c>
      <x:c r="I90" t="b">
        <x:f>'Raw Z'!O84</x:f>
        <x:v>1</x:v>
      </x:c>
      <x:c r="J90" s="100" t="n">
        <x:f>IF(I90,B90,"")</x:f>
        <x:v>0.008342815360708862</x:v>
      </x:c>
      <x:c r="K90" s="100" t="n">
        <x:f>IF(I90,E90,"")</x:f>
        <x:v>0.043448119316996714</x:v>
      </x:c>
      <x:c r="L90" s="100" t="n">
        <x:f>IF(I90,G90,"")</x:f>
        <x:v>0.03510530395628785</x:v>
      </x:c>
      <x:c r="M90" s="100" t="n">
        <x:f>IF(I90,F90^2,"")</x:f>
        <x:v>0.0012323823658633595</x:v>
      </x:c>
      <x:c r="N90" s="100" t="n">
        <x:f>IF(I90,F90,"")</x:f>
        <x:v>0.03510530395628785</x:v>
      </x:c>
      <x:c r="P90" t="n">
        <x:f>J90</x:f>
        <x:v>0.008342815360708862</x:v>
      </x:c>
      <x:c r="Q90" t="n">
        <x:f>K90</x:f>
        <x:v>0.043448119316996714</x:v>
      </x:c>
    </x:row>
    <x:row r="91">
      <x:c r="A91" s="99" t="str">
        <x:f>'Raw Z'!B85</x:f>
        <x:v>00125</x:v>
      </x:c>
      <x:c r="B91" s="100" t="n">
        <x:f>INDEX('Raw Stations'!$D$2:$D$299,MATCH(A91,'Raw Stations'!$A$2:$A$299,0))</x:f>
        <x:v>0.003545034627183582</x:v>
      </x:c>
      <x:c r="C91" s="100" t="n">
        <x:f>'Raw Z'!L85</x:f>
        <x:v>0.04825096466129605</x:v>
      </x:c>
      <x:c r="D91" s="100" t="n">
        <x:f>$B$2</x:f>
        <x:v>-0.0009288398653362757</x:v>
      </x:c>
      <x:c r="E91" s="100" t="n">
        <x:f>C91-D91</x:f>
        <x:v>0.04917980452663233</x:v>
      </x:c>
      <x:c r="F91" s="100" t="n">
        <x:f>E91-B91</x:f>
        <x:v>0.04563476989944874</x:v>
      </x:c>
      <x:c r="G91" s="100" t="n">
        <x:f>ABS(F91)</x:f>
        <x:v>0.04563476989944874</x:v>
      </x:c>
      <x:c r="H91" s="100" t="n">
        <x:f>'Raw Z'!N85</x:f>
        <x:v>0.8148799807588222</x:v>
      </x:c>
      <x:c r="I91" t="b">
        <x:f>'Raw Z'!O85</x:f>
        <x:v>1</x:v>
      </x:c>
      <x:c r="J91" s="100" t="n">
        <x:f>IF(I91,B91,"")</x:f>
        <x:v>0.003545034627183582</x:v>
      </x:c>
      <x:c r="K91" s="100" t="n">
        <x:f>IF(I91,E91,"")</x:f>
        <x:v>0.04917980452663233</x:v>
      </x:c>
      <x:c r="L91" s="100" t="n">
        <x:f>IF(I91,G91,"")</x:f>
        <x:v>0.04563476989944874</x:v>
      </x:c>
      <x:c r="M91" s="100" t="n">
        <x:f>IF(I91,F91^2,"")</x:f>
        <x:v>0.0020825322237756332</x:v>
      </x:c>
      <x:c r="N91" s="100" t="n">
        <x:f>IF(I91,F91,"")</x:f>
        <x:v>0.04563476989944874</x:v>
      </x:c>
      <x:c r="P91" t="n">
        <x:f>J91</x:f>
        <x:v>0.003545034627183582</x:v>
      </x:c>
      <x:c r="Q91" t="n">
        <x:f>K91</x:f>
        <x:v>0.04917980452663233</x:v>
      </x:c>
    </x:row>
    <x:row r="92">
      <x:c r="A92" s="99" t="str">
        <x:f>'Raw Z'!B86</x:f>
        <x:v>00126</x:v>
      </x:c>
      <x:c r="B92" s="100" t="n">
        <x:f>INDEX('Raw Stations'!$D$2:$D$299,MATCH(A92,'Raw Stations'!$A$2:$A$299,0))</x:f>
        <x:v>-0.01191670881522732</x:v>
      </x:c>
      <x:c r="C92" s="100" t="n">
        <x:f>'Raw Z'!L86</x:f>
        <x:v>0.007100511155324271</x:v>
      </x:c>
      <x:c r="D92" s="100" t="n">
        <x:f>$B$2</x:f>
        <x:v>-0.0009288398653362757</x:v>
      </x:c>
      <x:c r="E92" s="100" t="n">
        <x:f>C92-D92</x:f>
        <x:v>0.008029351020660547</x:v>
      </x:c>
      <x:c r="F92" s="100" t="n">
        <x:f>E92-B92</x:f>
        <x:v>0.019946059835887868</x:v>
      </x:c>
      <x:c r="G92" s="100" t="n">
        <x:f>ABS(F92)</x:f>
        <x:v>0.019946059835887868</x:v>
      </x:c>
      <x:c r="H92" s="100" t="n">
        <x:f>'Raw Z'!N86</x:f>
        <x:v>0.98982279623481</x:v>
      </x:c>
      <x:c r="I92" t="b">
        <x:f>'Raw Z'!O86</x:f>
        <x:v>1</x:v>
      </x:c>
      <x:c r="J92" s="100" t="n">
        <x:f>IF(I92,B92,"")</x:f>
        <x:v>-0.01191670881522732</x:v>
      </x:c>
      <x:c r="K92" s="100" t="n">
        <x:f>IF(I92,E92,"")</x:f>
        <x:v>0.008029351020660547</x:v>
      </x:c>
      <x:c r="L92" s="100" t="n">
        <x:f>IF(I92,G92,"")</x:f>
        <x:v>0.019946059835887868</x:v>
      </x:c>
      <x:c r="M92" s="100" t="n">
        <x:f>IF(I92,F92^2,"")</x:f>
        <x:v>0.00039784530297681917</x:v>
      </x:c>
      <x:c r="N92" s="100" t="n">
        <x:f>IF(I92,F92,"")</x:f>
        <x:v>0.019946059835887868</x:v>
      </x:c>
      <x:c r="P92" t="n">
        <x:f>J92</x:f>
        <x:v>-0.01191670881522732</x:v>
      </x:c>
      <x:c r="Q92" t="n">
        <x:f>K92</x:f>
        <x:v>0.008029351020660547</x:v>
      </x:c>
    </x:row>
    <x:row r="93">
      <x:c r="A93" s="99" t="str">
        <x:f>'Raw Z'!B87</x:f>
        <x:v>00127</x:v>
      </x:c>
      <x:c r="B93" s="100" t="n">
        <x:f>INDEX('Raw Stations'!$D$2:$D$299,MATCH(A93,'Raw Stations'!$A$2:$A$299,0))</x:f>
        <x:v>-0.005123859288306817</x:v>
      </x:c>
      <x:c r="C93" s="100" t="n">
        <x:f>'Raw Z'!L87</x:f>
        <x:v>-0.004589385886697772</x:v>
      </x:c>
      <x:c r="D93" s="100" t="n">
        <x:f>$B$2</x:f>
        <x:v>-0.0009288398653362757</x:v>
      </x:c>
      <x:c r="E93" s="100" t="n">
        <x:f>C93-D93</x:f>
        <x:v>-0.0036605460213614965</x:v>
      </x:c>
      <x:c r="F93" s="100" t="n">
        <x:f>E93-B93</x:f>
        <x:v>0.0014633132669453208</x:v>
      </x:c>
      <x:c r="G93" s="100" t="n">
        <x:f>ABS(F93)</x:f>
        <x:v>0.0014633132669453208</x:v>
      </x:c>
      <x:c r="H93" s="100" t="n">
        <x:f>'Raw Z'!N87</x:f>
        <x:v>0.9141963594846436</x:v>
      </x:c>
      <x:c r="I93" t="b">
        <x:f>'Raw Z'!O87</x:f>
        <x:v>1</x:v>
      </x:c>
      <x:c r="J93" s="100" t="n">
        <x:f>IF(I93,B93,"")</x:f>
        <x:v>-0.005123859288306817</x:v>
      </x:c>
      <x:c r="K93" s="100" t="n">
        <x:f>IF(I93,E93,"")</x:f>
        <x:v>-0.0036605460213614965</x:v>
      </x:c>
      <x:c r="L93" s="100" t="n">
        <x:f>IF(I93,G93,"")</x:f>
        <x:v>0.0014633132669453208</x:v>
      </x:c>
      <x:c r="M93" s="100" t="n">
        <x:f>IF(I93,F93^2,"")</x:f>
        <x:v>0.000002141285717218188</x:v>
      </x:c>
      <x:c r="N93" s="100" t="n">
        <x:f>IF(I93,F93,"")</x:f>
        <x:v>0.0014633132669453208</x:v>
      </x:c>
      <x:c r="P93" t="n">
        <x:f>J93</x:f>
        <x:v>-0.005123859288306817</x:v>
      </x:c>
      <x:c r="Q93" t="n">
        <x:f>K93</x:f>
        <x:v>-0.0036605460213614965</x:v>
      </x:c>
    </x:row>
    <x:row r="94">
      <x:c r="A94" s="99" t="str">
        <x:f>'Raw Z'!B88</x:f>
        <x:v>00128</x:v>
      </x:c>
      <x:c r="B94" s="100" t="n">
        <x:f>INDEX('Raw Stations'!$D$2:$D$299,MATCH(A94,'Raw Stations'!$A$2:$A$299,0))</x:f>
        <x:v>-0.003454528970802853</x:v>
      </x:c>
      <x:c r="C94" s="100" t="n">
        <x:f>'Raw Z'!L88</x:f>
        <x:v>-0.005035614886328768</x:v>
      </x:c>
      <x:c r="D94" s="100" t="n">
        <x:f>$B$2</x:f>
        <x:v>-0.0009288398653362757</x:v>
      </x:c>
      <x:c r="E94" s="100" t="n">
        <x:f>C94-D94</x:f>
        <x:v>-0.0041067750209924925</x:v>
      </x:c>
      <x:c r="F94" s="100" t="n">
        <x:f>E94-B94</x:f>
        <x:v>-0.0006522460501896393</x:v>
      </x:c>
      <x:c r="G94" s="100" t="n">
        <x:f>ABS(F94)</x:f>
        <x:v>0.0006522460501896393</x:v>
      </x:c>
      <x:c r="H94" s="100" t="n">
        <x:f>'Raw Z'!N88</x:f>
        <x:v>0.9477621523164861</x:v>
      </x:c>
      <x:c r="I94" t="b">
        <x:f>'Raw Z'!O88</x:f>
        <x:v>1</x:v>
      </x:c>
      <x:c r="J94" s="100" t="n">
        <x:f>IF(I94,B94,"")</x:f>
        <x:v>-0.003454528970802853</x:v>
      </x:c>
      <x:c r="K94" s="100" t="n">
        <x:f>IF(I94,E94,"")</x:f>
        <x:v>-0.0041067750209924925</x:v>
      </x:c>
      <x:c r="L94" s="100" t="n">
        <x:f>IF(I94,G94,"")</x:f>
        <x:v>0.0006522460501896393</x:v>
      </x:c>
      <x:c r="M94" s="100" t="n">
        <x:f>IF(I94,F94^2,"")</x:f>
        <x:v>4.254249099879855e-7</x:v>
      </x:c>
      <x:c r="N94" s="100" t="n">
        <x:f>IF(I94,F94,"")</x:f>
        <x:v>-0.0006522460501896393</x:v>
      </x:c>
      <x:c r="P94" t="n">
        <x:f>J94</x:f>
        <x:v>-0.003454528970802853</x:v>
      </x:c>
      <x:c r="Q94" t="n">
        <x:f>K94</x:f>
        <x:v>-0.0041067750209924925</x:v>
      </x:c>
    </x:row>
    <x:row r="95">
      <x:c r="A95" s="99" t="str">
        <x:f>'Raw Z'!B89</x:f>
        <x:v>00129</x:v>
      </x:c>
      <x:c r="B95" s="100" t="n">
        <x:f>INDEX('Raw Stations'!$D$2:$D$299,MATCH(A95,'Raw Stations'!$A$2:$A$299,0))</x:f>
        <x:v>-0.0090830722292536</x:v>
      </x:c>
      <x:c r="C95" s="100" t="n">
        <x:f>'Raw Z'!L89</x:f>
        <x:v>-0.009541615872593737</x:v>
      </x:c>
      <x:c r="D95" s="100" t="n">
        <x:f>$B$2</x:f>
        <x:v>-0.0009288398653362757</x:v>
      </x:c>
      <x:c r="E95" s="100" t="n">
        <x:f>C95-D95</x:f>
        <x:v>-0.008612776007257461</x:v>
      </x:c>
      <x:c r="F95" s="100" t="n">
        <x:f>E95-B95</x:f>
        <x:v>0.00047029622199613874</x:v>
      </x:c>
      <x:c r="G95" s="100" t="n">
        <x:f>ABS(F95)</x:f>
        <x:v>0.00047029622199613874</x:v>
      </x:c>
      <x:c r="H95" s="100" t="n">
        <x:f>'Raw Z'!N89</x:f>
        <x:v>0.9071134953466773</x:v>
      </x:c>
      <x:c r="I95" t="b">
        <x:f>'Raw Z'!O89</x:f>
        <x:v>1</x:v>
      </x:c>
      <x:c r="J95" s="100" t="n">
        <x:f>IF(I95,B95,"")</x:f>
        <x:v>-0.0090830722292536</x:v>
      </x:c>
      <x:c r="K95" s="100" t="n">
        <x:f>IF(I95,E95,"")</x:f>
        <x:v>-0.008612776007257461</x:v>
      </x:c>
      <x:c r="L95" s="100" t="n">
        <x:f>IF(I95,G95,"")</x:f>
        <x:v>0.00047029622199613874</x:v>
      </x:c>
      <x:c r="M95" s="100" t="n">
        <x:f>IF(I95,F95^2,"")</x:f>
        <x:v>2.2117853642384143e-7</x:v>
      </x:c>
      <x:c r="N95" s="100" t="n">
        <x:f>IF(I95,F95,"")</x:f>
        <x:v>0.00047029622199613874</x:v>
      </x:c>
      <x:c r="P95" t="n">
        <x:f>J95</x:f>
        <x:v>-0.0090830722292536</x:v>
      </x:c>
      <x:c r="Q95" t="n">
        <x:f>K95</x:f>
        <x:v>-0.008612776007257461</x:v>
      </x:c>
    </x:row>
    <x:row r="96">
      <x:c r="A96" s="99" t="str">
        <x:f>'Raw Z'!B90</x:f>
        <x:v>00130</x:v>
      </x:c>
      <x:c r="B96" s="100" t="n">
        <x:f>INDEX('Raw Stations'!$D$2:$D$299,MATCH(A96,'Raw Stations'!$A$2:$A$299,0))</x:f>
        <x:v>0.001677001059362093</x:v>
      </x:c>
      <x:c r="C96" s="100" t="n">
        <x:f>'Raw Z'!L90</x:f>
        <x:v>-0.01283334746617538</x:v>
      </x:c>
      <x:c r="D96" s="100" t="n">
        <x:f>$B$2</x:f>
        <x:v>-0.0009288398653362757</x:v>
      </x:c>
      <x:c r="E96" s="100" t="n">
        <x:f>C96-D96</x:f>
        <x:v>-0.011904507600839104</x:v>
      </x:c>
      <x:c r="F96" s="100" t="n">
        <x:f>E96-B96</x:f>
        <x:v>-0.013581508660201197</x:v>
      </x:c>
      <x:c r="G96" s="100" t="n">
        <x:f>ABS(F96)</x:f>
        <x:v>0.013581508660201197</x:v>
      </x:c>
      <x:c r="H96" s="100" t="n">
        <x:f>'Raw Z'!N90</x:f>
        <x:v>0.9353868837696785</x:v>
      </x:c>
      <x:c r="I96" t="b">
        <x:f>'Raw Z'!O90</x:f>
        <x:v>1</x:v>
      </x:c>
      <x:c r="J96" s="100" t="n">
        <x:f>IF(I96,B96,"")</x:f>
        <x:v>0.001677001059362093</x:v>
      </x:c>
      <x:c r="K96" s="100" t="n">
        <x:f>IF(I96,E96,"")</x:f>
        <x:v>-0.011904507600839104</x:v>
      </x:c>
      <x:c r="L96" s="100" t="n">
        <x:f>IF(I96,G96,"")</x:f>
        <x:v>0.013581508660201197</x:v>
      </x:c>
      <x:c r="M96" s="100" t="n">
        <x:f>IF(I96,F96^2,"")</x:f>
        <x:v>0.0001844573774871201</x:v>
      </x:c>
      <x:c r="N96" s="100" t="n">
        <x:f>IF(I96,F96,"")</x:f>
        <x:v>-0.013581508660201197</x:v>
      </x:c>
      <x:c r="P96" t="n">
        <x:f>J96</x:f>
        <x:v>0.001677001059362093</x:v>
      </x:c>
      <x:c r="Q96" t="n">
        <x:f>K96</x:f>
        <x:v>-0.011904507600839104</x:v>
      </x:c>
    </x:row>
    <x:row r="97">
      <x:c r="A97" s="99" t="str">
        <x:f>'Raw Z'!B91</x:f>
        <x:v>00131</x:v>
      </x:c>
      <x:c r="B97" s="100" t="n">
        <x:f>INDEX('Raw Stations'!$D$2:$D$299,MATCH(A97,'Raw Stations'!$A$2:$A$299,0))</x:f>
        <x:v>-0.01277863472198023</x:v>
      </x:c>
      <x:c r="C97" s="100" t="n">
        <x:f>'Raw Z'!L91</x:f>
        <x:v>-0.008724077122383461</x:v>
      </x:c>
      <x:c r="D97" s="100" t="n">
        <x:f>$B$2</x:f>
        <x:v>-0.0009288398653362757</x:v>
      </x:c>
      <x:c r="E97" s="100" t="n">
        <x:f>C97-D97</x:f>
        <x:v>-0.007795237257047186</x:v>
      </x:c>
      <x:c r="F97" s="100" t="n">
        <x:f>E97-B97</x:f>
        <x:v>0.004983397464933044</x:v>
      </x:c>
      <x:c r="G97" s="100" t="n">
        <x:f>ABS(F97)</x:f>
        <x:v>0.004983397464933044</x:v>
      </x:c>
      <x:c r="H97" s="100" t="n">
        <x:f>'Raw Z'!N91</x:f>
        <x:v>0.9842347461026802</x:v>
      </x:c>
      <x:c r="I97" t="b">
        <x:f>'Raw Z'!O91</x:f>
        <x:v>1</x:v>
      </x:c>
      <x:c r="J97" s="100" t="n">
        <x:f>IF(I97,B97,"")</x:f>
        <x:v>-0.01277863472198023</x:v>
      </x:c>
      <x:c r="K97" s="100" t="n">
        <x:f>IF(I97,E97,"")</x:f>
        <x:v>-0.007795237257047186</x:v>
      </x:c>
      <x:c r="L97" s="100" t="n">
        <x:f>IF(I97,G97,"")</x:f>
        <x:v>0.004983397464933044</x:v>
      </x:c>
      <x:c r="M97" s="100" t="n">
        <x:f>IF(I97,F97^2,"")</x:f>
        <x:v>0.00002483425029350109</x:v>
      </x:c>
      <x:c r="N97" s="100" t="n">
        <x:f>IF(I97,F97,"")</x:f>
        <x:v>0.004983397464933044</x:v>
      </x:c>
      <x:c r="P97" t="n">
        <x:f>J97</x:f>
        <x:v>-0.01277863472198023</x:v>
      </x:c>
      <x:c r="Q97" t="n">
        <x:f>K97</x:f>
        <x:v>-0.007795237257047186</x:v>
      </x:c>
    </x:row>
    <x:row r="98">
      <x:c r="A98" s="99" t="str">
        <x:f>'Raw Z'!B92</x:f>
        <x:v>00132</x:v>
      </x:c>
      <x:c r="B98" s="100" t="n">
        <x:f>INDEX('Raw Stations'!$D$2:$D$299,MATCH(A98,'Raw Stations'!$A$2:$A$299,0))</x:f>
        <x:v>0.00000237585917226002</x:v>
      </x:c>
      <x:c r="C98" s="100" t="n">
        <x:f>'Raw Z'!L92</x:f>
        <x:v>0.0101621271987869</x:v>
      </x:c>
      <x:c r="D98" s="100" t="n">
        <x:f>$B$2</x:f>
        <x:v>-0.0009288398653362757</x:v>
      </x:c>
      <x:c r="E98" s="100" t="n">
        <x:f>C98-D98</x:f>
        <x:v>0.011090967064123176</x:v>
      </x:c>
      <x:c r="F98" s="100" t="n">
        <x:f>E98-B98</x:f>
        <x:v>0.011088591204950916</x:v>
      </x:c>
      <x:c r="G98" s="100" t="n">
        <x:f>ABS(F98)</x:f>
        <x:v>0.011088591204950916</x:v>
      </x:c>
      <x:c r="H98" s="100" t="n">
        <x:f>'Raw Z'!N92</x:f>
        <x:v>0.7504743514041647</x:v>
      </x:c>
      <x:c r="I98" t="b">
        <x:f>'Raw Z'!O92</x:f>
        <x:v>1</x:v>
      </x:c>
      <x:c r="J98" s="100" t="n">
        <x:f>IF(I98,B98,"")</x:f>
        <x:v>0.00000237585917226002</x:v>
      </x:c>
      <x:c r="K98" s="100" t="n">
        <x:f>IF(I98,E98,"")</x:f>
        <x:v>0.011090967064123176</x:v>
      </x:c>
      <x:c r="L98" s="100" t="n">
        <x:f>IF(I98,G98,"")</x:f>
        <x:v>0.011088591204950916</x:v>
      </x:c>
      <x:c r="M98" s="100" t="n">
        <x:f>IF(I98,F98^2,"")</x:f>
        <x:v>0.0001229568549105148</x:v>
      </x:c>
      <x:c r="N98" s="100" t="n">
        <x:f>IF(I98,F98,"")</x:f>
        <x:v>0.011088591204950916</x:v>
      </x:c>
      <x:c r="P98" t="n">
        <x:f>J98</x:f>
        <x:v>0.00000237585917226002</x:v>
      </x:c>
      <x:c r="Q98" t="n">
        <x:f>K98</x:f>
        <x:v>0.011090967064123176</x:v>
      </x:c>
    </x:row>
    <x:row r="99">
      <x:c r="A99" s="99" t="str">
        <x:f>'Raw Z'!B93</x:f>
        <x:v>00133</x:v>
      </x:c>
      <x:c r="B99" s="100" t="n">
        <x:f>INDEX('Raw Stations'!$D$2:$D$299,MATCH(A99,'Raw Stations'!$A$2:$A$299,0))</x:f>
        <x:v>0.003180636074596069</x:v>
      </x:c>
      <x:c r="C99" s="100" t="n">
        <x:f>'Raw Z'!L93</x:f>
        <x:v>-0.004764806325807169</x:v>
      </x:c>
      <x:c r="D99" s="100" t="n">
        <x:f>$B$2</x:f>
        <x:v>-0.0009288398653362757</x:v>
      </x:c>
      <x:c r="E99" s="100" t="n">
        <x:f>C99-D99</x:f>
        <x:v>-0.0038359664604708937</x:v>
      </x:c>
      <x:c r="F99" s="100" t="n">
        <x:f>E99-B99</x:f>
        <x:v>-0.007016602535066963</x:v>
      </x:c>
      <x:c r="G99" s="100" t="n">
        <x:f>ABS(F99)</x:f>
        <x:v>0.007016602535066963</x:v>
      </x:c>
      <x:c r="H99" s="100" t="n">
        <x:f>'Raw Z'!N93</x:f>
        <x:v>0.9689782660846952</x:v>
      </x:c>
      <x:c r="I99" t="b">
        <x:f>'Raw Z'!O93</x:f>
        <x:v>1</x:v>
      </x:c>
      <x:c r="J99" s="100" t="n">
        <x:f>IF(I99,B99,"")</x:f>
        <x:v>0.003180636074596069</x:v>
      </x:c>
      <x:c r="K99" s="100" t="n">
        <x:f>IF(I99,E99,"")</x:f>
        <x:v>-0.0038359664604708937</x:v>
      </x:c>
      <x:c r="L99" s="100" t="n">
        <x:f>IF(I99,G99,"")</x:f>
        <x:v>0.007016602535066963</x:v>
      </x:c>
      <x:c r="M99" s="100" t="n">
        <x:f>IF(I99,F99^2,"")</x:f>
        <x:v>0.000049232711135108135</x:v>
      </x:c>
      <x:c r="N99" s="100" t="n">
        <x:f>IF(I99,F99,"")</x:f>
        <x:v>-0.007016602535066963</x:v>
      </x:c>
      <x:c r="P99" t="n">
        <x:f>J99</x:f>
        <x:v>0.003180636074596069</x:v>
      </x:c>
      <x:c r="Q99" t="n">
        <x:f>K99</x:f>
        <x:v>-0.0038359664604708937</x:v>
      </x:c>
    </x:row>
    <x:row r="100">
      <x:c r="A100" s="99" t="str">
        <x:f>'Raw Z'!B94</x:f>
        <x:v>00134</x:v>
      </x:c>
      <x:c r="B100" s="100" t="n">
        <x:f>INDEX('Raw Stations'!$D$2:$D$299,MATCH(A100,'Raw Stations'!$A$2:$A$299,0))</x:f>
        <x:v>0.00977127780644159</x:v>
      </x:c>
      <x:c r="C100" s="100" t="n">
        <x:f>'Raw Z'!L94</x:f>
        <x:v>-0.002687265836898545</x:v>
      </x:c>
      <x:c r="D100" s="100" t="n">
        <x:f>$B$2</x:f>
        <x:v>-0.0009288398653362757</x:v>
      </x:c>
      <x:c r="E100" s="100" t="n">
        <x:f>C100-D100</x:f>
        <x:v>-0.0017584259715622695</x:v>
      </x:c>
      <x:c r="F100" s="100" t="n">
        <x:f>E100-B100</x:f>
        <x:v>-0.01152970377800386</x:v>
      </x:c>
      <x:c r="G100" s="100" t="n">
        <x:f>ABS(F100)</x:f>
        <x:v>0.01152970377800386</x:v>
      </x:c>
      <x:c r="H100" s="100" t="n">
        <x:f>'Raw Z'!N94</x:f>
        <x:v>0.8430355066896406</x:v>
      </x:c>
      <x:c r="I100" t="b">
        <x:f>'Raw Z'!O94</x:f>
        <x:v>1</x:v>
      </x:c>
      <x:c r="J100" s="100" t="n">
        <x:f>IF(I100,B100,"")</x:f>
        <x:v>0.00977127780644159</x:v>
      </x:c>
      <x:c r="K100" s="100" t="n">
        <x:f>IF(I100,E100,"")</x:f>
        <x:v>-0.0017584259715622695</x:v>
      </x:c>
      <x:c r="L100" s="100" t="n">
        <x:f>IF(I100,G100,"")</x:f>
        <x:v>0.01152970377800386</x:v>
      </x:c>
      <x:c r="M100" s="100" t="n">
        <x:f>IF(I100,F100^2,"")</x:f>
        <x:v>0.00013293406920851647</x:v>
      </x:c>
      <x:c r="N100" s="100" t="n">
        <x:f>IF(I100,F100,"")</x:f>
        <x:v>-0.01152970377800386</x:v>
      </x:c>
      <x:c r="P100" t="n">
        <x:f>J100</x:f>
        <x:v>0.00977127780644159</x:v>
      </x:c>
      <x:c r="Q100" t="n">
        <x:f>K100</x:f>
        <x:v>-0.0017584259715622695</x:v>
      </x:c>
    </x:row>
    <x:row r="101">
      <x:c r="A101" s="99" t="str">
        <x:f>'Raw Z'!B95</x:f>
        <x:v>00135</x:v>
      </x:c>
      <x:c r="B101" s="100" t="n">
        <x:f>INDEX('Raw Stations'!$D$2:$D$299,MATCH(A101,'Raw Stations'!$A$2:$A$299,0))</x:f>
        <x:v>0.01389111542165143</x:v>
      </x:c>
      <x:c r="C101" s="100" t="n">
        <x:f>'Raw Z'!L95</x:f>
        <x:v>-0.03405432697875181</x:v>
      </x:c>
      <x:c r="D101" s="100" t="n">
        <x:f>$B$2</x:f>
        <x:v>-0.0009288398653362757</x:v>
      </x:c>
      <x:c r="E101" s="100" t="n">
        <x:f>C101-D101</x:f>
        <x:v>-0.033125487113415536</x:v>
      </x:c>
      <x:c r="F101" s="100" t="n">
        <x:f>E101-B101</x:f>
        <x:v>-0.04701660253506697</x:v>
      </x:c>
      <x:c r="G101" s="100" t="n">
        <x:f>ABS(F101)</x:f>
        <x:v>0.04701660253506697</x:v>
      </x:c>
      <x:c r="H101" s="100" t="n">
        <x:f>'Raw Z'!N95</x:f>
        <x:v>0.7185841128528264</x:v>
      </x:c>
      <x:c r="I101" t="b">
        <x:f>'Raw Z'!O95</x:f>
        <x:v>1</x:v>
      </x:c>
      <x:c r="J101" s="100" t="n">
        <x:f>IF(I101,B101,"")</x:f>
        <x:v>0.01389111542165143</x:v>
      </x:c>
      <x:c r="K101" s="100" t="n">
        <x:f>IF(I101,E101,"")</x:f>
        <x:v>-0.033125487113415536</x:v>
      </x:c>
      <x:c r="L101" s="100" t="n">
        <x:f>IF(I101,G101,"")</x:f>
        <x:v>0.04701660253506697</x:v>
      </x:c>
      <x:c r="M101" s="100" t="n">
        <x:f>IF(I101,F101^2,"")</x:f>
        <x:v>0.0022105609139404657</x:v>
      </x:c>
      <x:c r="N101" s="100" t="n">
        <x:f>IF(I101,F101,"")</x:f>
        <x:v>-0.04701660253506697</x:v>
      </x:c>
      <x:c r="P101" t="n">
        <x:f>J101</x:f>
        <x:v>0.01389111542165143</x:v>
      </x:c>
      <x:c r="Q101" t="n">
        <x:f>K101</x:f>
        <x:v>-0.033125487113415536</x:v>
      </x:c>
    </x:row>
    <x:row r="102">
      <x:c r="A102" s="99" t="str">
        <x:f>'Raw Z'!B96</x:f>
        <x:v>00136</x:v>
      </x:c>
      <x:c r="B102" s="100" t="n">
        <x:f>INDEX('Raw Stations'!$D$2:$D$299,MATCH(A102,'Raw Stations'!$A$2:$A$299,0))</x:f>
        <x:v>0.00946584466341623</x:v>
      </x:c>
      <x:c r="C102" s="100" t="n">
        <x:f>'Raw Z'!L96</x:f>
        <x:v>0.04671444818476455</x:v>
      </x:c>
      <x:c r="D102" s="100" t="n">
        <x:f>$B$2</x:f>
        <x:v>-0.0009288398653362757</x:v>
      </x:c>
      <x:c r="E102" s="100" t="n">
        <x:f>C102-D102</x:f>
        <x:v>0.047643288050100825</x:v>
      </x:c>
      <x:c r="F102" s="100" t="n">
        <x:f>E102-B102</x:f>
        <x:v>0.03817744338668459</x:v>
      </x:c>
      <x:c r="G102" s="100" t="n">
        <x:f>ABS(F102)</x:f>
        <x:v>0.03817744338668459</x:v>
      </x:c>
      <x:c r="H102" s="100" t="n">
        <x:f>'Raw Z'!N96</x:f>
        <x:v>0.6454640587718801</x:v>
      </x:c>
      <x:c r="I102" t="b">
        <x:f>'Raw Z'!O96</x:f>
        <x:v>1</x:v>
      </x:c>
      <x:c r="J102" s="100" t="n">
        <x:f>IF(I102,B102,"")</x:f>
        <x:v>0.00946584466341623</x:v>
      </x:c>
      <x:c r="K102" s="100" t="n">
        <x:f>IF(I102,E102,"")</x:f>
        <x:v>0.047643288050100825</x:v>
      </x:c>
      <x:c r="L102" s="100" t="n">
        <x:f>IF(I102,G102,"")</x:f>
        <x:v>0.03817744338668459</x:v>
      </x:c>
      <x:c r="M102" s="100" t="n">
        <x:f>IF(I102,F102^2,"")</x:f>
        <x:v>0.0014575171835435072</x:v>
      </x:c>
      <x:c r="N102" s="100" t="n">
        <x:f>IF(I102,F102,"")</x:f>
        <x:v>0.03817744338668459</x:v>
      </x:c>
      <x:c r="P102" t="n">
        <x:f>J102</x:f>
        <x:v>0.00946584466341623</x:v>
      </x:c>
      <x:c r="Q102" t="n">
        <x:f>K102</x:f>
        <x:v>0.047643288050100825</x:v>
      </x:c>
    </x:row>
    <x:row r="103">
      <x:c r="A103" s="99" t="str">
        <x:f>'Raw Z'!B97</x:f>
        <x:v>00137</x:v>
      </x:c>
      <x:c r="B103" s="100" t="n">
        <x:f>INDEX('Raw Stations'!$D$2:$D$299,MATCH(A103,'Raw Stations'!$A$2:$A$299,0))</x:f>
        <x:v>0.02676921859416015</x:v>
      </x:c>
      <x:c r="C103" s="100" t="n">
        <x:f>'Raw Z'!L97</x:f>
        <x:v>-0.009994161778630294</x:v>
      </x:c>
      <x:c r="D103" s="100" t="n">
        <x:f>$B$2</x:f>
        <x:v>-0.0009288398653362757</x:v>
      </x:c>
      <x:c r="E103" s="100" t="n">
        <x:f>C103-D103</x:f>
        <x:v>-0.009065321913294018</x:v>
      </x:c>
      <x:c r="F103" s="100" t="n">
        <x:f>E103-B103</x:f>
        <x:v>-0.03583454050745417</x:v>
      </x:c>
      <x:c r="G103" s="100" t="n">
        <x:f>ABS(F103)</x:f>
        <x:v>0.03583454050745417</x:v>
      </x:c>
      <x:c r="H103" s="100" t="n">
        <x:f>'Raw Z'!N97</x:f>
        <x:v>0.955499867259321</x:v>
      </x:c>
      <x:c r="I103" t="b">
        <x:f>'Raw Z'!O97</x:f>
        <x:v>1</x:v>
      </x:c>
      <x:c r="J103" s="100" t="n">
        <x:f>IF(I103,B103,"")</x:f>
        <x:v>0.02676921859416015</x:v>
      </x:c>
      <x:c r="K103" s="100" t="n">
        <x:f>IF(I103,E103,"")</x:f>
        <x:v>-0.009065321913294018</x:v>
      </x:c>
      <x:c r="L103" s="100" t="n">
        <x:f>IF(I103,G103,"")</x:f>
        <x:v>0.03583454050745417</x:v>
      </x:c>
      <x:c r="M103" s="100" t="n">
        <x:f>IF(I103,F103^2,"")</x:f>
        <x:v>0.0012841142933803736</x:v>
      </x:c>
      <x:c r="N103" s="100" t="n">
        <x:f>IF(I103,F103,"")</x:f>
        <x:v>-0.03583454050745417</x:v>
      </x:c>
      <x:c r="P103" t="n">
        <x:f>J103</x:f>
        <x:v>0.02676921859416015</x:v>
      </x:c>
      <x:c r="Q103" t="n">
        <x:f>K103</x:f>
        <x:v>-0.009065321913294018</x:v>
      </x:c>
    </x:row>
    <x:row r="104">
      <x:c r="A104" s="99" t="str">
        <x:f>'Raw Z'!B98</x:f>
        <x:v>00138</x:v>
      </x:c>
      <x:c r="B104" s="100" t="n">
        <x:f>INDEX('Raw Stations'!$D$2:$D$299,MATCH(A104,'Raw Stations'!$A$2:$A$299,0))</x:f>
        <x:v>0.01176849858523049</x:v>
      </x:c>
      <x:c r="C104" s="100" t="n">
        <x:f>'Raw Z'!L98</x:f>
        <x:v>0.04901710210657881</x:v>
      </x:c>
      <x:c r="D104" s="100" t="n">
        <x:f>$B$2</x:f>
        <x:v>-0.0009288398653362757</x:v>
      </x:c>
      <x:c r="E104" s="100" t="n">
        <x:f>C104-D104</x:f>
        <x:v>0.049945941971915084</x:v>
      </x:c>
      <x:c r="F104" s="100" t="n">
        <x:f>E104-B104</x:f>
        <x:v>0.03817744338668459</x:v>
      </x:c>
      <x:c r="G104" s="100" t="n">
        <x:f>ABS(F104)</x:f>
        <x:v>0.03817744338668459</x:v>
      </x:c>
      <x:c r="H104" s="100" t="n">
        <x:f>'Raw Z'!N98</x:f>
        <x:v>0.8223361997731389</x:v>
      </x:c>
      <x:c r="I104" t="b">
        <x:f>'Raw Z'!O98</x:f>
        <x:v>1</x:v>
      </x:c>
      <x:c r="J104" s="100" t="n">
        <x:f>IF(I104,B104,"")</x:f>
        <x:v>0.01176849858523049</x:v>
      </x:c>
      <x:c r="K104" s="100" t="n">
        <x:f>IF(I104,E104,"")</x:f>
        <x:v>0.049945941971915084</x:v>
      </x:c>
      <x:c r="L104" s="100" t="n">
        <x:f>IF(I104,G104,"")</x:f>
        <x:v>0.03817744338668459</x:v>
      </x:c>
      <x:c r="M104" s="100" t="n">
        <x:f>IF(I104,F104^2,"")</x:f>
        <x:v>0.0014575171835435072</x:v>
      </x:c>
      <x:c r="N104" s="100" t="n">
        <x:f>IF(I104,F104,"")</x:f>
        <x:v>0.03817744338668459</x:v>
      </x:c>
      <x:c r="P104" t="n">
        <x:f>J104</x:f>
        <x:v>0.01176849858523049</x:v>
      </x:c>
      <x:c r="Q104" t="n">
        <x:f>K104</x:f>
        <x:v>0.049945941971915084</x:v>
      </x:c>
    </x:row>
    <x:row r="105">
      <x:c r="A105" s="99" t="str">
        <x:f>'Raw Z'!B99</x:f>
        <x:v>00139</x:v>
      </x:c>
      <x:c r="B105" s="100" t="n">
        <x:f>INDEX('Raw Stations'!$D$2:$D$299,MATCH(A105,'Raw Stations'!$A$2:$A$299,0))</x:f>
        <x:v>0.01070551839501107</x:v>
      </x:c>
      <x:c r="C105" s="100" t="n">
        <x:f>'Raw Z'!L99</x:f>
        <x:v>0.04692532110347299</x:v>
      </x:c>
      <x:c r="D105" s="100" t="n">
        <x:f>$B$2</x:f>
        <x:v>-0.0009288398653362757</x:v>
      </x:c>
      <x:c r="E105" s="100" t="n">
        <x:f>C105-D105</x:f>
        <x:v>0.04785416096880927</x:v>
      </x:c>
      <x:c r="F105" s="100" t="n">
        <x:f>E105-B105</x:f>
        <x:v>0.0371486425737982</x:v>
      </x:c>
      <x:c r="G105" s="100" t="n">
        <x:f>ABS(F105)</x:f>
        <x:v>0.0371486425737982</x:v>
      </x:c>
      <x:c r="H105" s="100" t="n">
        <x:f>'Raw Z'!N99</x:f>
        <x:v>0.9261707001533899</x:v>
      </x:c>
      <x:c r="I105" t="b">
        <x:f>'Raw Z'!O99</x:f>
        <x:v>1</x:v>
      </x:c>
      <x:c r="J105" s="100" t="n">
        <x:f>IF(I105,B105,"")</x:f>
        <x:v>0.01070551839501107</x:v>
      </x:c>
      <x:c r="K105" s="100" t="n">
        <x:f>IF(I105,E105,"")</x:f>
        <x:v>0.04785416096880927</x:v>
      </x:c>
      <x:c r="L105" s="100" t="n">
        <x:f>IF(I105,G105,"")</x:f>
        <x:v>0.0371486425737982</x:v>
      </x:c>
      <x:c r="M105" s="100" t="n">
        <x:f>IF(I105,F105^2,"")</x:f>
        <x:v>0.0013800216450758121</x:v>
      </x:c>
      <x:c r="N105" s="100" t="n">
        <x:f>IF(I105,F105,"")</x:f>
        <x:v>0.0371486425737982</x:v>
      </x:c>
      <x:c r="P105" t="n">
        <x:f>J105</x:f>
        <x:v>0.01070551839501107</x:v>
      </x:c>
      <x:c r="Q105" t="n">
        <x:f>K105</x:f>
        <x:v>0.04785416096880927</x:v>
      </x:c>
    </x:row>
    <x:row r="106">
      <x:c r="A106" s="99" t="str">
        <x:f>'Raw Z'!B100</x:f>
        <x:v>00140</x:v>
      </x:c>
      <x:c r="B106" s="100" t="n">
        <x:f>INDEX('Raw Stations'!$D$2:$D$299,MATCH(A106,'Raw Stations'!$A$2:$A$299,0))</x:f>
        <x:v>0.009794512092151049</x:v>
      </x:c>
      <x:c r="C106" s="100" t="n">
        <x:f>'Raw Z'!L100</x:f>
        <x:v>0.04627586622234099</x:v>
      </x:c>
      <x:c r="D106" s="100" t="n">
        <x:f>$B$2</x:f>
        <x:v>-0.0009288398653362757</x:v>
      </x:c>
      <x:c r="E106" s="100" t="n">
        <x:f>C106-D106</x:f>
        <x:v>0.04720470608767727</x:v>
      </x:c>
      <x:c r="F106" s="100" t="n">
        <x:f>E106-B106</x:f>
        <x:v>0.03741019399552622</x:v>
      </x:c>
      <x:c r="G106" s="100" t="n">
        <x:f>ABS(F106)</x:f>
        <x:v>0.03741019399552622</x:v>
      </x:c>
      <x:c r="H106" s="100" t="n">
        <x:f>'Raw Z'!N100</x:f>
        <x:v>0.6882502652950725</x:v>
      </x:c>
      <x:c r="I106" t="b">
        <x:f>'Raw Z'!O100</x:f>
        <x:v>1</x:v>
      </x:c>
      <x:c r="J106" s="100" t="n">
        <x:f>IF(I106,B106,"")</x:f>
        <x:v>0.009794512092151049</x:v>
      </x:c>
      <x:c r="K106" s="100" t="n">
        <x:f>IF(I106,E106,"")</x:f>
        <x:v>0.04720470608767727</x:v>
      </x:c>
      <x:c r="L106" s="100" t="n">
        <x:f>IF(I106,G106,"")</x:f>
        <x:v>0.03741019399552622</x:v>
      </x:c>
      <x:c r="M106" s="100" t="n">
        <x:f>IF(I106,F106^2,"")</x:f>
        <x:v>0.0013995226147829058</x:v>
      </x:c>
      <x:c r="N106" s="100" t="n">
        <x:f>IF(I106,F106,"")</x:f>
        <x:v>0.03741019399552622</x:v>
      </x:c>
      <x:c r="P106" t="n">
        <x:f>J106</x:f>
        <x:v>0.009794512092151049</x:v>
      </x:c>
      <x:c r="Q106" t="n">
        <x:f>K106</x:f>
        <x:v>0.04720470608767727</x:v>
      </x:c>
    </x:row>
    <x:row r="107">
      <x:c r="A107" s="99" t="str">
        <x:f>'Raw Z'!B101</x:f>
        <x:v>00141</x:v>
      </x:c>
      <x:c r="B107" s="100" t="n">
        <x:f>INDEX('Raw Stations'!$D$2:$D$299,MATCH(A107,'Raw Stations'!$A$2:$A$299,0))</x:f>
        <x:v>0.001433630043454155</x:v>
      </x:c>
      <x:c r="C107" s="100" t="n">
        <x:f>'Raw Z'!L101</x:f>
        <x:v>0.0499149841736441</x:v>
      </x:c>
      <x:c r="D107" s="100" t="n">
        <x:f>$B$2</x:f>
        <x:v>-0.0009288398653362757</x:v>
      </x:c>
      <x:c r="E107" s="100" t="n">
        <x:f>C107-D107</x:f>
        <x:v>0.05084382403898038</x:v>
      </x:c>
      <x:c r="F107" s="100" t="n">
        <x:f>E107-B107</x:f>
        <x:v>0.04941019399552622</x:v>
      </x:c>
      <x:c r="G107" s="100" t="n">
        <x:f>ABS(F107)</x:f>
        <x:v>0.04941019399552622</x:v>
      </x:c>
      <x:c r="H107" s="100" t="n">
        <x:f>'Raw Z'!N101</x:f>
        <x:v>0.4094589935871993</x:v>
      </x:c>
      <x:c r="I107" t="b">
        <x:f>'Raw Z'!O101</x:f>
        <x:v>0</x:v>
      </x:c>
      <x:c r="J107" s="100" t="str">
        <x:f>IF(I107,B107,"")</x:f>
      </x:c>
      <x:c r="K107" s="100" t="str">
        <x:f>IF(I107,E107,"")</x:f>
      </x:c>
      <x:c r="L107" s="100" t="str">
        <x:f>IF(I107,G107,"")</x:f>
      </x:c>
      <x:c r="M107" s="100" t="str">
        <x:f>IF(I107,F107^2,"")</x:f>
      </x:c>
      <x:c r="N107" s="100" t="str">
        <x:f>IF(I107,F107,"")</x:f>
      </x:c>
      <x:c r="P107" t="str">
        <x:f>J107</x:f>
      </x:c>
      <x:c r="Q107" t="str">
        <x:f>K107</x:f>
      </x:c>
    </x:row>
    <x:row r="108">
      <x:c r="A108" s="99" t="str">
        <x:f>'Raw Z'!B102</x:f>
        <x:v>00142</x:v>
      </x:c>
      <x:c r="B108" s="100" t="n">
        <x:f>INDEX('Raw Stations'!$D$2:$D$299,MATCH(A108,'Raw Stations'!$A$2:$A$299,0))</x:f>
        <x:v>-0.0131765084679257</x:v>
      </x:c>
      <x:c r="C108" s="100" t="n">
        <x:f>'Raw Z'!L102</x:f>
        <x:v>0.01054887807649116</x:v>
      </x:c>
      <x:c r="D108" s="100" t="n">
        <x:f>$B$2</x:f>
        <x:v>-0.0009288398653362757</x:v>
      </x:c>
      <x:c r="E108" s="100" t="n">
        <x:f>C108-D108</x:f>
        <x:v>0.011477717941827436</x:v>
      </x:c>
      <x:c r="F108" s="100" t="n">
        <x:f>E108-B108</x:f>
        <x:v>0.024654226409753136</x:v>
      </x:c>
      <x:c r="G108" s="100" t="n">
        <x:f>ABS(F108)</x:f>
        <x:v>0.024654226409753136</x:v>
      </x:c>
      <x:c r="H108" s="100" t="n">
        <x:f>'Raw Z'!N102</x:f>
        <x:v>0.9530524685122186</x:v>
      </x:c>
      <x:c r="I108" t="b">
        <x:f>'Raw Z'!O102</x:f>
        <x:v>1</x:v>
      </x:c>
      <x:c r="J108" s="100" t="n">
        <x:f>IF(I108,B108,"")</x:f>
        <x:v>-0.0131765084679257</x:v>
      </x:c>
      <x:c r="K108" s="100" t="n">
        <x:f>IF(I108,E108,"")</x:f>
        <x:v>0.011477717941827436</x:v>
      </x:c>
      <x:c r="L108" s="100" t="n">
        <x:f>IF(I108,G108,"")</x:f>
        <x:v>0.024654226409753136</x:v>
      </x:c>
      <x:c r="M108" s="100" t="n">
        <x:f>IF(I108,F108^2,"")</x:f>
        <x:v>0.000607830879863369</x:v>
      </x:c>
      <x:c r="N108" s="100" t="n">
        <x:f>IF(I108,F108,"")</x:f>
        <x:v>0.024654226409753136</x:v>
      </x:c>
      <x:c r="P108" t="n">
        <x:f>J108</x:f>
        <x:v>-0.0131765084679257</x:v>
      </x:c>
      <x:c r="Q108" t="n">
        <x:f>K108</x:f>
        <x:v>0.011477717941827436</x:v>
      </x:c>
    </x:row>
    <x:row r="109">
      <x:c r="A109" s="99" t="str">
        <x:f>'Raw Z'!B103</x:f>
        <x:v>00143</x:v>
      </x:c>
      <x:c r="B109" s="100" t="n">
        <x:f>INDEX('Raw Stations'!$D$2:$D$299,MATCH(A109,'Raw Stations'!$A$2:$A$299,0))</x:f>
        <x:v>-0.007809072405819819</x:v>
      </x:c>
      <x:c r="C109" s="100" t="n">
        <x:f>'Raw Z'!L103</x:f>
        <x:v>0.006524215553923879</x:v>
      </x:c>
      <x:c r="D109" s="100" t="n">
        <x:f>$B$2</x:f>
        <x:v>-0.0009288398653362757</x:v>
      </x:c>
      <x:c r="E109" s="100" t="n">
        <x:f>C109-D109</x:f>
        <x:v>0.0074530554192601545</x:v>
      </x:c>
      <x:c r="F109" s="100" t="n">
        <x:f>E109-B109</x:f>
        <x:v>0.015262127825079973</x:v>
      </x:c>
      <x:c r="G109" s="100" t="n">
        <x:f>ABS(F109)</x:f>
        <x:v>0.015262127825079973</x:v>
      </x:c>
      <x:c r="H109" s="100" t="n">
        <x:f>'Raw Z'!N103</x:f>
        <x:v>0.9698901235989985</x:v>
      </x:c>
      <x:c r="I109" t="b">
        <x:f>'Raw Z'!O103</x:f>
        <x:v>1</x:v>
      </x:c>
      <x:c r="J109" s="100" t="n">
        <x:f>IF(I109,B109,"")</x:f>
        <x:v>-0.007809072405819819</x:v>
      </x:c>
      <x:c r="K109" s="100" t="n">
        <x:f>IF(I109,E109,"")</x:f>
        <x:v>0.0074530554192601545</x:v>
      </x:c>
      <x:c r="L109" s="100" t="n">
        <x:f>IF(I109,G109,"")</x:f>
        <x:v>0.015262127825079973</x:v>
      </x:c>
      <x:c r="M109" s="100" t="n">
        <x:f>IF(I109,F109^2,"")</x:f>
        <x:v>0.00023293254574908035</x:v>
      </x:c>
      <x:c r="N109" s="100" t="n">
        <x:f>IF(I109,F109,"")</x:f>
        <x:v>0.015262127825079973</x:v>
      </x:c>
      <x:c r="P109" t="n">
        <x:f>J109</x:f>
        <x:v>-0.007809072405819819</x:v>
      </x:c>
      <x:c r="Q109" t="n">
        <x:f>K109</x:f>
        <x:v>0.0074530554192601545</x:v>
      </x:c>
    </x:row>
    <x:row r="110">
      <x:c r="A110" s="99" t="str">
        <x:f>'Raw Z'!B104</x:f>
        <x:v>00144</x:v>
      </x:c>
      <x:c r="B110" s="100" t="n">
        <x:f>INDEX('Raw Stations'!$D$2:$D$299,MATCH(A110,'Raw Stations'!$A$2:$A$299,0))</x:f>
        <x:v>-0.01176502607705689</x:v>
      </x:c>
      <x:c r="C110" s="100" t="n">
        <x:f>'Raw Z'!L104</x:f>
        <x:v>-0.004315534814275518</x:v>
      </x:c>
      <x:c r="D110" s="100" t="n">
        <x:f>$B$2</x:f>
        <x:v>-0.0009288398653362757</x:v>
      </x:c>
      <x:c r="E110" s="100" t="n">
        <x:f>C110-D110</x:f>
        <x:v>-0.0033866949489392423</x:v>
      </x:c>
      <x:c r="F110" s="100" t="n">
        <x:f>E110-B110</x:f>
        <x:v>0.008378331128117648</x:v>
      </x:c>
      <x:c r="G110" s="100" t="n">
        <x:f>ABS(F110)</x:f>
        <x:v>0.008378331128117648</x:v>
      </x:c>
      <x:c r="H110" s="100" t="n">
        <x:f>'Raw Z'!N104</x:f>
        <x:v>0.9695512292366868</x:v>
      </x:c>
      <x:c r="I110" t="b">
        <x:f>'Raw Z'!O104</x:f>
        <x:v>1</x:v>
      </x:c>
      <x:c r="J110" s="100" t="n">
        <x:f>IF(I110,B110,"")</x:f>
        <x:v>-0.01176502607705689</x:v>
      </x:c>
      <x:c r="K110" s="100" t="n">
        <x:f>IF(I110,E110,"")</x:f>
        <x:v>-0.0033866949489392423</x:v>
      </x:c>
      <x:c r="L110" s="100" t="n">
        <x:f>IF(I110,G110,"")</x:f>
        <x:v>0.008378331128117648</x:v>
      </x:c>
      <x:c r="M110" s="100" t="n">
        <x:f>IF(I110,F110^2,"")</x:f>
        <x:v>0.00007019643249238513</x:v>
      </x:c>
      <x:c r="N110" s="100" t="n">
        <x:f>IF(I110,F110,"")</x:f>
        <x:v>0.008378331128117648</x:v>
      </x:c>
      <x:c r="P110" t="n">
        <x:f>J110</x:f>
        <x:v>-0.01176502607705689</x:v>
      </x:c>
      <x:c r="Q110" t="n">
        <x:f>K110</x:f>
        <x:v>-0.0033866949489392423</x:v>
      </x:c>
    </x:row>
    <x:row r="111">
      <x:c r="A111" s="99" t="str">
        <x:f>'Raw Z'!B105</x:f>
        <x:v>00145</x:v>
      </x:c>
      <x:c r="B111" s="100" t="n">
        <x:f>INDEX('Raw Stations'!$D$2:$D$299,MATCH(A111,'Raw Stations'!$A$2:$A$299,0))</x:f>
        <x:v>-0.01520966297060058</x:v>
      </x:c>
      <x:c r="C111" s="100" t="n">
        <x:f>'Raw Z'!L105</x:f>
        <x:v>-0.007760171707819216</x:v>
      </x:c>
      <x:c r="D111" s="100" t="n">
        <x:f>$B$2</x:f>
        <x:v>-0.0009288398653362757</x:v>
      </x:c>
      <x:c r="E111" s="100" t="n">
        <x:f>C111-D111</x:f>
        <x:v>-0.0068313318424829406</x:v>
      </x:c>
      <x:c r="F111" s="100" t="n">
        <x:f>E111-B111</x:f>
        <x:v>0.008378331128117639</x:v>
      </x:c>
      <x:c r="G111" s="100" t="n">
        <x:f>ABS(F111)</x:f>
        <x:v>0.008378331128117639</x:v>
      </x:c>
      <x:c r="H111" s="100" t="n">
        <x:f>'Raw Z'!N105</x:f>
        <x:v>0.941465324862711</x:v>
      </x:c>
      <x:c r="I111" t="b">
        <x:f>'Raw Z'!O105</x:f>
        <x:v>1</x:v>
      </x:c>
      <x:c r="J111" s="100" t="n">
        <x:f>IF(I111,B111,"")</x:f>
        <x:v>-0.01520966297060058</x:v>
      </x:c>
      <x:c r="K111" s="100" t="n">
        <x:f>IF(I111,E111,"")</x:f>
        <x:v>-0.0068313318424829406</x:v>
      </x:c>
      <x:c r="L111" s="100" t="n">
        <x:f>IF(I111,G111,"")</x:f>
        <x:v>0.008378331128117639</x:v>
      </x:c>
      <x:c r="M111" s="100" t="n">
        <x:f>IF(I111,F111^2,"")</x:f>
        <x:v>0.000070196432492385</x:v>
      </x:c>
      <x:c r="N111" s="100" t="n">
        <x:f>IF(I111,F111,"")</x:f>
        <x:v>0.008378331128117639</x:v>
      </x:c>
      <x:c r="P111" t="n">
        <x:f>J111</x:f>
        <x:v>-0.01520966297060058</x:v>
      </x:c>
      <x:c r="Q111" t="n">
        <x:f>K111</x:f>
        <x:v>-0.0068313318424829406</x:v>
      </x:c>
    </x:row>
    <x:row r="112">
      <x:c r="A112" s="99" t="str">
        <x:f>'Raw Z'!B106</x:f>
        <x:v>00146</x:v>
      </x:c>
      <x:c r="B112" s="100" t="n">
        <x:f>INDEX('Raw Stations'!$D$2:$D$299,MATCH(A112,'Raw Stations'!$A$2:$A$299,0))</x:f>
        <x:v>-0.00357796407435395</x:v>
      </x:c>
      <x:c r="C112" s="100" t="n">
        <x:f>'Raw Z'!L106</x:f>
        <x:v>-0.006329360553005633</x:v>
      </x:c>
      <x:c r="D112" s="100" t="n">
        <x:f>$B$2</x:f>
        <x:v>-0.0009288398653362757</x:v>
      </x:c>
      <x:c r="E112" s="100" t="n">
        <x:f>C112-D112</x:f>
        <x:v>-0.005400520687669357</x:v>
      </x:c>
      <x:c r="F112" s="100" t="n">
        <x:f>E112-B112</x:f>
        <x:v>-0.001822556613315407</x:v>
      </x:c>
      <x:c r="G112" s="100" t="n">
        <x:f>ABS(F112)</x:f>
        <x:v>0.001822556613315407</x:v>
      </x:c>
      <x:c r="H112" s="100" t="n">
        <x:f>'Raw Z'!N106</x:f>
        <x:v>0.9636955276478637</x:v>
      </x:c>
      <x:c r="I112" t="b">
        <x:f>'Raw Z'!O106</x:f>
        <x:v>1</x:v>
      </x:c>
      <x:c r="J112" s="100" t="n">
        <x:f>IF(I112,B112,"")</x:f>
        <x:v>-0.00357796407435395</x:v>
      </x:c>
      <x:c r="K112" s="100" t="n">
        <x:f>IF(I112,E112,"")</x:f>
        <x:v>-0.005400520687669357</x:v>
      </x:c>
      <x:c r="L112" s="100" t="n">
        <x:f>IF(I112,G112,"")</x:f>
        <x:v>0.001822556613315407</x:v>
      </x:c>
      <x:c r="M112" s="100" t="n">
        <x:f>IF(I112,F112^2,"")</x:f>
        <x:v>0.000003321712608739726</x:v>
      </x:c>
      <x:c r="N112" s="100" t="n">
        <x:f>IF(I112,F112,"")</x:f>
        <x:v>-0.001822556613315407</x:v>
      </x:c>
      <x:c r="P112" t="n">
        <x:f>J112</x:f>
        <x:v>-0.00357796407435395</x:v>
      </x:c>
      <x:c r="Q112" t="n">
        <x:f>K112</x:f>
        <x:v>-0.005400520687669357</x:v>
      </x:c>
    </x:row>
    <x:row r="113">
      <x:c r="A113" s="99" t="str">
        <x:f>'Raw Z'!B107</x:f>
        <x:v>00147</x:v>
      </x:c>
      <x:c r="B113" s="100" t="n">
        <x:f>INDEX('Raw Stations'!$D$2:$D$299,MATCH(A113,'Raw Stations'!$A$2:$A$299,0))</x:f>
        <x:v>0.00393074184116592</x:v>
      </x:c>
      <x:c r="C113" s="100" t="n">
        <x:f>'Raw Z'!L107</x:f>
        <x:v>-0.009735970199090394</x:v>
      </x:c>
      <x:c r="D113" s="100" t="n">
        <x:f>$B$2</x:f>
        <x:v>-0.0009288398653362757</x:v>
      </x:c>
      <x:c r="E113" s="100" t="n">
        <x:f>C113-D113</x:f>
        <x:v>-0.008807130333754118</x:v>
      </x:c>
      <x:c r="F113" s="100" t="n">
        <x:f>E113-B113</x:f>
        <x:v>-0.012737872174920038</x:v>
      </x:c>
      <x:c r="G113" s="100" t="n">
        <x:f>ABS(F113)</x:f>
        <x:v>0.012737872174920038</x:v>
      </x:c>
      <x:c r="H113" s="100" t="n">
        <x:f>'Raw Z'!N107</x:f>
        <x:v>0.9667911104798782</x:v>
      </x:c>
      <x:c r="I113" t="b">
        <x:f>'Raw Z'!O107</x:f>
        <x:v>1</x:v>
      </x:c>
      <x:c r="J113" s="100" t="n">
        <x:f>IF(I113,B113,"")</x:f>
        <x:v>0.00393074184116592</x:v>
      </x:c>
      <x:c r="K113" s="100" t="n">
        <x:f>IF(I113,E113,"")</x:f>
        <x:v>-0.008807130333754118</x:v>
      </x:c>
      <x:c r="L113" s="100" t="n">
        <x:f>IF(I113,G113,"")</x:f>
        <x:v>0.012737872174920038</x:v>
      </x:c>
      <x:c r="M113" s="100" t="n">
        <x:f>IF(I113,F113^2,"")</x:f>
        <x:v>0.00016225338754460213</x:v>
      </x:c>
      <x:c r="N113" s="100" t="n">
        <x:f>IF(I113,F113,"")</x:f>
        <x:v>-0.012737872174920038</x:v>
      </x:c>
      <x:c r="P113" t="n">
        <x:f>J113</x:f>
        <x:v>0.00393074184116592</x:v>
      </x:c>
      <x:c r="Q113" t="n">
        <x:f>K113</x:f>
        <x:v>-0.008807130333754118</x:v>
      </x:c>
    </x:row>
    <x:row r="114">
      <x:c r="A114" s="99" t="str">
        <x:f>'Raw Z'!B108</x:f>
        <x:v>00148</x:v>
      </x:c>
      <x:c r="B114" s="100" t="n">
        <x:f>INDEX('Raw Stations'!$D$2:$D$299,MATCH(A114,'Raw Stations'!$A$2:$A$299,0))</x:f>
        <x:v>0.007627592197452477</x:v>
      </x:c>
      <x:c r="C114" s="100" t="n">
        <x:f>'Raw Z'!L108</x:f>
        <x:v>-0.04786266852169732</x:v>
      </x:c>
      <x:c r="D114" s="100" t="n">
        <x:f>$B$2</x:f>
        <x:v>-0.0009288398653362757</x:v>
      </x:c>
      <x:c r="E114" s="100" t="n">
        <x:f>C114-D114</x:f>
        <x:v>-0.046933828656361046</x:v>
      </x:c>
      <x:c r="F114" s="100" t="n">
        <x:f>E114-B114</x:f>
        <x:v>-0.05456142085381352</x:v>
      </x:c>
      <x:c r="G114" s="100" t="n">
        <x:f>ABS(F114)</x:f>
        <x:v>0.05456142085381352</x:v>
      </x:c>
      <x:c r="H114" s="100" t="n">
        <x:f>'Raw Z'!N108</x:f>
        <x:v>0.7998818380489437</x:v>
      </x:c>
      <x:c r="I114" t="b">
        <x:f>'Raw Z'!O108</x:f>
        <x:v>1</x:v>
      </x:c>
      <x:c r="J114" s="100" t="n">
        <x:f>IF(I114,B114,"")</x:f>
        <x:v>0.007627592197452477</x:v>
      </x:c>
      <x:c r="K114" s="100" t="n">
        <x:f>IF(I114,E114,"")</x:f>
        <x:v>-0.046933828656361046</x:v>
      </x:c>
      <x:c r="L114" s="100" t="n">
        <x:f>IF(I114,G114,"")</x:f>
        <x:v>0.05456142085381352</x:v>
      </x:c>
      <x:c r="M114" s="100" t="n">
        <x:f>IF(I114,F114^2,"")</x:f>
        <x:v>0.002976948645586957</x:v>
      </x:c>
      <x:c r="N114" s="100" t="n">
        <x:f>IF(I114,F114,"")</x:f>
        <x:v>-0.05456142085381352</x:v>
      </x:c>
      <x:c r="P114" t="n">
        <x:f>J114</x:f>
        <x:v>0.007627592197452477</x:v>
      </x:c>
      <x:c r="Q114" t="n">
        <x:f>K114</x:f>
        <x:v>-0.046933828656361046</x:v>
      </x:c>
    </x:row>
    <x:row r="115">
      <x:c r="A115" s="99" t="str">
        <x:f>'Raw Z'!B109</x:f>
        <x:v>00149</x:v>
      </x:c>
      <x:c r="B115" s="100" t="n">
        <x:f>INDEX('Raw Stations'!$D$2:$D$299,MATCH(A115,'Raw Stations'!$A$2:$A$299,0))</x:f>
        <x:v>0.006252124324200541</x:v>
      </x:c>
      <x:c r="C115" s="100" t="n">
        <x:f>'Raw Z'!L109</x:f>
        <x:v>-0.005041945641686987</x:v>
      </x:c>
      <x:c r="D115" s="100" t="n">
        <x:f>$B$2</x:f>
        <x:v>-0.0009288398653362757</x:v>
      </x:c>
      <x:c r="E115" s="100" t="n">
        <x:f>C115-D115</x:f>
        <x:v>-0.004113105776350712</x:v>
      </x:c>
      <x:c r="F115" s="100" t="n">
        <x:f>E115-B115</x:f>
        <x:v>-0.010365230100551253</x:v>
      </x:c>
      <x:c r="G115" s="100" t="n">
        <x:f>ABS(F115)</x:f>
        <x:v>0.010365230100551253</x:v>
      </x:c>
      <x:c r="H115" s="100" t="n">
        <x:f>'Raw Z'!N109</x:f>
        <x:v>0.9889044688240246</x:v>
      </x:c>
      <x:c r="I115" t="b">
        <x:f>'Raw Z'!O109</x:f>
        <x:v>1</x:v>
      </x:c>
      <x:c r="J115" s="100" t="n">
        <x:f>IF(I115,B115,"")</x:f>
        <x:v>0.006252124324200541</x:v>
      </x:c>
      <x:c r="K115" s="100" t="n">
        <x:f>IF(I115,E115,"")</x:f>
        <x:v>-0.004113105776350712</x:v>
      </x:c>
      <x:c r="L115" s="100" t="n">
        <x:f>IF(I115,G115,"")</x:f>
        <x:v>0.010365230100551253</x:v>
      </x:c>
      <x:c r="M115" s="100" t="n">
        <x:f>IF(I115,F115^2,"")</x:f>
        <x:v>0.00010743799503737373</x:v>
      </x:c>
      <x:c r="N115" s="100" t="n">
        <x:f>IF(I115,F115,"")</x:f>
        <x:v>-0.010365230100551253</x:v>
      </x:c>
      <x:c r="P115" t="n">
        <x:f>J115</x:f>
        <x:v>0.006252124324200541</x:v>
      </x:c>
      <x:c r="Q115" t="n">
        <x:f>K115</x:f>
        <x:v>-0.004113105776350712</x:v>
      </x:c>
    </x:row>
    <x:row r="116">
      <x:c r="A116" s="99" t="str">
        <x:f>'Raw Z'!B110</x:f>
        <x:v>00150</x:v>
      </x:c>
      <x:c r="B116" s="100" t="n">
        <x:f>INDEX('Raw Stations'!$D$2:$D$299,MATCH(A116,'Raw Stations'!$A$2:$A$299,0))</x:f>
        <x:v>0.009131620025796459</x:v>
      </x:c>
      <x:c r="C116" s="100" t="n">
        <x:f>'Raw Z'!L110</x:f>
        <x:v>-0.02281382237460678</x:v>
      </x:c>
      <x:c r="D116" s="100" t="n">
        <x:f>$B$2</x:f>
        <x:v>-0.0009288398653362757</x:v>
      </x:c>
      <x:c r="E116" s="100" t="n">
        <x:f>C116-D116</x:f>
        <x:v>-0.021884982509270505</x:v>
      </x:c>
      <x:c r="F116" s="100" t="n">
        <x:f>E116-B116</x:f>
        <x:v>-0.031016602535066964</x:v>
      </x:c>
      <x:c r="G116" s="100" t="n">
        <x:f>ABS(F116)</x:f>
        <x:v>0.031016602535066964</x:v>
      </x:c>
      <x:c r="H116" s="100" t="n">
        <x:f>'Raw Z'!N110</x:f>
        <x:v>0.8650488990996326</x:v>
      </x:c>
      <x:c r="I116" t="b">
        <x:f>'Raw Z'!O110</x:f>
        <x:v>1</x:v>
      </x:c>
      <x:c r="J116" s="100" t="n">
        <x:f>IF(I116,B116,"")</x:f>
        <x:v>0.009131620025796459</x:v>
      </x:c>
      <x:c r="K116" s="100" t="n">
        <x:f>IF(I116,E116,"")</x:f>
        <x:v>-0.021884982509270505</x:v>
      </x:c>
      <x:c r="L116" s="100" t="n">
        <x:f>IF(I116,G116,"")</x:f>
        <x:v>0.031016602535066964</x:v>
      </x:c>
      <x:c r="M116" s="100" t="n">
        <x:f>IF(I116,F116^2,"")</x:f>
        <x:v>0.0009620296328183224</x:v>
      </x:c>
      <x:c r="N116" s="100" t="n">
        <x:f>IF(I116,F116,"")</x:f>
        <x:v>-0.031016602535066964</x:v>
      </x:c>
      <x:c r="P116" t="n">
        <x:f>J116</x:f>
        <x:v>0.009131620025796459</x:v>
      </x:c>
      <x:c r="Q116" t="n">
        <x:f>K116</x:f>
        <x:v>-0.021884982509270505</x:v>
      </x:c>
    </x:row>
    <x:row r="117">
      <x:c r="A117" s="99" t="str">
        <x:f>'Raw Z'!B111</x:f>
        <x:v>00151</x:v>
      </x:c>
      <x:c r="B117" s="100" t="n">
        <x:f>INDEX('Raw Stations'!$D$2:$D$299,MATCH(A117,'Raw Stations'!$A$2:$A$299,0))</x:f>
        <x:v>0.01418779123125887</x:v>
      </x:c>
      <x:c r="C117" s="100" t="n">
        <x:f>'Raw Z'!L111</x:f>
        <x:v>0.006242348830855633</x:v>
      </x:c>
      <x:c r="D117" s="100" t="n">
        <x:f>$B$2</x:f>
        <x:v>-0.0009288398653362757</x:v>
      </x:c>
      <x:c r="E117" s="100" t="n">
        <x:f>C117-D117</x:f>
        <x:v>0.007171188696191909</x:v>
      </x:c>
      <x:c r="F117" s="100" t="n">
        <x:f>E117-B117</x:f>
        <x:v>-0.007016602535066961</x:v>
      </x:c>
      <x:c r="G117" s="100" t="n">
        <x:f>ABS(F117)</x:f>
        <x:v>0.007016602535066961</x:v>
      </x:c>
      <x:c r="H117" s="100" t="n">
        <x:f>'Raw Z'!N111</x:f>
        <x:v>0.5849674288604484</x:v>
      </x:c>
      <x:c r="I117" t="b">
        <x:f>'Raw Z'!O111</x:f>
        <x:v>0</x:v>
      </x:c>
      <x:c r="J117" s="100" t="str">
        <x:f>IF(I117,B117,"")</x:f>
      </x:c>
      <x:c r="K117" s="100" t="str">
        <x:f>IF(I117,E117,"")</x:f>
      </x:c>
      <x:c r="L117" s="100" t="str">
        <x:f>IF(I117,G117,"")</x:f>
      </x:c>
      <x:c r="M117" s="100" t="str">
        <x:f>IF(I117,F117^2,"")</x:f>
      </x:c>
      <x:c r="N117" s="100" t="str">
        <x:f>IF(I117,F117,"")</x:f>
      </x:c>
      <x:c r="P117" t="str">
        <x:f>J117</x:f>
      </x:c>
      <x:c r="Q117" t="str">
        <x:f>K117</x:f>
      </x:c>
    </x:row>
    <x:row r="118">
      <x:c r="A118" s="99" t="str">
        <x:f>'Raw Z'!B112</x:f>
        <x:v>00152</x:v>
      </x:c>
      <x:c r="B118" s="100" t="n">
        <x:f>INDEX('Raw Stations'!$D$2:$D$299,MATCH(A118,'Raw Stations'!$A$2:$A$299,0))</x:f>
        <x:v>0.009298753097606798</x:v>
      </x:c>
      <x:c r="C118" s="100" t="n">
        <x:f>'Raw Z'!L112</x:f>
        <x:v>0.0236320410573505</x:v>
      </x:c>
      <x:c r="D118" s="100" t="n">
        <x:f>$B$2</x:f>
        <x:v>-0.0009288398653362757</x:v>
      </x:c>
      <x:c r="E118" s="100" t="n">
        <x:f>C118-D118</x:f>
        <x:v>0.024560880922686774</x:v>
      </x:c>
      <x:c r="F118" s="100" t="n">
        <x:f>E118-B118</x:f>
        <x:v>0.015262127825079977</x:v>
      </x:c>
      <x:c r="G118" s="100" t="n">
        <x:f>ABS(F118)</x:f>
        <x:v>0.015262127825079977</x:v>
      </x:c>
      <x:c r="H118" s="100" t="n">
        <x:f>'Raw Z'!N112</x:f>
        <x:v>0.4345060109941073</x:v>
      </x:c>
      <x:c r="I118" t="b">
        <x:f>'Raw Z'!O112</x:f>
        <x:v>0</x:v>
      </x:c>
      <x:c r="J118" s="100" t="str">
        <x:f>IF(I118,B118,"")</x:f>
      </x:c>
      <x:c r="K118" s="100" t="str">
        <x:f>IF(I118,E118,"")</x:f>
      </x:c>
      <x:c r="L118" s="100" t="str">
        <x:f>IF(I118,G118,"")</x:f>
      </x:c>
      <x:c r="M118" s="100" t="str">
        <x:f>IF(I118,F118^2,"")</x:f>
      </x:c>
      <x:c r="N118" s="100" t="str">
        <x:f>IF(I118,F118,"")</x:f>
      </x:c>
      <x:c r="P118" t="str">
        <x:f>J118</x:f>
      </x:c>
      <x:c r="Q118" t="str">
        <x:f>K118</x:f>
      </x:c>
    </x:row>
    <x:row r="119">
      <x:c r="A119" s="99" t="str">
        <x:f>'Raw Z'!B113</x:f>
        <x:v>00153</x:v>
      </x:c>
      <x:c r="B119" s="100" t="n">
        <x:f>INDEX('Raw Stations'!$D$2:$D$299,MATCH(A119,'Raw Stations'!$A$2:$A$299,0))</x:f>
        <x:v>0.008459962962277095</x:v>
      </x:c>
      <x:c r="C119" s="100" t="n">
        <x:f>'Raw Z'!L113</x:f>
        <x:v>0.04494131709246704</x:v>
      </x:c>
      <x:c r="D119" s="100" t="n">
        <x:f>$B$2</x:f>
        <x:v>-0.0009288398653362757</x:v>
      </x:c>
      <x:c r="E119" s="100" t="n">
        <x:f>C119-D119</x:f>
        <x:v>0.04587015695780332</x:v>
      </x:c>
      <x:c r="F119" s="100" t="n">
        <x:f>E119-B119</x:f>
        <x:v>0.037410193995526225</x:v>
      </x:c>
      <x:c r="G119" s="100" t="n">
        <x:f>ABS(F119)</x:f>
        <x:v>0.037410193995526225</x:v>
      </x:c>
      <x:c r="H119" s="100" t="n">
        <x:f>'Raw Z'!N113</x:f>
        <x:v>0.8215696695871634</x:v>
      </x:c>
      <x:c r="I119" t="b">
        <x:f>'Raw Z'!O113</x:f>
        <x:v>1</x:v>
      </x:c>
      <x:c r="J119" s="100" t="n">
        <x:f>IF(I119,B119,"")</x:f>
        <x:v>0.008459962962277095</x:v>
      </x:c>
      <x:c r="K119" s="100" t="n">
        <x:f>IF(I119,E119,"")</x:f>
        <x:v>0.04587015695780332</x:v>
      </x:c>
      <x:c r="L119" s="100" t="n">
        <x:f>IF(I119,G119,"")</x:f>
        <x:v>0.037410193995526225</x:v>
      </x:c>
      <x:c r="M119" s="100" t="n">
        <x:f>IF(I119,F119^2,"")</x:f>
        <x:v>0.0013995226147829065</x:v>
      </x:c>
      <x:c r="N119" s="100" t="n">
        <x:f>IF(I119,F119,"")</x:f>
        <x:v>0.037410193995526225</x:v>
      </x:c>
      <x:c r="P119" t="n">
        <x:f>J119</x:f>
        <x:v>0.008459962962277095</x:v>
      </x:c>
      <x:c r="Q119" t="n">
        <x:f>K119</x:f>
        <x:v>0.04587015695780332</x:v>
      </x:c>
    </x:row>
    <x:row r="120">
      <x:c r="A120" s="99" t="str">
        <x:f>'Raw Z'!B114</x:f>
        <x:v>00155</x:v>
      </x:c>
      <x:c r="B120" s="100" t="n">
        <x:f>INDEX('Raw Stations'!$D$2:$D$299,MATCH(A120,'Raw Stations'!$A$2:$A$299,0))</x:f>
        <x:v>0.02223076330157774</x:v>
      </x:c>
      <x:c r="C120" s="100" t="n">
        <x:f>'Raw Z'!L114</x:f>
        <x:v>0.04671211743176768</x:v>
      </x:c>
      <x:c r="D120" s="100" t="n">
        <x:f>$B$2</x:f>
        <x:v>-0.0009288398653362757</x:v>
      </x:c>
      <x:c r="E120" s="100" t="n">
        <x:f>C120-D120</x:f>
        <x:v>0.04764095729710396</x:v>
      </x:c>
      <x:c r="F120" s="100" t="n">
        <x:f>E120-B120</x:f>
        <x:v>0.025410193995526218</x:v>
      </x:c>
      <x:c r="G120" s="100" t="n">
        <x:f>ABS(F120)</x:f>
        <x:v>0.025410193995526218</x:v>
      </x:c>
      <x:c r="H120" s="100" t="n">
        <x:f>'Raw Z'!N114</x:f>
        <x:v>0.5844488266094695</x:v>
      </x:c>
      <x:c r="I120" t="b">
        <x:f>'Raw Z'!O114</x:f>
        <x:v>0</x:v>
      </x:c>
      <x:c r="J120" s="100" t="str">
        <x:f>IF(I120,B120,"")</x:f>
      </x:c>
      <x:c r="K120" s="100" t="str">
        <x:f>IF(I120,E120,"")</x:f>
      </x:c>
      <x:c r="L120" s="100" t="str">
        <x:f>IF(I120,G120,"")</x:f>
      </x:c>
      <x:c r="M120" s="100" t="str">
        <x:f>IF(I120,F120^2,"")</x:f>
      </x:c>
      <x:c r="N120" s="100" t="str">
        <x:f>IF(I120,F120,"")</x:f>
      </x:c>
      <x:c r="P120" t="str">
        <x:f>J120</x:f>
      </x:c>
      <x:c r="Q120" t="str">
        <x:f>K120</x:f>
      </x:c>
    </x:row>
    <x:row r="121">
      <x:c r="A121" s="99" t="str">
        <x:f>'Raw Z'!B115</x:f>
        <x:v>00156</x:v>
      </x:c>
      <x:c r="B121" s="100" t="n">
        <x:f>INDEX('Raw Stations'!$D$2:$D$299,MATCH(A121,'Raw Stations'!$A$2:$A$299,0))</x:f>
        <x:v>0.008486234802744842</x:v>
      </x:c>
      <x:c r="C121" s="100" t="n">
        <x:f>'Raw Z'!L115</x:f>
        <x:v>0.04699077501194932</x:v>
      </x:c>
      <x:c r="D121" s="100" t="n">
        <x:f>$B$2</x:f>
        <x:v>-0.0009288398653362757</x:v>
      </x:c>
      <x:c r="E121" s="100" t="n">
        <x:f>C121-D121</x:f>
        <x:v>0.0479196148772856</x:v>
      </x:c>
      <x:c r="F121" s="100" t="n">
        <x:f>E121-B121</x:f>
        <x:v>0.03943338007454075</x:v>
      </x:c>
      <x:c r="G121" s="100" t="n">
        <x:f>ABS(F121)</x:f>
        <x:v>0.03943338007454075</x:v>
      </x:c>
      <x:c r="H121" s="100" t="n">
        <x:f>'Raw Z'!N115</x:f>
        <x:v>0.7107823053470051</x:v>
      </x:c>
      <x:c r="I121" t="b">
        <x:f>'Raw Z'!O115</x:f>
        <x:v>1</x:v>
      </x:c>
      <x:c r="J121" s="100" t="n">
        <x:f>IF(I121,B121,"")</x:f>
        <x:v>0.008486234802744842</x:v>
      </x:c>
      <x:c r="K121" s="100" t="n">
        <x:f>IF(I121,E121,"")</x:f>
        <x:v>0.0479196148772856</x:v>
      </x:c>
      <x:c r="L121" s="100" t="n">
        <x:f>IF(I121,G121,"")</x:f>
        <x:v>0.03943338007454075</x:v>
      </x:c>
      <x:c r="M121" s="100" t="n">
        <x:f>IF(I121,F121^2,"")</x:f>
        <x:v>0.0015549914641031877</x:v>
      </x:c>
      <x:c r="N121" s="100" t="n">
        <x:f>IF(I121,F121,"")</x:f>
        <x:v>0.03943338007454075</x:v>
      </x:c>
      <x:c r="P121" t="n">
        <x:f>J121</x:f>
        <x:v>0.008486234802744842</x:v>
      </x:c>
      <x:c r="Q121" t="n">
        <x:f>K121</x:f>
        <x:v>0.0479196148772856</x:v>
      </x:c>
    </x:row>
    <x:row r="122">
      <x:c r="A122" s="99" t="str">
        <x:f>'Raw Z'!B116</x:f>
        <x:v>00157</x:v>
      </x:c>
      <x:c r="B122" s="100" t="n">
        <x:f>INDEX('Raw Stations'!$D$2:$D$299,MATCH(A122,'Raw Stations'!$A$2:$A$299,0))</x:f>
        <x:v>0.01668834420464577</x:v>
      </x:c>
      <x:c r="C122" s="100" t="n">
        <x:f>'Raw Z'!L116</x:f>
        <x:v>0.04681520369720842</x:v>
      </x:c>
      <x:c r="D122" s="100" t="n">
        <x:f>$B$2</x:f>
        <x:v>-0.0009288398653362757</x:v>
      </x:c>
      <x:c r="E122" s="100" t="n">
        <x:f>C122-D122</x:f>
        <x:v>0.0477440435625447</x:v>
      </x:c>
      <x:c r="F122" s="100" t="n">
        <x:f>E122-B122</x:f>
        <x:v>0.03105569935789893</x:v>
      </x:c>
      <x:c r="G122" s="100" t="n">
        <x:f>ABS(F122)</x:f>
        <x:v>0.03105569935789893</x:v>
      </x:c>
      <x:c r="H122" s="100" t="n">
        <x:f>'Raw Z'!N116</x:f>
        <x:v>0.2587822270127887</x:v>
      </x:c>
      <x:c r="I122" t="b">
        <x:f>'Raw Z'!O116</x:f>
        <x:v>0</x:v>
      </x:c>
      <x:c r="J122" s="100" t="str">
        <x:f>IF(I122,B122,"")</x:f>
      </x:c>
      <x:c r="K122" s="100" t="str">
        <x:f>IF(I122,E122,"")</x:f>
      </x:c>
      <x:c r="L122" s="100" t="str">
        <x:f>IF(I122,G122,"")</x:f>
      </x:c>
      <x:c r="M122" s="100" t="str">
        <x:f>IF(I122,F122^2,"")</x:f>
      </x:c>
      <x:c r="N122" s="100" t="str">
        <x:f>IF(I122,F122,"")</x:f>
      </x:c>
      <x:c r="P122" t="str">
        <x:f>J122</x:f>
      </x:c>
      <x:c r="Q122" t="str">
        <x:f>K122</x:f>
      </x:c>
    </x:row>
    <x:row r="123">
      <x:c r="A123" s="99" t="str">
        <x:f>'Raw Z'!B117</x:f>
        <x:v>00158</x:v>
      </x:c>
      <x:c r="B123" s="100" t="n">
        <x:f>INDEX('Raw Stations'!$D$2:$D$299,MATCH(A123,'Raw Stations'!$A$2:$A$299,0))</x:f>
        <x:v>-0.012951444958942</x:v>
      </x:c>
      <x:c r="C123" s="100" t="n">
        <x:f>'Raw Z'!L117</x:f>
        <x:v>0.002285174668267567</x:v>
      </x:c>
      <x:c r="D123" s="100" t="n">
        <x:f>$B$2</x:f>
        <x:v>-0.0009288398653362757</x:v>
      </x:c>
      <x:c r="E123" s="100" t="n">
        <x:f>C123-D123</x:f>
        <x:v>0.003214014533603843</x:v>
      </x:c>
      <x:c r="F123" s="100" t="n">
        <x:f>E123-B123</x:f>
        <x:v>0.016165459492545844</x:v>
      </x:c>
      <x:c r="G123" s="100" t="n">
        <x:f>ABS(F123)</x:f>
        <x:v>0.016165459492545844</x:v>
      </x:c>
      <x:c r="H123" s="100" t="n">
        <x:f>'Raw Z'!N117</x:f>
        <x:v>0.9259547554157714</x:v>
      </x:c>
      <x:c r="I123" t="b">
        <x:f>'Raw Z'!O117</x:f>
        <x:v>1</x:v>
      </x:c>
      <x:c r="J123" s="100" t="n">
        <x:f>IF(I123,B123,"")</x:f>
        <x:v>-0.012951444958942</x:v>
      </x:c>
      <x:c r="K123" s="100" t="n">
        <x:f>IF(I123,E123,"")</x:f>
        <x:v>0.003214014533603843</x:v>
      </x:c>
      <x:c r="L123" s="100" t="n">
        <x:f>IF(I123,G123,"")</x:f>
        <x:v>0.016165459492545844</x:v>
      </x:c>
      <x:c r="M123" s="100" t="n">
        <x:f>IF(I123,F123^2,"")</x:f>
        <x:v>0.00026132208060514054</x:v>
      </x:c>
      <x:c r="N123" s="100" t="n">
        <x:f>IF(I123,F123,"")</x:f>
        <x:v>0.016165459492545844</x:v>
      </x:c>
      <x:c r="P123" t="n">
        <x:f>J123</x:f>
        <x:v>-0.012951444958942</x:v>
      </x:c>
      <x:c r="Q123" t="n">
        <x:f>K123</x:f>
        <x:v>0.003214014533603843</x:v>
      </x:c>
    </x:row>
    <x:row r="124">
      <x:c r="A124" s="99" t="str">
        <x:f>'Raw Z'!B118</x:f>
        <x:v>00160</x:v>
      </x:c>
      <x:c r="B124" s="100" t="n">
        <x:f>INDEX('Raw Stations'!$D$2:$D$299,MATCH(A124,'Raw Stations'!$A$2:$A$299,0))</x:f>
        <x:v>-0.01501962920241523</x:v>
      </x:c>
      <x:c r="C124" s="100" t="n">
        <x:f>'Raw Z'!L118</x:f>
        <x:v>-0.002313699168302763</x:v>
      </x:c>
      <x:c r="D124" s="100" t="n">
        <x:f>$B$2</x:f>
        <x:v>-0.0009288398653362757</x:v>
      </x:c>
      <x:c r="E124" s="100" t="n">
        <x:f>C124-D124</x:f>
        <x:v>-0.0013848593029664874</x:v>
      </x:c>
      <x:c r="F124" s="100" t="n">
        <x:f>E124-B124</x:f>
        <x:v>0.013634769899448743</x:v>
      </x:c>
      <x:c r="G124" s="100" t="n">
        <x:f>ABS(F124)</x:f>
        <x:v>0.013634769899448743</x:v>
      </x:c>
      <x:c r="H124" s="100" t="n">
        <x:f>'Raw Z'!N118</x:f>
        <x:v>0.9588006055482335</x:v>
      </x:c>
      <x:c r="I124" t="b">
        <x:f>'Raw Z'!O118</x:f>
        <x:v>1</x:v>
      </x:c>
      <x:c r="J124" s="100" t="n">
        <x:f>IF(I124,B124,"")</x:f>
        <x:v>-0.01501962920241523</x:v>
      </x:c>
      <x:c r="K124" s="100" t="n">
        <x:f>IF(I124,E124,"")</x:f>
        <x:v>-0.0013848593029664874</x:v>
      </x:c>
      <x:c r="L124" s="100" t="n">
        <x:f>IF(I124,G124,"")</x:f>
        <x:v>0.013634769899448743</x:v>
      </x:c>
      <x:c r="M124" s="100" t="n">
        <x:f>IF(I124,F124^2,"")</x:f>
        <x:v>0.00018590695021091348</x:v>
      </x:c>
      <x:c r="N124" s="100" t="n">
        <x:f>IF(I124,F124,"")</x:f>
        <x:v>0.013634769899448743</x:v>
      </x:c>
      <x:c r="P124" t="n">
        <x:f>J124</x:f>
        <x:v>-0.01501962920241523</x:v>
      </x:c>
      <x:c r="Q124" t="n">
        <x:f>K124</x:f>
        <x:v>-0.0013848593029664874</x:v>
      </x:c>
    </x:row>
    <x:row r="125">
      <x:c r="A125" s="99" t="str">
        <x:f>'Raw Z'!B119</x:f>
        <x:v>00162</x:v>
      </x:c>
      <x:c r="B125" s="100" t="n">
        <x:f>INDEX('Raw Stations'!$D$2:$D$299,MATCH(A125,'Raw Stations'!$A$2:$A$299,0))</x:f>
        <x:v>-0.01164070995954073</x:v>
      </x:c>
      <x:c r="C125" s="100" t="n">
        <x:f>'Raw Z'!L119</x:f>
        <x:v>-0.003106236557931692</x:v>
      </x:c>
      <x:c r="D125" s="100" t="n">
        <x:f>$B$2</x:f>
        <x:v>-0.0009288398653362757</x:v>
      </x:c>
      <x:c r="E125" s="100" t="n">
        <x:f>C125-D125</x:f>
        <x:v>-0.002177396692595416</x:v>
      </x:c>
      <x:c r="F125" s="100" t="n">
        <x:f>E125-B125</x:f>
        <x:v>0.009463313266945314</x:v>
      </x:c>
      <x:c r="G125" s="100" t="n">
        <x:f>ABS(F125)</x:f>
        <x:v>0.009463313266945314</x:v>
      </x:c>
      <x:c r="H125" s="100" t="n">
        <x:f>'Raw Z'!N119</x:f>
        <x:v>0.9627388587997177</x:v>
      </x:c>
      <x:c r="I125" t="b">
        <x:f>'Raw Z'!O119</x:f>
        <x:v>1</x:v>
      </x:c>
      <x:c r="J125" s="100" t="n">
        <x:f>IF(I125,B125,"")</x:f>
        <x:v>-0.01164070995954073</x:v>
      </x:c>
      <x:c r="K125" s="100" t="n">
        <x:f>IF(I125,E125,"")</x:f>
        <x:v>-0.002177396692595416</x:v>
      </x:c>
      <x:c r="L125" s="100" t="n">
        <x:f>IF(I125,G125,"")</x:f>
        <x:v>0.009463313266945314</x:v>
      </x:c>
      <x:c r="M125" s="100" t="n">
        <x:f>IF(I125,F125^2,"")</x:f>
        <x:v>0.00008955429798834319</x:v>
      </x:c>
      <x:c r="N125" s="100" t="n">
        <x:f>IF(I125,F125,"")</x:f>
        <x:v>0.009463313266945314</x:v>
      </x:c>
      <x:c r="P125" t="n">
        <x:f>J125</x:f>
        <x:v>-0.01164070995954073</x:v>
      </x:c>
      <x:c r="Q125" t="n">
        <x:f>K125</x:f>
        <x:v>-0.002177396692595416</x:v>
      </x:c>
    </x:row>
    <x:row r="126">
      <x:c r="A126" s="99" t="str">
        <x:f>'Raw Z'!B120</x:f>
        <x:v>00163</x:v>
      </x:c>
      <x:c r="B126" s="100" t="n">
        <x:f>INDEX('Raw Stations'!$D$2:$D$299,MATCH(A126,'Raw Stations'!$A$2:$A$299,0))</x:f>
        <x:v>-0.005360337288270491</x:v>
      </x:c>
      <x:c r="C126" s="100" t="n">
        <x:f>'Raw Z'!L120</x:f>
        <x:v>-0.007870685813807968</x:v>
      </x:c>
      <x:c r="D126" s="100" t="n">
        <x:f>$B$2</x:f>
        <x:v>-0.0009288398653362757</x:v>
      </x:c>
      <x:c r="E126" s="100" t="n">
        <x:f>C126-D126</x:f>
        <x:v>-0.006941845948471692</x:v>
      </x:c>
      <x:c r="F126" s="100" t="n">
        <x:f>E126-B126</x:f>
        <x:v>-0.0015815086602012007</x:v>
      </x:c>
      <x:c r="G126" s="100" t="n">
        <x:f>ABS(F126)</x:f>
        <x:v>0.0015815086602012007</x:v>
      </x:c>
      <x:c r="H126" s="100" t="n">
        <x:f>'Raw Z'!N120</x:f>
        <x:v>0.9717575785138495</x:v>
      </x:c>
      <x:c r="I126" t="b">
        <x:f>'Raw Z'!O120</x:f>
        <x:v>1</x:v>
      </x:c>
      <x:c r="J126" s="100" t="n">
        <x:f>IF(I126,B126,"")</x:f>
        <x:v>-0.005360337288270491</x:v>
      </x:c>
      <x:c r="K126" s="100" t="n">
        <x:f>IF(I126,E126,"")</x:f>
        <x:v>-0.006941845948471692</x:v>
      </x:c>
      <x:c r="L126" s="100" t="n">
        <x:f>IF(I126,G126,"")</x:f>
        <x:v>0.0015815086602012007</x:v>
      </x:c>
      <x:c r="M126" s="100" t="n">
        <x:f>IF(I126,F126^2,"")</x:f>
        <x:v>0.0000025011696422913968</x:v>
      </x:c>
      <x:c r="N126" s="100" t="n">
        <x:f>IF(I126,F126,"")</x:f>
        <x:v>-0.0015815086602012007</x:v>
      </x:c>
      <x:c r="P126" t="n">
        <x:f>J126</x:f>
        <x:v>-0.005360337288270491</x:v>
      </x:c>
      <x:c r="Q126" t="n">
        <x:f>K126</x:f>
        <x:v>-0.006941845948471692</x:v>
      </x:c>
    </x:row>
    <x:row r="127">
      <x:c r="A127" s="99" t="str">
        <x:f>'Raw Z'!B121</x:f>
        <x:v>00164</x:v>
      </x:c>
      <x:c r="B127" s="100" t="n">
        <x:f>INDEX('Raw Stations'!$D$2:$D$299,MATCH(A127,'Raw Stations'!$A$2:$A$299,0))</x:f>
        <x:v>0.009066754401085238</x:v>
      </x:c>
      <x:c r="C127" s="100" t="n">
        <x:f>'Raw Z'!L121</x:f>
        <x:v>-0.0007567815079631834</x:v>
      </x:c>
      <x:c r="D127" s="100" t="n">
        <x:f>$B$2</x:f>
        <x:v>-0.0009288398653362757</x:v>
      </x:c>
      <x:c r="E127" s="100" t="n">
        <x:f>C127-D127</x:f>
        <x:v>0.00017205835737309227</x:v>
      </x:c>
      <x:c r="F127" s="100" t="n">
        <x:f>E127-B127</x:f>
        <x:v>-0.008894696043712146</x:v>
      </x:c>
      <x:c r="G127" s="100" t="n">
        <x:f>ABS(F127)</x:f>
        <x:v>0.008894696043712146</x:v>
      </x:c>
      <x:c r="H127" s="100" t="n">
        <x:f>'Raw Z'!N121</x:f>
        <x:v>0.9965121684044179</x:v>
      </x:c>
      <x:c r="I127" t="b">
        <x:f>'Raw Z'!O121</x:f>
        <x:v>1</x:v>
      </x:c>
      <x:c r="J127" s="100" t="n">
        <x:f>IF(I127,B127,"")</x:f>
        <x:v>0.009066754401085238</x:v>
      </x:c>
      <x:c r="K127" s="100" t="n">
        <x:f>IF(I127,E127,"")</x:f>
        <x:v>0.00017205835737309227</x:v>
      </x:c>
      <x:c r="L127" s="100" t="n">
        <x:f>IF(I127,G127,"")</x:f>
        <x:v>0.008894696043712146</x:v>
      </x:c>
      <x:c r="M127" s="100" t="n">
        <x:f>IF(I127,F127^2,"")</x:f>
        <x:v>0.00007911561771002849</x:v>
      </x:c>
      <x:c r="N127" s="100" t="n">
        <x:f>IF(I127,F127,"")</x:f>
        <x:v>-0.008894696043712146</x:v>
      </x:c>
      <x:c r="P127" t="n">
        <x:f>J127</x:f>
        <x:v>0.009066754401085238</x:v>
      </x:c>
      <x:c r="Q127" t="n">
        <x:f>K127</x:f>
        <x:v>0.00017205835737309227</x:v>
      </x:c>
    </x:row>
    <x:row r="128">
      <x:c r="A128" s="99" t="str">
        <x:f>'Raw Z'!B122</x:f>
        <x:v>00165</x:v>
      </x:c>
      <x:c r="B128" s="100" t="n">
        <x:f>INDEX('Raw Stations'!$D$2:$D$299,MATCH(A128,'Raw Stations'!$A$2:$A$299,0))</x:f>
        <x:v>0.01762817250118931</x:v>
      </x:c>
      <x:c r="C128" s="100" t="n">
        <x:f>'Raw Z'!L122</x:f>
        <x:v>-0.01913520787160113</x:v>
      </x:c>
      <x:c r="D128" s="100" t="n">
        <x:f>$B$2</x:f>
        <x:v>-0.0009288398653362757</x:v>
      </x:c>
      <x:c r="E128" s="100" t="n">
        <x:f>C128-D128</x:f>
        <x:v>-0.018206368006264854</x:v>
      </x:c>
      <x:c r="F128" s="100" t="n">
        <x:f>E128-B128</x:f>
        <x:v>-0.03583454050745416</x:v>
      </x:c>
      <x:c r="G128" s="100" t="n">
        <x:f>ABS(F128)</x:f>
        <x:v>0.03583454050745416</x:v>
      </x:c>
      <x:c r="H128" s="100" t="n">
        <x:f>'Raw Z'!N122</x:f>
        <x:v>0.9667904236355365</x:v>
      </x:c>
      <x:c r="I128" t="b">
        <x:f>'Raw Z'!O122</x:f>
        <x:v>1</x:v>
      </x:c>
      <x:c r="J128" s="100" t="n">
        <x:f>IF(I128,B128,"")</x:f>
        <x:v>0.01762817250118931</x:v>
      </x:c>
      <x:c r="K128" s="100" t="n">
        <x:f>IF(I128,E128,"")</x:f>
        <x:v>-0.018206368006264854</x:v>
      </x:c>
      <x:c r="L128" s="100" t="n">
        <x:f>IF(I128,G128,"")</x:f>
        <x:v>0.03583454050745416</x:v>
      </x:c>
      <x:c r="M128" s="100" t="n">
        <x:f>IF(I128,F128^2,"")</x:f>
        <x:v>0.001284114293380373</x:v>
      </x:c>
      <x:c r="N128" s="100" t="n">
        <x:f>IF(I128,F128,"")</x:f>
        <x:v>-0.03583454050745416</x:v>
      </x:c>
      <x:c r="P128" t="n">
        <x:f>J128</x:f>
        <x:v>0.01762817250118931</x:v>
      </x:c>
      <x:c r="Q128" t="n">
        <x:f>K128</x:f>
        <x:v>-0.018206368006264854</x:v>
      </x:c>
    </x:row>
    <x:row r="129">
      <x:c r="A129" s="99" t="str">
        <x:f>'Raw Z'!B123</x:f>
        <x:v>00166</x:v>
      </x:c>
      <x:c r="B129" s="100" t="n">
        <x:f>INDEX('Raw Stations'!$D$2:$D$299,MATCH(A129,'Raw Stations'!$A$2:$A$299,0))</x:f>
        <x:v>0.009613964970582822</x:v>
      </x:c>
      <x:c r="C129" s="100" t="n">
        <x:f>'Raw Z'!L123</x:f>
        <x:v>-0.02684457867275732</x:v>
      </x:c>
      <x:c r="D129" s="100" t="n">
        <x:f>$B$2</x:f>
        <x:v>-0.0009288398653362757</x:v>
      </x:c>
      <x:c r="E129" s="100" t="n">
        <x:f>C129-D129</x:f>
        <x:v>-0.025915738807421044</x:v>
      </x:c>
      <x:c r="F129" s="100" t="n">
        <x:f>E129-B129</x:f>
        <x:v>-0.035529703778003865</x:v>
      </x:c>
      <x:c r="G129" s="100" t="n">
        <x:f>ABS(F129)</x:f>
        <x:v>0.035529703778003865</x:v>
      </x:c>
      <x:c r="H129" s="100" t="n">
        <x:f>'Raw Z'!N123</x:f>
        <x:v>0.7973933723358065</x:v>
      </x:c>
      <x:c r="I129" t="b">
        <x:f>'Raw Z'!O123</x:f>
        <x:v>1</x:v>
      </x:c>
      <x:c r="J129" s="100" t="n">
        <x:f>IF(I129,B129,"")</x:f>
        <x:v>0.009613964970582822</x:v>
      </x:c>
      <x:c r="K129" s="100" t="n">
        <x:f>IF(I129,E129,"")</x:f>
        <x:v>-0.025915738807421044</x:v>
      </x:c>
      <x:c r="L129" s="100" t="n">
        <x:f>IF(I129,G129,"")</x:f>
        <x:v>0.035529703778003865</x:v>
      </x:c>
      <x:c r="M129" s="100" t="n">
        <x:f>IF(I129,F129^2,"")</x:f>
        <x:v>0.001262359850552702</x:v>
      </x:c>
      <x:c r="N129" s="100" t="n">
        <x:f>IF(I129,F129,"")</x:f>
        <x:v>-0.035529703778003865</x:v>
      </x:c>
      <x:c r="P129" t="n">
        <x:f>J129</x:f>
        <x:v>0.009613964970582822</x:v>
      </x:c>
      <x:c r="Q129" t="n">
        <x:f>K129</x:f>
        <x:v>-0.025915738807421044</x:v>
      </x:c>
    </x:row>
    <x:row r="130">
      <x:c r="A130" s="99" t="str">
        <x:f>'Raw Z'!B124</x:f>
        <x:v>00167</x:v>
      </x:c>
      <x:c r="B130" s="100" t="n">
        <x:f>INDEX('Raw Stations'!$D$2:$D$299,MATCH(A130,'Raw Stations'!$A$2:$A$299,0))</x:f>
        <x:v>0.008180611803975802</x:v>
      </x:c>
      <x:c r="C130" s="100" t="n">
        <x:f>'Raw Z'!L124</x:f>
        <x:v>-0.02328491479441517</x:v>
      </x:c>
      <x:c r="D130" s="100" t="n">
        <x:f>$B$2</x:f>
        <x:v>-0.0009288398653362757</x:v>
      </x:c>
      <x:c r="E130" s="100" t="n">
        <x:f>C130-D130</x:f>
        <x:v>-0.022356074929078894</x:v>
      </x:c>
      <x:c r="F130" s="100" t="n">
        <x:f>E130-B130</x:f>
        <x:v>-0.030536686733054694</x:v>
      </x:c>
      <x:c r="G130" s="100" t="n">
        <x:f>ABS(F130)</x:f>
        <x:v>0.030536686733054694</x:v>
      </x:c>
      <x:c r="H130" s="100" t="n">
        <x:f>'Raw Z'!N124</x:f>
        <x:v>0.7002822101031462</x:v>
      </x:c>
      <x:c r="I130" t="b">
        <x:f>'Raw Z'!O124</x:f>
        <x:v>1</x:v>
      </x:c>
      <x:c r="J130" s="100" t="n">
        <x:f>IF(I130,B130,"")</x:f>
        <x:v>0.008180611803975802</x:v>
      </x:c>
      <x:c r="K130" s="100" t="n">
        <x:f>IF(I130,E130,"")</x:f>
        <x:v>-0.022356074929078894</x:v>
      </x:c>
      <x:c r="L130" s="100" t="n">
        <x:f>IF(I130,G130,"")</x:f>
        <x:v>0.030536686733054694</x:v>
      </x:c>
      <x:c r="M130" s="100" t="n">
        <x:f>IF(I130,F130^2,"")</x:f>
        <x:v>0.0009324892366327185</x:v>
      </x:c>
      <x:c r="N130" s="100" t="n">
        <x:f>IF(I130,F130,"")</x:f>
        <x:v>-0.030536686733054694</x:v>
      </x:c>
      <x:c r="P130" t="n">
        <x:f>J130</x:f>
        <x:v>0.008180611803975802</x:v>
      </x:c>
      <x:c r="Q130" t="n">
        <x:f>K130</x:f>
        <x:v>-0.022356074929078894</x:v>
      </x:c>
    </x:row>
    <x:row r="131">
      <x:c r="A131" s="99" t="str">
        <x:f>'Raw Z'!B125</x:f>
        <x:v>00168</x:v>
      </x:c>
      <x:c r="B131" s="100" t="n">
        <x:f>INDEX('Raw Stations'!$D$2:$D$299,MATCH(A131,'Raw Stations'!$A$2:$A$299,0))</x:f>
        <x:v>0.008587878213091081</x:v>
      </x:c>
      <x:c r="C131" s="100" t="n">
        <x:f>'Raw Z'!L125</x:f>
        <x:v>0.0178364817344394</x:v>
      </x:c>
      <x:c r="D131" s="100" t="n">
        <x:f>$B$2</x:f>
        <x:v>-0.0009288398653362757</x:v>
      </x:c>
      <x:c r="E131" s="100" t="n">
        <x:f>C131-D131</x:f>
        <x:v>0.018765321599775675</x:v>
      </x:c>
      <x:c r="F131" s="100" t="n">
        <x:f>E131-B131</x:f>
        <x:v>0.010177443386684594</x:v>
      </x:c>
      <x:c r="G131" s="100" t="n">
        <x:f>ABS(F131)</x:f>
        <x:v>0.010177443386684594</x:v>
      </x:c>
      <x:c r="H131" s="100" t="n">
        <x:f>'Raw Z'!N125</x:f>
        <x:v>0.545054338778686</x:v>
      </x:c>
      <x:c r="I131" t="b">
        <x:f>'Raw Z'!O125</x:f>
        <x:v>0</x:v>
      </x:c>
      <x:c r="J131" s="100" t="str">
        <x:f>IF(I131,B131,"")</x:f>
      </x:c>
      <x:c r="K131" s="100" t="str">
        <x:f>IF(I131,E131,"")</x:f>
      </x:c>
      <x:c r="L131" s="100" t="str">
        <x:f>IF(I131,G131,"")</x:f>
      </x:c>
      <x:c r="M131" s="100" t="str">
        <x:f>IF(I131,F131^2,"")</x:f>
      </x:c>
      <x:c r="N131" s="100" t="str">
        <x:f>IF(I131,F131,"")</x:f>
      </x:c>
      <x:c r="P131" t="str">
        <x:f>J131</x:f>
      </x:c>
      <x:c r="Q131" t="str">
        <x:f>K131</x:f>
      </x:c>
    </x:row>
    <x:row r="132">
      <x:c r="A132" s="99" t="str">
        <x:f>'Raw Z'!B126</x:f>
        <x:v>00169</x:v>
      </x:c>
      <x:c r="B132" s="100" t="n">
        <x:f>INDEX('Raw Stations'!$D$2:$D$299,MATCH(A132,'Raw Stations'!$A$2:$A$299,0))</x:f>
        <x:v>0.01140518142590066</x:v>
      </x:c>
      <x:c r="C132" s="100" t="n">
        <x:f>'Raw Z'!L126</x:f>
        <x:v>0.04158164551685224</x:v>
      </x:c>
      <x:c r="D132" s="100" t="n">
        <x:f>$B$2</x:f>
        <x:v>-0.0009288398653362757</x:v>
      </x:c>
      <x:c r="E132" s="100" t="n">
        <x:f>C132-D132</x:f>
        <x:v>0.04251048538218852</x:v>
      </x:c>
      <x:c r="F132" s="100" t="n">
        <x:f>E132-B132</x:f>
        <x:v>0.031105303956287855</x:v>
      </x:c>
      <x:c r="G132" s="100" t="n">
        <x:f>ABS(F132)</x:f>
        <x:v>0.031105303956287855</x:v>
      </x:c>
      <x:c r="H132" s="100" t="n">
        <x:f>'Raw Z'!N126</x:f>
        <x:v>0.6458977918906975</x:v>
      </x:c>
      <x:c r="I132" t="b">
        <x:f>'Raw Z'!O126</x:f>
        <x:v>1</x:v>
      </x:c>
      <x:c r="J132" s="100" t="n">
        <x:f>IF(I132,B132,"")</x:f>
        <x:v>0.01140518142590066</x:v>
      </x:c>
      <x:c r="K132" s="100" t="n">
        <x:f>IF(I132,E132,"")</x:f>
        <x:v>0.04251048538218852</x:v>
      </x:c>
      <x:c r="L132" s="100" t="n">
        <x:f>IF(I132,G132,"")</x:f>
        <x:v>0.031105303956287855</x:v>
      </x:c>
      <x:c r="M132" s="100" t="n">
        <x:f>IF(I132,F132^2,"")</x:f>
        <x:v>0.0009675399342130569</x:v>
      </x:c>
      <x:c r="N132" s="100" t="n">
        <x:f>IF(I132,F132,"")</x:f>
        <x:v>0.031105303956287855</x:v>
      </x:c>
      <x:c r="P132" t="n">
        <x:f>J132</x:f>
        <x:v>0.01140518142590066</x:v>
      </x:c>
      <x:c r="Q132" t="n">
        <x:f>K132</x:f>
        <x:v>0.04251048538218852</x:v>
      </x:c>
    </x:row>
    <x:row r="133">
      <x:c r="A133" s="99" t="str">
        <x:f>'Raw Z'!B127</x:f>
        <x:v>00170</x:v>
      </x:c>
      <x:c r="B133" s="100" t="n">
        <x:f>INDEX('Raw Stations'!$D$2:$D$299,MATCH(A133,'Raw Stations'!$A$2:$A$299,0))</x:f>
        <x:v>0.02580311407847424</x:v>
      </x:c>
      <x:c r="C133" s="100" t="n">
        <x:f>'Raw Z'!L127</x:f>
        <x:v>-0.02002042183057418</x:v>
      </x:c>
      <x:c r="D133" s="100" t="n">
        <x:f>$B$2</x:f>
        <x:v>-0.0009288398653362757</x:v>
      </x:c>
      <x:c r="E133" s="100" t="n">
        <x:f>C133-D133</x:f>
        <x:v>-0.019091581965237903</x:v>
      </x:c>
      <x:c r="F133" s="100" t="n">
        <x:f>E133-B133</x:f>
        <x:v>-0.04489469604371214</x:v>
      </x:c>
      <x:c r="G133" s="100" t="n">
        <x:f>ABS(F133)</x:f>
        <x:v>0.04489469604371214</x:v>
      </x:c>
      <x:c r="H133" s="100" t="n">
        <x:f>'Raw Z'!N127</x:f>
        <x:v>0.8247630931773274</x:v>
      </x:c>
      <x:c r="I133" t="b">
        <x:f>'Raw Z'!O127</x:f>
        <x:v>1</x:v>
      </x:c>
      <x:c r="J133" s="100" t="n">
        <x:f>IF(I133,B133,"")</x:f>
        <x:v>0.02580311407847424</x:v>
      </x:c>
      <x:c r="K133" s="100" t="n">
        <x:f>IF(I133,E133,"")</x:f>
        <x:v>-0.019091581965237903</x:v>
      </x:c>
      <x:c r="L133" s="100" t="n">
        <x:f>IF(I133,G133,"")</x:f>
        <x:v>0.04489469604371214</x:v>
      </x:c>
      <x:c r="M133" s="100" t="n">
        <x:f>IF(I133,F133^2,"")</x:f>
        <x:v>0.0020155337328573025</x:v>
      </x:c>
      <x:c r="N133" s="100" t="n">
        <x:f>IF(I133,F133,"")</x:f>
        <x:v>-0.04489469604371214</x:v>
      </x:c>
      <x:c r="P133" t="n">
        <x:f>J133</x:f>
        <x:v>0.02580311407847424</x:v>
      </x:c>
      <x:c r="Q133" t="n">
        <x:f>K133</x:f>
        <x:v>-0.019091581965237903</x:v>
      </x:c>
    </x:row>
    <x:row r="134">
      <x:c r="A134" s="99" t="str">
        <x:f>'Raw Z'!B128</x:f>
        <x:v>00172</x:v>
      </x:c>
      <x:c r="B134" s="100" t="n">
        <x:f>INDEX('Raw Stations'!$D$2:$D$299,MATCH(A134,'Raw Stations'!$A$2:$A$299,0))</x:f>
        <x:v>0.01661207426215918</x:v>
      </x:c>
      <x:c r="C134" s="100" t="n">
        <x:f>'Raw Z'!L128</x:f>
        <x:v>0.04909342839234912</x:v>
      </x:c>
      <x:c r="D134" s="100" t="n">
        <x:f>$B$2</x:f>
        <x:v>-0.0009288398653362757</x:v>
      </x:c>
      <x:c r="E134" s="100" t="n">
        <x:f>C134-D134</x:f>
        <x:v>0.050022268257685396</x:v>
      </x:c>
      <x:c r="F134" s="100" t="n">
        <x:f>E134-B134</x:f>
        <x:v>0.033410193995526215</x:v>
      </x:c>
      <x:c r="G134" s="100" t="n">
        <x:f>ABS(F134)</x:f>
        <x:v>0.033410193995526215</x:v>
      </x:c>
      <x:c r="H134" s="100" t="n">
        <x:f>'Raw Z'!N128</x:f>
        <x:v>0.8523841113108188</x:v>
      </x:c>
      <x:c r="I134" t="b">
        <x:f>'Raw Z'!O128</x:f>
        <x:v>1</x:v>
      </x:c>
      <x:c r="J134" s="100" t="n">
        <x:f>IF(I134,B134,"")</x:f>
        <x:v>0.01661207426215918</x:v>
      </x:c>
      <x:c r="K134" s="100" t="n">
        <x:f>IF(I134,E134,"")</x:f>
        <x:v>0.050022268257685396</x:v>
      </x:c>
      <x:c r="L134" s="100" t="n">
        <x:f>IF(I134,G134,"")</x:f>
        <x:v>0.033410193995526215</x:v>
      </x:c>
      <x:c r="M134" s="100" t="n">
        <x:f>IF(I134,F134^2,"")</x:f>
        <x:v>0.001116241062818696</x:v>
      </x:c>
      <x:c r="N134" s="100" t="n">
        <x:f>IF(I134,F134,"")</x:f>
        <x:v>0.033410193995526215</x:v>
      </x:c>
      <x:c r="P134" t="n">
        <x:f>J134</x:f>
        <x:v>0.01661207426215918</x:v>
      </x:c>
      <x:c r="Q134" t="n">
        <x:f>K134</x:f>
        <x:v>0.050022268257685396</x:v>
      </x:c>
    </x:row>
    <x:row r="135">
      <x:c r="A135" s="99" t="str">
        <x:f>'Raw Z'!B129</x:f>
        <x:v>00173</x:v>
      </x:c>
      <x:c r="B135" s="100" t="n">
        <x:f>INDEX('Raw Stations'!$D$2:$D$299,MATCH(A135,'Raw Stations'!$A$2:$A$299,0))</x:f>
        <x:v>0.001890886602348679</x:v>
      </x:c>
      <x:c r="C135" s="100" t="n">
        <x:f>'Raw Z'!L129</x:f>
        <x:v>-0.0216667120402563</x:v>
      </x:c>
      <x:c r="D135" s="100" t="n">
        <x:f>$B$2</x:f>
        <x:v>-0.0009288398653362757</x:v>
      </x:c>
      <x:c r="E135" s="100" t="n">
        <x:f>C135-D135</x:f>
        <x:v>-0.020737872174920024</x:v>
      </x:c>
      <x:c r="F135" s="100" t="n">
        <x:f>E135-B135</x:f>
        <x:v>-0.022628758777268703</x:v>
      </x:c>
      <x:c r="G135" s="100" t="n">
        <x:f>ABS(F135)</x:f>
        <x:v>0.022628758777268703</x:v>
      </x:c>
      <x:c r="H135" s="100" t="n">
        <x:f>'Raw Z'!N129</x:f>
        <x:v>0.696886851813523</x:v>
      </x:c>
      <x:c r="I135" t="b">
        <x:f>'Raw Z'!O129</x:f>
        <x:v>1</x:v>
      </x:c>
      <x:c r="J135" s="100" t="n">
        <x:f>IF(I135,B135,"")</x:f>
        <x:v>0.001890886602348679</x:v>
      </x:c>
      <x:c r="K135" s="100" t="n">
        <x:f>IF(I135,E135,"")</x:f>
        <x:v>-0.020737872174920024</x:v>
      </x:c>
      <x:c r="L135" s="100" t="n">
        <x:f>IF(I135,G135,"")</x:f>
        <x:v>0.022628758777268703</x:v>
      </x:c>
      <x:c r="M135" s="100" t="n">
        <x:f>IF(I135,F135^2,"")</x:f>
        <x:v>0.0005120607237998154</x:v>
      </x:c>
      <x:c r="N135" s="100" t="n">
        <x:f>IF(I135,F135,"")</x:f>
        <x:v>-0.022628758777268703</x:v>
      </x:c>
      <x:c r="P135" t="n">
        <x:f>J135</x:f>
        <x:v>0.001890886602348679</x:v>
      </x:c>
      <x:c r="Q135" t="n">
        <x:f>K135</x:f>
        <x:v>-0.020737872174920024</x:v>
      </x:c>
    </x:row>
    <x:row r="136">
      <x:c r="A136" s="99" t="str">
        <x:f>'Raw Z'!B130</x:f>
        <x:v>00174</x:v>
      </x:c>
      <x:c r="B136" s="100" t="n">
        <x:f>INDEX('Raw Stations'!$D$2:$D$299,MATCH(A136,'Raw Stations'!$A$2:$A$299,0))</x:f>
        <x:v>-0.01099566257145661</x:v>
      </x:c>
      <x:c r="C136" s="100" t="n">
        <x:f>'Raw Z'!L130</x:f>
        <x:v>-0.003546171308675239</x:v>
      </x:c>
      <x:c r="D136" s="100" t="n">
        <x:f>$B$2</x:f>
        <x:v>-0.0009288398653362757</x:v>
      </x:c>
      <x:c r="E136" s="100" t="n">
        <x:f>C136-D136</x:f>
        <x:v>-0.0026173314433389633</x:v>
      </x:c>
      <x:c r="F136" s="100" t="n">
        <x:f>E136-B136</x:f>
        <x:v>0.008378331128117646</x:v>
      </x:c>
      <x:c r="G136" s="100" t="n">
        <x:f>ABS(F136)</x:f>
        <x:v>0.008378331128117646</x:v>
      </x:c>
      <x:c r="H136" s="100" t="n">
        <x:f>'Raw Z'!N130</x:f>
        <x:v>0.8854774879227416</x:v>
      </x:c>
      <x:c r="I136" t="b">
        <x:f>'Raw Z'!O130</x:f>
        <x:v>1</x:v>
      </x:c>
      <x:c r="J136" s="100" t="n">
        <x:f>IF(I136,B136,"")</x:f>
        <x:v>-0.01099566257145661</x:v>
      </x:c>
      <x:c r="K136" s="100" t="n">
        <x:f>IF(I136,E136,"")</x:f>
        <x:v>-0.0026173314433389633</x:v>
      </x:c>
      <x:c r="L136" s="100" t="n">
        <x:f>IF(I136,G136,"")</x:f>
        <x:v>0.008378331128117646</x:v>
      </x:c>
      <x:c r="M136" s="100" t="n">
        <x:f>IF(I136,F136^2,"")</x:f>
        <x:v>0.0000701964324923851</x:v>
      </x:c>
      <x:c r="N136" s="100" t="n">
        <x:f>IF(I136,F136,"")</x:f>
        <x:v>0.008378331128117646</x:v>
      </x:c>
      <x:c r="P136" t="n">
        <x:f>J136</x:f>
        <x:v>-0.01099566257145661</x:v>
      </x:c>
      <x:c r="Q136" t="n">
        <x:f>K136</x:f>
        <x:v>-0.0026173314433389633</x:v>
      </x:c>
    </x:row>
    <x:row r="137">
      <x:c r="A137" s="99" t="str">
        <x:f>'Raw Z'!B131</x:f>
        <x:v>00175</x:v>
      </x:c>
      <x:c r="B137" s="100" t="n">
        <x:f>INDEX('Raw Stations'!$D$2:$D$299,MATCH(A137,'Raw Stations'!$A$2:$A$299,0))</x:f>
        <x:v>0.03054522035927432</x:v>
      </x:c>
      <x:c r="C137" s="100" t="n">
        <x:f>'Raw Z'!L131</x:f>
        <x:v>-0.003327920148163029</x:v>
      </x:c>
      <x:c r="D137" s="100" t="n">
        <x:f>$B$2</x:f>
        <x:v>-0.0009288398653362757</x:v>
      </x:c>
      <x:c r="E137" s="100" t="n">
        <x:f>C137-D137</x:f>
        <x:v>-0.0023990802828267534</x:v>
      </x:c>
      <x:c r="F137" s="100" t="n">
        <x:f>E137-B137</x:f>
        <x:v>-0.032944300642101076</x:v>
      </x:c>
      <x:c r="G137" s="100" t="n">
        <x:f>ABS(F137)</x:f>
        <x:v>0.032944300642101076</x:v>
      </x:c>
      <x:c r="H137" s="100" t="n">
        <x:f>'Raw Z'!N131</x:f>
        <x:v>0.8884772639421007</x:v>
      </x:c>
      <x:c r="I137" t="b">
        <x:f>'Raw Z'!O131</x:f>
        <x:v>1</x:v>
      </x:c>
      <x:c r="J137" s="100" t="n">
        <x:f>IF(I137,B137,"")</x:f>
        <x:v>0.03054522035927432</x:v>
      </x:c>
      <x:c r="K137" s="100" t="n">
        <x:f>IF(I137,E137,"")</x:f>
        <x:v>-0.0023990802828267534</x:v>
      </x:c>
      <x:c r="L137" s="100" t="n">
        <x:f>IF(I137,G137,"")</x:f>
        <x:v>0.032944300642101076</x:v>
      </x:c>
      <x:c r="M137" s="100" t="n">
        <x:f>IF(I137,F137^2,"")</x:f>
        <x:v>0.0010853269447971413</x:v>
      </x:c>
      <x:c r="N137" s="100" t="n">
        <x:f>IF(I137,F137,"")</x:f>
        <x:v>-0.032944300642101076</x:v>
      </x:c>
      <x:c r="P137" t="n">
        <x:f>J137</x:f>
        <x:v>0.03054522035927432</x:v>
      </x:c>
      <x:c r="Q137" t="n">
        <x:f>K137</x:f>
        <x:v>-0.0023990802828267534</x:v>
      </x:c>
    </x:row>
    <x:row r="138">
      <x:c r="A138" s="99" t="str">
        <x:f>'Raw Z'!B132</x:f>
        <x:v>00176</x:v>
      </x:c>
      <x:c r="B138" s="100" t="n">
        <x:f>INDEX('Raw Stations'!$D$2:$D$299,MATCH(A138,'Raw Stations'!$A$2:$A$299,0))</x:f>
        <x:v>-0.01182894483360597</x:v>
      </x:c>
      <x:c r="C138" s="100" t="n">
        <x:f>'Raw Z'!L132</x:f>
        <x:v>0.003712511523053887</x:v>
      </x:c>
      <x:c r="D138" s="100" t="n">
        <x:f>$B$2</x:f>
        <x:v>-0.0009288398653362757</x:v>
      </x:c>
      <x:c r="E138" s="100" t="n">
        <x:f>C138-D138</x:f>
        <x:v>0.004641351388390163</x:v>
      </x:c>
      <x:c r="F138" s="100" t="n">
        <x:f>E138-B138</x:f>
        <x:v>0.016470296221996132</x:v>
      </x:c>
      <x:c r="G138" s="100" t="n">
        <x:f>ABS(F138)</x:f>
        <x:v>0.016470296221996132</x:v>
      </x:c>
      <x:c r="H138" s="100" t="n">
        <x:f>'Raw Z'!N132</x:f>
        <x:v>0.9736156948869176</x:v>
      </x:c>
      <x:c r="I138" t="b">
        <x:f>'Raw Z'!O132</x:f>
        <x:v>1</x:v>
      </x:c>
      <x:c r="J138" s="100" t="n">
        <x:f>IF(I138,B138,"")</x:f>
        <x:v>-0.01182894483360597</x:v>
      </x:c>
      <x:c r="K138" s="100" t="n">
        <x:f>IF(I138,E138,"")</x:f>
        <x:v>0.004641351388390163</x:v>
      </x:c>
      <x:c r="L138" s="100" t="n">
        <x:f>IF(I138,G138,"")</x:f>
        <x:v>0.016470296221996132</x:v>
      </x:c>
      <x:c r="M138" s="100" t="n">
        <x:f>IF(I138,F138^2,"")</x:f>
        <x:v>0.00027127065764030007</x:v>
      </x:c>
      <x:c r="N138" s="100" t="n">
        <x:f>IF(I138,F138,"")</x:f>
        <x:v>0.016470296221996132</x:v>
      </x:c>
      <x:c r="P138" t="n">
        <x:f>J138</x:f>
        <x:v>-0.01182894483360597</x:v>
      </x:c>
      <x:c r="Q138" t="n">
        <x:f>K138</x:f>
        <x:v>0.004641351388390163</x:v>
      </x:c>
    </x:row>
    <x:row r="139">
      <x:c r="A139" s="99" t="str">
        <x:f>'Raw Z'!B133</x:f>
        <x:v>00177</x:v>
      </x:c>
      <x:c r="B139" s="100" t="n">
        <x:f>INDEX('Raw Stations'!$D$2:$D$299,MATCH(A139,'Raw Stations'!$A$2:$A$299,0))</x:f>
        <x:v>-0.01351927101027975</x:v>
      </x:c>
      <x:c r="C139" s="100" t="n">
        <x:f>'Raw Z'!L133</x:f>
        <x:v>0.0006571930806718307</x:v>
      </x:c>
      <x:c r="D139" s="100" t="n">
        <x:f>$B$2</x:f>
        <x:v>-0.0009288398653362757</x:v>
      </x:c>
      <x:c r="E139" s="100" t="n">
        <x:f>C139-D139</x:f>
        <x:v>0.0015860329460081063</x:v>
      </x:c>
      <x:c r="F139" s="100" t="n">
        <x:f>E139-B139</x:f>
        <x:v>0.015105303956287857</x:v>
      </x:c>
      <x:c r="G139" s="100" t="n">
        <x:f>ABS(F139)</x:f>
        <x:v>0.015105303956287857</x:v>
      </x:c>
      <x:c r="H139" s="100" t="n">
        <x:f>'Raw Z'!N133</x:f>
        <x:v>0.9880996225007278</x:v>
      </x:c>
      <x:c r="I139" t="b">
        <x:f>'Raw Z'!O133</x:f>
        <x:v>1</x:v>
      </x:c>
      <x:c r="J139" s="100" t="n">
        <x:f>IF(I139,B139,"")</x:f>
        <x:v>-0.01351927101027975</x:v>
      </x:c>
      <x:c r="K139" s="100" t="n">
        <x:f>IF(I139,E139,"")</x:f>
        <x:v>0.0015860329460081063</x:v>
      </x:c>
      <x:c r="L139" s="100" t="n">
        <x:f>IF(I139,G139,"")</x:f>
        <x:v>0.015105303956287857</x:v>
      </x:c>
      <x:c r="M139" s="100" t="n">
        <x:f>IF(I139,F139^2,"")</x:f>
        <x:v>0.00022817020761184558</x:v>
      </x:c>
      <x:c r="N139" s="100" t="n">
        <x:f>IF(I139,F139,"")</x:f>
        <x:v>0.015105303956287857</x:v>
      </x:c>
      <x:c r="P139" t="n">
        <x:f>J139</x:f>
        <x:v>-0.01351927101027975</x:v>
      </x:c>
      <x:c r="Q139" t="n">
        <x:f>K139</x:f>
        <x:v>0.0015860329460081063</x:v>
      </x:c>
    </x:row>
    <x:row r="140">
      <x:c r="A140" s="99" t="str">
        <x:f>'Raw Z'!B134</x:f>
        <x:v>00178</x:v>
      </x:c>
      <x:c r="B140" s="100" t="n">
        <x:f>INDEX('Raw Stations'!$D$2:$D$299,MATCH(A140,'Raw Stations'!$A$2:$A$299,0))</x:f>
        <x:v>-0.016410237551615</x:v>
      </x:c>
      <x:c r="C140" s="100" t="n">
        <x:f>'Raw Z'!L134</x:f>
        <x:v>-0.003953327302939045</x:v>
      </x:c>
      <x:c r="D140" s="100" t="n">
        <x:f>$B$2</x:f>
        <x:v>-0.0009288398653362757</x:v>
      </x:c>
      <x:c r="E140" s="100" t="n">
        <x:f>C140-D140</x:f>
        <x:v>-0.0030244874376027693</x:v>
      </x:c>
      <x:c r="F140" s="100" t="n">
        <x:f>E140-B140</x:f>
        <x:v>0.013385750114012232</x:v>
      </x:c>
      <x:c r="G140" s="100" t="n">
        <x:f>ABS(F140)</x:f>
        <x:v>0.013385750114012232</x:v>
      </x:c>
      <x:c r="H140" s="100" t="n">
        <x:f>'Raw Z'!N134</x:f>
        <x:v>0.9732383692050961</x:v>
      </x:c>
      <x:c r="I140" t="b">
        <x:f>'Raw Z'!O134</x:f>
        <x:v>1</x:v>
      </x:c>
      <x:c r="J140" s="100" t="n">
        <x:f>IF(I140,B140,"")</x:f>
        <x:v>-0.016410237551615</x:v>
      </x:c>
      <x:c r="K140" s="100" t="n">
        <x:f>IF(I140,E140,"")</x:f>
        <x:v>-0.0030244874376027693</x:v>
      </x:c>
      <x:c r="L140" s="100" t="n">
        <x:f>IF(I140,G140,"")</x:f>
        <x:v>0.013385750114012232</x:v>
      </x:c>
      <x:c r="M140" s="100" t="n">
        <x:f>IF(I140,F140^2,"")</x:f>
        <x:v>0.0001791783061147785</x:v>
      </x:c>
      <x:c r="N140" s="100" t="n">
        <x:f>IF(I140,F140,"")</x:f>
        <x:v>0.013385750114012232</x:v>
      </x:c>
      <x:c r="P140" t="n">
        <x:f>J140</x:f>
        <x:v>-0.016410237551615</x:v>
      </x:c>
      <x:c r="Q140" t="n">
        <x:f>K140</x:f>
        <x:v>-0.0030244874376027693</x:v>
      </x:c>
    </x:row>
    <x:row r="141">
      <x:c r="A141" s="99" t="str">
        <x:f>'Raw Z'!B135</x:f>
        <x:v>00180</x:v>
      </x:c>
      <x:c r="B141" s="100" t="n">
        <x:f>INDEX('Raw Stations'!$D$2:$D$299,MATCH(A141,'Raw Stations'!$A$2:$A$299,0))</x:f>
        <x:v>0.006782414507763993</x:v>
      </x:c>
      <x:c r="C141" s="100" t="n">
        <x:f>'Raw Z'!L135</x:f>
        <x:v>0.003316887909373015</x:v>
      </x:c>
      <x:c r="D141" s="100" t="n">
        <x:f>$B$2</x:f>
        <x:v>-0.0009288398653362757</x:v>
      </x:c>
      <x:c r="E141" s="100" t="n">
        <x:f>C141-D141</x:f>
        <x:v>0.004245727774709291</x:v>
      </x:c>
      <x:c r="F141" s="100" t="n">
        <x:f>E141-B141</x:f>
        <x:v>-0.002536686733054702</x:v>
      </x:c>
      <x:c r="G141" s="100" t="n">
        <x:f>ABS(F141)</x:f>
        <x:v>0.002536686733054702</x:v>
      </x:c>
      <x:c r="H141" s="100" t="n">
        <x:f>'Raw Z'!N135</x:f>
        <x:v>0.9920329857766086</x:v>
      </x:c>
      <x:c r="I141" t="b">
        <x:f>'Raw Z'!O135</x:f>
        <x:v>1</x:v>
      </x:c>
      <x:c r="J141" s="100" t="n">
        <x:f>IF(I141,B141,"")</x:f>
        <x:v>0.006782414507763993</x:v>
      </x:c>
      <x:c r="K141" s="100" t="n">
        <x:f>IF(I141,E141,"")</x:f>
        <x:v>0.004245727774709291</x:v>
      </x:c>
      <x:c r="L141" s="100" t="n">
        <x:f>IF(I141,G141,"")</x:f>
        <x:v>0.002536686733054702</x:v>
      </x:c>
      <x:c r="M141" s="100" t="n">
        <x:f>IF(I141,F141^2,"")</x:f>
        <x:v>0.000006434779581655736</x:v>
      </x:c>
      <x:c r="N141" s="100" t="n">
        <x:f>IF(I141,F141,"")</x:f>
        <x:v>-0.002536686733054702</x:v>
      </x:c>
      <x:c r="P141" t="n">
        <x:f>J141</x:f>
        <x:v>0.006782414507763993</x:v>
      </x:c>
      <x:c r="Q141" t="n">
        <x:f>K141</x:f>
        <x:v>0.004245727774709291</x:v>
      </x:c>
    </x:row>
    <x:row r="142">
      <x:c r="A142" s="99" t="str">
        <x:f>'Raw Z'!B136</x:f>
        <x:v>00181</x:v>
      </x:c>
      <x:c r="B142" s="100" t="n">
        <x:f>INDEX('Raw Stations'!$D$2:$D$299,MATCH(A142,'Raw Stations'!$A$2:$A$299,0))</x:f>
        <x:v>0.01851034852553748</x:v>
      </x:c>
      <x:c r="C142" s="100" t="n">
        <x:f>'Raw Z'!L136</x:f>
        <x:v>0</x:v>
      </x:c>
      <x:c r="D142" s="100" t="n">
        <x:f>$B$2</x:f>
        <x:v>-0.0009288398653362757</x:v>
      </x:c>
      <x:c r="E142" s="100" t="n">
        <x:f>C142-D142</x:f>
        <x:v>0.0009288398653362757</x:v>
      </x:c>
      <x:c r="F142" s="100" t="n">
        <x:f>E142-B142</x:f>
        <x:v>-0.017581508660201205</x:v>
      </x:c>
      <x:c r="G142" s="100" t="n">
        <x:f>ABS(F142)</x:f>
        <x:v>0.017581508660201205</x:v>
      </x:c>
      <x:c r="H142" s="100" t="n">
        <x:f>'Raw Z'!N136</x:f>
        <x:v>0.9655103122922313</x:v>
      </x:c>
      <x:c r="I142" t="b">
        <x:f>'Raw Z'!O136</x:f>
        <x:v>1</x:v>
      </x:c>
      <x:c r="J142" s="100" t="n">
        <x:f>IF(I142,B142,"")</x:f>
        <x:v>0.01851034852553748</x:v>
      </x:c>
      <x:c r="K142" s="100" t="n">
        <x:f>IF(I142,E142,"")</x:f>
        <x:v>0.0009288398653362757</x:v>
      </x:c>
      <x:c r="L142" s="100" t="n">
        <x:f>IF(I142,G142,"")</x:f>
        <x:v>0.017581508660201205</x:v>
      </x:c>
      <x:c r="M142" s="100" t="n">
        <x:f>IF(I142,F142^2,"")</x:f>
        <x:v>0.00030910944676873</x:v>
      </x:c>
      <x:c r="N142" s="100" t="n">
        <x:f>IF(I142,F142,"")</x:f>
        <x:v>-0.017581508660201205</x:v>
      </x:c>
      <x:c r="P142" t="n">
        <x:f>J142</x:f>
        <x:v>0.01851034852553748</x:v>
      </x:c>
      <x:c r="Q142" t="n">
        <x:f>K142</x:f>
        <x:v>0.0009288398653362757</x:v>
      </x:c>
    </x:row>
    <x:row r="143">
      <x:c r="A143" s="99" t="str">
        <x:f>'Raw Z'!B137</x:f>
        <x:v>00182</x:v>
      </x:c>
      <x:c r="B143" s="100" t="n">
        <x:f>INDEX('Raw Stations'!$D$2:$D$299,MATCH(A143,'Raw Stations'!$A$2:$A$299,0))</x:f>
        <x:v>0.01835378137447511</x:v>
      </x:c>
      <x:c r="C143" s="100" t="n">
        <x:f>'Raw Z'!L137</x:f>
        <x:v>-0.03410476226886503</x:v>
      </x:c>
      <x:c r="D143" s="100" t="n">
        <x:f>$B$2</x:f>
        <x:v>-0.0009288398653362757</x:v>
      </x:c>
      <x:c r="E143" s="100" t="n">
        <x:f>C143-D143</x:f>
        <x:v>-0.033175922403528756</x:v>
      </x:c>
      <x:c r="F143" s="100" t="n">
        <x:f>E143-B143</x:f>
        <x:v>-0.051529703778003866</x:v>
      </x:c>
      <x:c r="G143" s="100" t="n">
        <x:f>ABS(F143)</x:f>
        <x:v>0.051529703778003866</x:v>
      </x:c>
      <x:c r="H143" s="100" t="n">
        <x:f>'Raw Z'!N137</x:f>
        <x:v>0.7999607991349744</x:v>
      </x:c>
      <x:c r="I143" t="b">
        <x:f>'Raw Z'!O137</x:f>
        <x:v>1</x:v>
      </x:c>
      <x:c r="J143" s="100" t="n">
        <x:f>IF(I143,B143,"")</x:f>
        <x:v>0.01835378137447511</x:v>
      </x:c>
      <x:c r="K143" s="100" t="n">
        <x:f>IF(I143,E143,"")</x:f>
        <x:v>-0.033175922403528756</x:v>
      </x:c>
      <x:c r="L143" s="100" t="n">
        <x:f>IF(I143,G143,"")</x:f>
        <x:v>0.051529703778003866</x:v>
      </x:c>
      <x:c r="M143" s="100" t="n">
        <x:f>IF(I143,F143^2,"")</x:f>
        <x:v>0.002655310371448826</x:v>
      </x:c>
      <x:c r="N143" s="100" t="n">
        <x:f>IF(I143,F143,"")</x:f>
        <x:v>-0.051529703778003866</x:v>
      </x:c>
      <x:c r="P143" t="n">
        <x:f>J143</x:f>
        <x:v>0.01835378137447511</x:v>
      </x:c>
      <x:c r="Q143" t="n">
        <x:f>K143</x:f>
        <x:v>-0.033175922403528756</x:v>
      </x:c>
    </x:row>
    <x:row r="144">
      <x:c r="A144" s="99" t="str">
        <x:f>'Raw Z'!B138</x:f>
        <x:v>00183</x:v>
      </x:c>
      <x:c r="B144" s="100" t="n">
        <x:f>INDEX('Raw Stations'!$D$2:$D$299,MATCH(A144,'Raw Stations'!$A$2:$A$299,0))</x:f>
        <x:v>0.005519076889924051</x:v>
      </x:c>
      <x:c r="C144" s="100" t="n">
        <x:f>'Raw Z'!L138</x:f>
        <x:v>-0.03002401286139999</x:v>
      </x:c>
      <x:c r="D144" s="100" t="n">
        <x:f>$B$2</x:f>
        <x:v>-0.0009288398653362757</x:v>
      </x:c>
      <x:c r="E144" s="100" t="n">
        <x:f>C144-D144</x:f>
        <x:v>-0.029095172996063713</x:v>
      </x:c>
      <x:c r="F144" s="100" t="n">
        <x:f>E144-B144</x:f>
        <x:v>-0.03461424988598776</x:v>
      </x:c>
      <x:c r="G144" s="100" t="n">
        <x:f>ABS(F144)</x:f>
        <x:v>0.03461424988598776</x:v>
      </x:c>
      <x:c r="H144" s="100" t="n">
        <x:f>'Raw Z'!N138</x:f>
        <x:v>0.8210360127076327</x:v>
      </x:c>
      <x:c r="I144" t="b">
        <x:f>'Raw Z'!O138</x:f>
        <x:v>1</x:v>
      </x:c>
      <x:c r="J144" s="100" t="n">
        <x:f>IF(I144,B144,"")</x:f>
        <x:v>0.005519076889924051</x:v>
      </x:c>
      <x:c r="K144" s="100" t="n">
        <x:f>IF(I144,E144,"")</x:f>
        <x:v>-0.029095172996063713</x:v>
      </x:c>
      <x:c r="L144" s="100" t="n">
        <x:f>IF(I144,G144,"")</x:f>
        <x:v>0.03461424988598776</x:v>
      </x:c>
      <x:c r="M144" s="100" t="n">
        <x:f>IF(I144,F144^2,"")</x:f>
        <x:v>0.0011981462951696038</x:v>
      </x:c>
      <x:c r="N144" s="100" t="n">
        <x:f>IF(I144,F144,"")</x:f>
        <x:v>-0.03461424988598776</x:v>
      </x:c>
      <x:c r="P144" t="n">
        <x:f>J144</x:f>
        <x:v>0.005519076889924051</x:v>
      </x:c>
      <x:c r="Q144" t="n">
        <x:f>K144</x:f>
        <x:v>-0.029095172996063713</x:v>
      </x:c>
    </x:row>
    <x:row r="145">
      <x:c r="A145" s="99" t="str">
        <x:f>'Raw Z'!B139</x:f>
        <x:v>00184</x:v>
      </x:c>
      <x:c r="B145" s="100" t="n">
        <x:f>INDEX('Raw Stations'!$D$2:$D$299,MATCH(A145,'Raw Stations'!$A$2:$A$299,0))</x:f>
        <x:v>0.01701232412322604</x:v>
      </x:c>
      <x:c r="C145" s="100" t="n">
        <x:f>'Raw Z'!L139</x:f>
        <x:v>-0.03037563932223186</x:v>
      </x:c>
      <x:c r="D145" s="100" t="n">
        <x:f>$B$2</x:f>
        <x:v>-0.0009288398653362757</x:v>
      </x:c>
      <x:c r="E145" s="100" t="n">
        <x:f>C145-D145</x:f>
        <x:v>-0.029446799456895583</x:v>
      </x:c>
      <x:c r="F145" s="100" t="n">
        <x:f>E145-B145</x:f>
        <x:v>-0.04645912358012162</x:v>
      </x:c>
      <x:c r="G145" s="100" t="n">
        <x:f>ABS(F145)</x:f>
        <x:v>0.04645912358012162</x:v>
      </x:c>
      <x:c r="H145" s="100" t="n">
        <x:f>'Raw Z'!N139</x:f>
        <x:v>0.7263150538331966</x:v>
      </x:c>
      <x:c r="I145" t="b">
        <x:f>'Raw Z'!O139</x:f>
        <x:v>1</x:v>
      </x:c>
      <x:c r="J145" s="100" t="n">
        <x:f>IF(I145,B145,"")</x:f>
        <x:v>0.01701232412322604</x:v>
      </x:c>
      <x:c r="K145" s="100" t="n">
        <x:f>IF(I145,E145,"")</x:f>
        <x:v>-0.029446799456895583</x:v>
      </x:c>
      <x:c r="L145" s="100" t="n">
        <x:f>IF(I145,G145,"")</x:f>
        <x:v>0.04645912358012162</x:v>
      </x:c>
      <x:c r="M145" s="100" t="n">
        <x:f>IF(I145,F145^2,"")</x:f>
        <x:v>0.002158450163833013</x:v>
      </x:c>
      <x:c r="N145" s="100" t="n">
        <x:f>IF(I145,F145,"")</x:f>
        <x:v>-0.04645912358012162</x:v>
      </x:c>
      <x:c r="P145" t="n">
        <x:f>J145</x:f>
        <x:v>0.01701232412322604</x:v>
      </x:c>
      <x:c r="Q145" t="n">
        <x:f>K145</x:f>
        <x:v>-0.029446799456895583</x:v>
      </x:c>
    </x:row>
    <x:row r="146">
      <x:c r="A146" s="99" t="str">
        <x:f>'Raw Z'!B140</x:f>
        <x:v>00185</x:v>
      </x:c>
      <x:c r="B146" s="100" t="n">
        <x:f>INDEX('Raw Stations'!$D$2:$D$299,MATCH(A146,'Raw Stations'!$A$2:$A$299,0))</x:f>
        <x:v>0.01901763013329982</x:v>
      </x:c>
      <x:c r="C146" s="100" t="n">
        <x:f>'Raw Z'!L140</x:f>
        <x:v>-0.001256983322283335</x:v>
      </x:c>
      <x:c r="D146" s="100" t="n">
        <x:f>$B$2</x:f>
        <x:v>-0.0009288398653362757</x:v>
      </x:c>
      <x:c r="E146" s="100" t="n">
        <x:f>C146-D146</x:f>
        <x:v>-0.0003281434569470592</x:v>
      </x:c>
      <x:c r="F146" s="100" t="n">
        <x:f>E146-B146</x:f>
        <x:v>-0.01934577359024688</x:v>
      </x:c>
      <x:c r="G146" s="100" t="n">
        <x:f>ABS(F146)</x:f>
        <x:v>0.01934577359024688</x:v>
      </x:c>
      <x:c r="H146" s="100" t="n">
        <x:f>'Raw Z'!N140</x:f>
        <x:v>0.9770378140774186</x:v>
      </x:c>
      <x:c r="I146" t="b">
        <x:f>'Raw Z'!O140</x:f>
        <x:v>1</x:v>
      </x:c>
      <x:c r="J146" s="100" t="n">
        <x:f>IF(I146,B146,"")</x:f>
        <x:v>0.01901763013329982</x:v>
      </x:c>
      <x:c r="K146" s="100" t="n">
        <x:f>IF(I146,E146,"")</x:f>
        <x:v>-0.0003281434569470592</x:v>
      </x:c>
      <x:c r="L146" s="100" t="n">
        <x:f>IF(I146,G146,"")</x:f>
        <x:v>0.01934577359024688</x:v>
      </x:c>
      <x:c r="M146" s="100" t="n">
        <x:f>IF(I146,F146^2,"")</x:f>
        <x:v>0.00037425895580509363</x:v>
      </x:c>
      <x:c r="N146" s="100" t="n">
        <x:f>IF(I146,F146,"")</x:f>
        <x:v>-0.01934577359024688</x:v>
      </x:c>
      <x:c r="P146" t="n">
        <x:f>J146</x:f>
        <x:v>0.01901763013329982</x:v>
      </x:c>
      <x:c r="Q146" t="n">
        <x:f>K146</x:f>
        <x:v>-0.0003281434569470592</x:v>
      </x:c>
    </x:row>
    <x:row r="147">
      <x:c r="A147" s="99" t="str">
        <x:f>'Raw Z'!B141</x:f>
        <x:v>00186</x:v>
      </x:c>
      <x:c r="B147" s="100" t="n">
        <x:f>INDEX('Raw Stations'!$D$2:$D$299,MATCH(A147,'Raw Stations'!$A$2:$A$299,0))</x:f>
        <x:v>0.027743444861805</x:v>
      </x:c>
      <x:c r="C147" s="100" t="n">
        <x:f>'Raw Z'!L141</x:f>
        <x:v>0.01546883140622185</x:v>
      </x:c>
      <x:c r="D147" s="100" t="n">
        <x:f>$B$2</x:f>
        <x:v>-0.0009288398653362757</x:v>
      </x:c>
      <x:c r="E147" s="100" t="n">
        <x:f>C147-D147</x:f>
        <x:v>0.016397671271558126</x:v>
      </x:c>
      <x:c r="F147" s="100" t="n">
        <x:f>E147-B147</x:f>
        <x:v>-0.011345773590246876</x:v>
      </x:c>
      <x:c r="G147" s="100" t="n">
        <x:f>ABS(F147)</x:f>
        <x:v>0.011345773590246876</x:v>
      </x:c>
      <x:c r="H147" s="100" t="n">
        <x:f>'Raw Z'!N141</x:f>
        <x:v>0.8728320421763021</x:v>
      </x:c>
      <x:c r="I147" t="b">
        <x:f>'Raw Z'!O141</x:f>
        <x:v>1</x:v>
      </x:c>
      <x:c r="J147" s="100" t="n">
        <x:f>IF(I147,B147,"")</x:f>
        <x:v>0.027743444861805</x:v>
      </x:c>
      <x:c r="K147" s="100" t="n">
        <x:f>IF(I147,E147,"")</x:f>
        <x:v>0.016397671271558126</x:v>
      </x:c>
      <x:c r="L147" s="100" t="n">
        <x:f>IF(I147,G147,"")</x:f>
        <x:v>0.011345773590246876</x:v>
      </x:c>
      <x:c r="M147" s="100" t="n">
        <x:f>IF(I147,F147^2,"")</x:f>
        <x:v>0.00012872657836114347</x:v>
      </x:c>
      <x:c r="N147" s="100" t="n">
        <x:f>IF(I147,F147,"")</x:f>
        <x:v>-0.011345773590246876</x:v>
      </x:c>
      <x:c r="P147" t="n">
        <x:f>J147</x:f>
        <x:v>0.027743444861805</x:v>
      </x:c>
      <x:c r="Q147" t="n">
        <x:f>K147</x:f>
        <x:v>0.016397671271558126</x:v>
      </x:c>
    </x:row>
    <x:row r="148">
      <x:c r="A148" s="99" t="str">
        <x:f>'Raw Z'!B142</x:f>
        <x:v>00187</x:v>
      </x:c>
      <x:c r="B148" s="100" t="n">
        <x:f>INDEX('Raw Stations'!$D$2:$D$299,MATCH(A148,'Raw Stations'!$A$2:$A$299,0))</x:f>
        <x:v>0.02340095171554957</x:v>
      </x:c>
      <x:c r="C148" s="100" t="n">
        <x:f>'Raw Z'!L142</x:f>
        <x:v>0.04990549192475403</x:v>
      </x:c>
      <x:c r="D148" s="100" t="n">
        <x:f>$B$2</x:f>
        <x:v>-0.0009288398653362757</x:v>
      </x:c>
      <x:c r="E148" s="100" t="n">
        <x:f>C148-D148</x:f>
        <x:v>0.0508343317900903</x:v>
      </x:c>
      <x:c r="F148" s="100" t="n">
        <x:f>E148-B148</x:f>
        <x:v>0.02743338007454073</x:v>
      </x:c>
      <x:c r="G148" s="100" t="n">
        <x:f>ABS(F148)</x:f>
        <x:v>0.02743338007454073</x:v>
      </x:c>
      <x:c r="H148" s="100" t="n">
        <x:f>'Raw Z'!N142</x:f>
        <x:v>0.6548528665104195</x:v>
      </x:c>
      <x:c r="I148" t="b">
        <x:f>'Raw Z'!O142</x:f>
        <x:v>1</x:v>
      </x:c>
      <x:c r="J148" s="100" t="n">
        <x:f>IF(I148,B148,"")</x:f>
        <x:v>0.02340095171554957</x:v>
      </x:c>
      <x:c r="K148" s="100" t="n">
        <x:f>IF(I148,E148,"")</x:f>
        <x:v>0.0508343317900903</x:v>
      </x:c>
      <x:c r="L148" s="100" t="n">
        <x:f>IF(I148,G148,"")</x:f>
        <x:v>0.02743338007454073</x:v>
      </x:c>
      <x:c r="M148" s="100" t="n">
        <x:f>IF(I148,F148^2,"")</x:f>
        <x:v>0.0007525903423142085</x:v>
      </x:c>
      <x:c r="N148" s="100" t="n">
        <x:f>IF(I148,F148,"")</x:f>
        <x:v>0.02743338007454073</x:v>
      </x:c>
      <x:c r="P148" t="n">
        <x:f>J148</x:f>
        <x:v>0.02340095171554957</x:v>
      </x:c>
      <x:c r="Q148" t="n">
        <x:f>K148</x:f>
        <x:v>0.0508343317900903</x:v>
      </x:c>
    </x:row>
    <x:row r="149">
      <x:c r="A149" s="99" t="str">
        <x:f>'Raw Z'!B143</x:f>
        <x:v>00188</x:v>
      </x:c>
      <x:c r="B149" s="100" t="n">
        <x:f>INDEX('Raw Stations'!$D$2:$D$299,MATCH(A149,'Raw Stations'!$A$2:$A$299,0))</x:f>
        <x:v>0.02781441309388967</x:v>
      </x:c>
      <x:c r="C149" s="100" t="n">
        <x:f>'Raw Z'!L143</x:f>
        <x:v>0.04705103272109924</x:v>
      </x:c>
      <x:c r="D149" s="100" t="n">
        <x:f>$B$2</x:f>
        <x:v>-0.0009288398653362757</x:v>
      </x:c>
      <x:c r="E149" s="100" t="n">
        <x:f>C149-D149</x:f>
        <x:v>0.04797987258643552</x:v>
      </x:c>
      <x:c r="F149" s="100" t="n">
        <x:f>E149-B149</x:f>
        <x:v>0.020165459492545848</x:v>
      </x:c>
      <x:c r="G149" s="100" t="n">
        <x:f>ABS(F149)</x:f>
        <x:v>0.020165459492545848</x:v>
      </x:c>
      <x:c r="H149" s="100" t="n">
        <x:f>'Raw Z'!N143</x:f>
        <x:v>0.6846721645535643</x:v>
      </x:c>
      <x:c r="I149" t="b">
        <x:f>'Raw Z'!O143</x:f>
        <x:v>1</x:v>
      </x:c>
      <x:c r="J149" s="100" t="n">
        <x:f>IF(I149,B149,"")</x:f>
        <x:v>0.02781441309388967</x:v>
      </x:c>
      <x:c r="K149" s="100" t="n">
        <x:f>IF(I149,E149,"")</x:f>
        <x:v>0.04797987258643552</x:v>
      </x:c>
      <x:c r="L149" s="100" t="n">
        <x:f>IF(I149,G149,"")</x:f>
        <x:v>0.020165459492545848</x:v>
      </x:c>
      <x:c r="M149" s="100" t="n">
        <x:f>IF(I149,F149^2,"")</x:f>
        <x:v>0.00040664575654550747</x:v>
      </x:c>
      <x:c r="N149" s="100" t="n">
        <x:f>IF(I149,F149,"")</x:f>
        <x:v>0.020165459492545848</x:v>
      </x:c>
      <x:c r="P149" t="n">
        <x:f>J149</x:f>
        <x:v>0.02781441309388967</x:v>
      </x:c>
      <x:c r="Q149" t="n">
        <x:f>K149</x:f>
        <x:v>0.04797987258643552</x:v>
      </x:c>
    </x:row>
    <x:row r="150">
      <x:c r="A150" s="99" t="str">
        <x:f>'Raw Z'!B144</x:f>
        <x:v>00189</x:v>
      </x:c>
      <x:c r="B150" s="100" t="n">
        <x:f>INDEX('Raw Stations'!$D$2:$D$299,MATCH(A150,'Raw Stations'!$A$2:$A$299,0))</x:f>
        <x:v>0.01484270935339562</x:v>
      </x:c>
      <x:c r="C150" s="100" t="n">
        <x:f>'Raw Z'!L144</x:f>
        <x:v>-0.03245136061249191</x:v>
      </x:c>
      <x:c r="D150" s="100" t="n">
        <x:f>$B$2</x:f>
        <x:v>-0.0009288398653362757</x:v>
      </x:c>
      <x:c r="E150" s="100" t="n">
        <x:f>C150-D150</x:f>
        <x:v>-0.031522520747155634</x:v>
      </x:c>
      <x:c r="F150" s="100" t="n">
        <x:f>E150-B150</x:f>
        <x:v>-0.046365230100551255</x:v>
      </x:c>
      <x:c r="G150" s="100" t="n">
        <x:f>ABS(F150)</x:f>
        <x:v>0.046365230100551255</x:v>
      </x:c>
      <x:c r="H150" s="100" t="n">
        <x:f>'Raw Z'!N144</x:f>
        <x:v>0.7996608823862189</x:v>
      </x:c>
      <x:c r="I150" t="b">
        <x:f>'Raw Z'!O144</x:f>
        <x:v>1</x:v>
      </x:c>
      <x:c r="J150" s="100" t="n">
        <x:f>IF(I150,B150,"")</x:f>
        <x:v>0.01484270935339562</x:v>
      </x:c>
      <x:c r="K150" s="100" t="n">
        <x:f>IF(I150,E150,"")</x:f>
        <x:v>-0.031522520747155634</x:v>
      </x:c>
      <x:c r="L150" s="100" t="n">
        <x:f>IF(I150,G150,"")</x:f>
        <x:v>0.046365230100551255</x:v>
      </x:c>
      <x:c r="M150" s="100" t="n">
        <x:f>IF(I150,F150^2,"")</x:f>
        <x:v>0.0021497345622770643</x:v>
      </x:c>
      <x:c r="N150" s="100" t="n">
        <x:f>IF(I150,F150,"")</x:f>
        <x:v>-0.046365230100551255</x:v>
      </x:c>
      <x:c r="P150" t="n">
        <x:f>J150</x:f>
        <x:v>0.01484270935339562</x:v>
      </x:c>
      <x:c r="Q150" t="n">
        <x:f>K150</x:f>
        <x:v>-0.031522520747155634</x:v>
      </x:c>
    </x:row>
    <x:row r="151">
      <x:c r="A151" s="99" t="str">
        <x:f>'Raw Z'!B145</x:f>
        <x:v>00190</x:v>
      </x:c>
      <x:c r="B151" s="100" t="n">
        <x:f>INDEX('Raw Stations'!$D$2:$D$299,MATCH(A151,'Raw Stations'!$A$2:$A$299,0))</x:f>
        <x:v>-0.01197156348711821</x:v>
      </x:c>
      <x:c r="C151" s="100" t="n">
        <x:f>'Raw Z'!L145</x:f>
        <x:v>-0.01382825807102957</x:v>
      </x:c>
      <x:c r="D151" s="100" t="n">
        <x:f>$B$2</x:f>
        <x:v>-0.0009288398653362757</x:v>
      </x:c>
      <x:c r="E151" s="100" t="n">
        <x:f>C151-D151</x:f>
        <x:v>-0.012899418205693295</x:v>
      </x:c>
      <x:c r="F151" s="100" t="n">
        <x:f>E151-B151</x:f>
        <x:v>-0.0009278547185750854</x:v>
      </x:c>
      <x:c r="G151" s="100" t="n">
        <x:f>ABS(F151)</x:f>
        <x:v>0.0009278547185750854</x:v>
      </x:c>
      <x:c r="H151" s="100" t="n">
        <x:f>'Raw Z'!N145</x:f>
        <x:v>0.8442139228964224</x:v>
      </x:c>
      <x:c r="I151" t="b">
        <x:f>'Raw Z'!O145</x:f>
        <x:v>1</x:v>
      </x:c>
      <x:c r="J151" s="100" t="n">
        <x:f>IF(I151,B151,"")</x:f>
        <x:v>-0.01197156348711821</x:v>
      </x:c>
      <x:c r="K151" s="100" t="n">
        <x:f>IF(I151,E151,"")</x:f>
        <x:v>-0.012899418205693295</x:v>
      </x:c>
      <x:c r="L151" s="100" t="n">
        <x:f>IF(I151,G151,"")</x:f>
        <x:v>0.0009278547185750854</x:v>
      </x:c>
      <x:c r="M151" s="100" t="n">
        <x:f>IF(I151,F151^2,"")</x:f>
        <x:v>8.609143787820509e-7</x:v>
      </x:c>
      <x:c r="N151" s="100" t="n">
        <x:f>IF(I151,F151,"")</x:f>
        <x:v>-0.0009278547185750854</x:v>
      </x:c>
      <x:c r="P151" t="n">
        <x:f>J151</x:f>
        <x:v>-0.01197156348711821</x:v>
      </x:c>
      <x:c r="Q151" t="n">
        <x:f>K151</x:f>
        <x:v>-0.012899418205693295</x:v>
      </x:c>
    </x:row>
    <x:row r="152">
      <x:c r="A152" s="99" t="str">
        <x:f>'Raw Z'!B146</x:f>
        <x:v>00191</x:v>
      </x:c>
      <x:c r="B152" s="100" t="n">
        <x:f>INDEX('Raw Stations'!$D$2:$D$299,MATCH(A152,'Raw Stations'!$A$2:$A$299,0))</x:f>
        <x:v>-0.004033335675302129</x:v>
      </x:c>
      <x:c r="C152" s="100" t="n">
        <x:f>'Raw Z'!L146</x:f>
        <x:v>-0.007421299120760033</x:v>
      </x:c>
      <x:c r="D152" s="100" t="n">
        <x:f>$B$2</x:f>
        <x:v>-0.0009288398653362757</x:v>
      </x:c>
      <x:c r="E152" s="100" t="n">
        <x:f>C152-D152</x:f>
        <x:v>-0.006492459255423758</x:v>
      </x:c>
      <x:c r="F152" s="100" t="n">
        <x:f>E152-B152</x:f>
        <x:v>-0.0024591235801216284</x:v>
      </x:c>
      <x:c r="G152" s="100" t="n">
        <x:f>ABS(F152)</x:f>
        <x:v>0.0024591235801216284</x:v>
      </x:c>
      <x:c r="H152" s="100" t="n">
        <x:f>'Raw Z'!N146</x:f>
        <x:v>0.8214810652224713</x:v>
      </x:c>
      <x:c r="I152" t="b">
        <x:f>'Raw Z'!O146</x:f>
        <x:v>1</x:v>
      </x:c>
      <x:c r="J152" s="100" t="n">
        <x:f>IF(I152,B152,"")</x:f>
        <x:v>-0.004033335675302129</x:v>
      </x:c>
      <x:c r="K152" s="100" t="n">
        <x:f>IF(I152,E152,"")</x:f>
        <x:v>-0.006492459255423758</x:v>
      </x:c>
      <x:c r="L152" s="100" t="n">
        <x:f>IF(I152,G152,"")</x:f>
        <x:v>0.0024591235801216284</x:v>
      </x:c>
      <x:c r="M152" s="100" t="n">
        <x:f>IF(I152,F152^2,"")</x:f>
        <x:v>0.000006047288782310215</x:v>
      </x:c>
      <x:c r="N152" s="100" t="n">
        <x:f>IF(I152,F152,"")</x:f>
        <x:v>-0.0024591235801216284</x:v>
      </x:c>
      <x:c r="P152" t="n">
        <x:f>J152</x:f>
        <x:v>-0.004033335675302129</x:v>
      </x:c>
      <x:c r="Q152" t="n">
        <x:f>K152</x:f>
        <x:v>-0.006492459255423758</x:v>
      </x:c>
    </x:row>
    <x:row r="153">
      <x:c r="A153" s="99" t="str">
        <x:f>'Raw Z'!B147</x:f>
        <x:v>00192</x:v>
      </x:c>
      <x:c r="B153" s="100" t="n">
        <x:f>INDEX('Raw Stations'!$D$2:$D$299,MATCH(A153,'Raw Stations'!$A$2:$A$299,0))</x:f>
        <x:v>-0.00547796507800229</x:v>
      </x:c>
      <x:c r="C153" s="100" t="n">
        <x:f>'Raw Z'!L147</x:f>
        <x:v>-0.00422936155665397</x:v>
      </x:c>
      <x:c r="D153" s="100" t="n">
        <x:f>$B$2</x:f>
        <x:v>-0.0009288398653362757</x:v>
      </x:c>
      <x:c r="E153" s="100" t="n">
        <x:f>C153-D153</x:f>
        <x:v>-0.0033005216913176948</x:v>
      </x:c>
      <x:c r="F153" s="100" t="n">
        <x:f>E153-B153</x:f>
        <x:v>0.002177443386684595</x:v>
      </x:c>
      <x:c r="G153" s="100" t="n">
        <x:f>ABS(F153)</x:f>
        <x:v>0.002177443386684595</x:v>
      </x:c>
      <x:c r="H153" s="100" t="n">
        <x:f>'Raw Z'!N147</x:f>
        <x:v>0.9058130397831748</x:v>
      </x:c>
      <x:c r="I153" t="b">
        <x:f>'Raw Z'!O147</x:f>
        <x:v>1</x:v>
      </x:c>
      <x:c r="J153" s="100" t="n">
        <x:f>IF(I153,B153,"")</x:f>
        <x:v>-0.00547796507800229</x:v>
      </x:c>
      <x:c r="K153" s="100" t="n">
        <x:f>IF(I153,E153,"")</x:f>
        <x:v>-0.0033005216913176948</x:v>
      </x:c>
      <x:c r="L153" s="100" t="n">
        <x:f>IF(I153,G153,"")</x:f>
        <x:v>0.002177443386684595</x:v>
      </x:c>
      <x:c r="M153" s="100" t="n">
        <x:f>IF(I153,F153^2,"")</x:f>
        <x:v>0.000004741259702216479</x:v>
      </x:c>
      <x:c r="N153" s="100" t="n">
        <x:f>IF(I153,F153,"")</x:f>
        <x:v>0.002177443386684595</x:v>
      </x:c>
      <x:c r="P153" t="n">
        <x:f>J153</x:f>
        <x:v>-0.00547796507800229</x:v>
      </x:c>
      <x:c r="Q153" t="n">
        <x:f>K153</x:f>
        <x:v>-0.0033005216913176948</x:v>
      </x:c>
    </x:row>
    <x:row r="154">
      <x:c r="A154" s="99" t="str">
        <x:f>'Raw Z'!B148</x:f>
        <x:v>00194</x:v>
      </x:c>
      <x:c r="B154" s="100" t="n">
        <x:f>INDEX('Raw Stations'!$D$2:$D$299,MATCH(A154,'Raw Stations'!$A$2:$A$299,0))</x:f>
        <x:v>-0.008163157509556488</x:v>
      </x:c>
      <x:c r="C154" s="100" t="n">
        <x:f>'Raw Z'!L148</x:f>
        <x:v>0.001326493964906028</x:v>
      </x:c>
      <x:c r="D154" s="100" t="n">
        <x:f>$B$2</x:f>
        <x:v>-0.0009288398653362757</x:v>
      </x:c>
      <x:c r="E154" s="100" t="n">
        <x:f>C154-D154</x:f>
        <x:v>0.0022553338302423037</x:v>
      </x:c>
      <x:c r="F154" s="100" t="n">
        <x:f>E154-B154</x:f>
        <x:v>0.010418491339798792</x:v>
      </x:c>
      <x:c r="G154" s="100" t="n">
        <x:f>ABS(F154)</x:f>
        <x:v>0.010418491339798792</x:v>
      </x:c>
      <x:c r="H154" s="100" t="n">
        <x:f>'Raw Z'!N148</x:f>
        <x:v>0.9770654264391014</x:v>
      </x:c>
      <x:c r="I154" t="b">
        <x:f>'Raw Z'!O148</x:f>
        <x:v>1</x:v>
      </x:c>
      <x:c r="J154" s="100" t="n">
        <x:f>IF(I154,B154,"")</x:f>
        <x:v>-0.008163157509556488</x:v>
      </x:c>
      <x:c r="K154" s="100" t="n">
        <x:f>IF(I154,E154,"")</x:f>
        <x:v>0.0022553338302423037</x:v>
      </x:c>
      <x:c r="L154" s="100" t="n">
        <x:f>IF(I154,G154,"")</x:f>
        <x:v>0.010418491339798792</x:v>
      </x:c>
      <x:c r="M154" s="100" t="n">
        <x:f>IF(I154,F154^2,"")</x:f>
        <x:v>0.00010854496179746242</x:v>
      </x:c>
      <x:c r="N154" s="100" t="n">
        <x:f>IF(I154,F154,"")</x:f>
        <x:v>0.010418491339798792</x:v>
      </x:c>
      <x:c r="P154" t="n">
        <x:f>J154</x:f>
        <x:v>-0.008163157509556488</x:v>
      </x:c>
      <x:c r="Q154" t="n">
        <x:f>K154</x:f>
        <x:v>0.0022553338302423037</x:v>
      </x:c>
    </x:row>
    <x:row r="155">
      <x:c r="A155" s="99" t="str">
        <x:f>'Raw Z'!B149</x:f>
        <x:v>00195</x:v>
      </x:c>
      <x:c r="B155" s="100" t="n">
        <x:f>INDEX('Raw Stations'!$D$2:$D$299,MATCH(A155,'Raw Stations'!$A$2:$A$299,0))</x:f>
        <x:v>-0.01120944848082588</x:v>
      </x:c>
      <x:c r="C155" s="100" t="n">
        <x:f>'Raw Z'!L149</x:f>
        <x:v>0.0003320078758339805</x:v>
      </x:c>
      <x:c r="D155" s="100" t="n">
        <x:f>$B$2</x:f>
        <x:v>-0.0009288398653362757</x:v>
      </x:c>
      <x:c r="E155" s="100" t="n">
        <x:f>C155-D155</x:f>
        <x:v>0.001260847741170256</x:v>
      </x:c>
      <x:c r="F155" s="100" t="n">
        <x:f>E155-B155</x:f>
        <x:v>0.012470296221996136</x:v>
      </x:c>
      <x:c r="G155" s="100" t="n">
        <x:f>ABS(F155)</x:f>
        <x:v>0.012470296221996136</x:v>
      </x:c>
      <x:c r="H155" s="100" t="n">
        <x:f>'Raw Z'!N149</x:f>
        <x:v>0.9772248331107316</x:v>
      </x:c>
      <x:c r="I155" t="b">
        <x:f>'Raw Z'!O149</x:f>
        <x:v>1</x:v>
      </x:c>
      <x:c r="J155" s="100" t="n">
        <x:f>IF(I155,B155,"")</x:f>
        <x:v>-0.01120944848082588</x:v>
      </x:c>
      <x:c r="K155" s="100" t="n">
        <x:f>IF(I155,E155,"")</x:f>
        <x:v>0.001260847741170256</x:v>
      </x:c>
      <x:c r="L155" s="100" t="n">
        <x:f>IF(I155,G155,"")</x:f>
        <x:v>0.012470296221996136</x:v>
      </x:c>
      <x:c r="M155" s="100" t="n">
        <x:f>IF(I155,F155^2,"")</x:f>
        <x:v>0.0001555082878643311</x:v>
      </x:c>
      <x:c r="N155" s="100" t="n">
        <x:f>IF(I155,F155,"")</x:f>
        <x:v>0.012470296221996136</x:v>
      </x:c>
      <x:c r="P155" t="n">
        <x:f>J155</x:f>
        <x:v>-0.01120944848082588</x:v>
      </x:c>
      <x:c r="Q155" t="n">
        <x:f>K155</x:f>
        <x:v>0.001260847741170256</x:v>
      </x:c>
    </x:row>
    <x:row r="156">
      <x:c r="A156" s="99" t="str">
        <x:f>'Raw Z'!B150</x:f>
        <x:v>00196</x:v>
      </x:c>
      <x:c r="B156" s="100" t="n">
        <x:f>INDEX('Raw Stations'!$D$2:$D$299,MATCH(A156,'Raw Stations'!$A$2:$A$299,0))</x:f>
        <x:v>0.001496941261580634</x:v>
      </x:c>
      <x:c r="C156" s="100" t="n">
        <x:f>'Raw Z'!L150</x:f>
        <x:v>0.002031414663189665</x:v>
      </x:c>
      <x:c r="D156" s="100" t="n">
        <x:f>$B$2</x:f>
        <x:v>-0.0009288398653362757</x:v>
      </x:c>
      <x:c r="E156" s="100" t="n">
        <x:f>C156-D156</x:f>
        <x:v>0.0029602545285259407</x:v>
      </x:c>
      <x:c r="F156" s="100" t="n">
        <x:f>E156-B156</x:f>
        <x:v>0.0014633132669453067</x:v>
      </x:c>
      <x:c r="G156" s="100" t="n">
        <x:f>ABS(F156)</x:f>
        <x:v>0.0014633132669453067</x:v>
      </x:c>
      <x:c r="H156" s="100" t="n">
        <x:f>'Raw Z'!N150</x:f>
        <x:v>0.9946594580954692</x:v>
      </x:c>
      <x:c r="I156" t="b">
        <x:f>'Raw Z'!O150</x:f>
        <x:v>1</x:v>
      </x:c>
      <x:c r="J156" s="100" t="n">
        <x:f>IF(I156,B156,"")</x:f>
        <x:v>0.001496941261580634</x:v>
      </x:c>
      <x:c r="K156" s="100" t="n">
        <x:f>IF(I156,E156,"")</x:f>
        <x:v>0.0029602545285259407</x:v>
      </x:c>
      <x:c r="L156" s="100" t="n">
        <x:f>IF(I156,G156,"")</x:f>
        <x:v>0.0014633132669453067</x:v>
      </x:c>
      <x:c r="M156" s="100" t="n">
        <x:f>IF(I156,F156^2,"")</x:f>
        <x:v>0.0000021412857172181465</x:v>
      </x:c>
      <x:c r="N156" s="100" t="n">
        <x:f>IF(I156,F156,"")</x:f>
        <x:v>0.0014633132669453067</x:v>
      </x:c>
      <x:c r="P156" t="n">
        <x:f>J156</x:f>
        <x:v>0.001496941261580634</x:v>
      </x:c>
      <x:c r="Q156" t="n">
        <x:f>K156</x:f>
        <x:v>0.0029602545285259407</x:v>
      </x:c>
    </x:row>
    <x:row r="157">
      <x:c r="A157" s="99" t="str">
        <x:f>'Raw Z'!B151</x:f>
        <x:v>00197</x:v>
      </x:c>
      <x:c r="B157" s="100" t="n">
        <x:f>INDEX('Raw Stations'!$D$2:$D$299,MATCH(A157,'Raw Stations'!$A$2:$A$299,0))</x:f>
        <x:v>0.006090145512306378</x:v>
      </x:c>
      <x:c r="C157" s="100" t="n">
        <x:f>'Raw Z'!L151</x:f>
        <x:v>0.009234353415474822</x:v>
      </x:c>
      <x:c r="D157" s="100" t="n">
        <x:f>$B$2</x:f>
        <x:v>-0.0009288398653362757</x:v>
      </x:c>
      <x:c r="E157" s="100" t="n">
        <x:f>C157-D157</x:f>
        <x:v>0.010163193280811098</x:v>
      </x:c>
      <x:c r="F157" s="100" t="n">
        <x:f>E157-B157</x:f>
        <x:v>0.00407304776850472</x:v>
      </x:c>
      <x:c r="G157" s="100" t="n">
        <x:f>ABS(F157)</x:f>
        <x:v>0.00407304776850472</x:v>
      </x:c>
      <x:c r="H157" s="100" t="n">
        <x:f>'Raw Z'!N151</x:f>
        <x:v>0.9395312301380813</x:v>
      </x:c>
      <x:c r="I157" t="b">
        <x:f>'Raw Z'!O151</x:f>
        <x:v>1</x:v>
      </x:c>
      <x:c r="J157" s="100" t="n">
        <x:f>IF(I157,B157,"")</x:f>
        <x:v>0.006090145512306378</x:v>
      </x:c>
      <x:c r="K157" s="100" t="n">
        <x:f>IF(I157,E157,"")</x:f>
        <x:v>0.010163193280811098</x:v>
      </x:c>
      <x:c r="L157" s="100" t="n">
        <x:f>IF(I157,G157,"")</x:f>
        <x:v>0.00407304776850472</x:v>
      </x:c>
      <x:c r="M157" s="100" t="n">
        <x:f>IF(I157,F157^2,"")</x:f>
        <x:v>0.000016589718124521277</x:v>
      </x:c>
      <x:c r="N157" s="100" t="n">
        <x:f>IF(I157,F157,"")</x:f>
        <x:v>0.00407304776850472</x:v>
      </x:c>
      <x:c r="P157" t="n">
        <x:f>J157</x:f>
        <x:v>0.006090145512306378</x:v>
      </x:c>
      <x:c r="Q157" t="n">
        <x:f>K157</x:f>
        <x:v>0.010163193280811098</x:v>
      </x:c>
    </x:row>
    <x:row r="158">
      <x:c r="A158" s="99" t="str">
        <x:f>'Raw Z'!B152</x:f>
        <x:v>00198</x:v>
      </x:c>
      <x:c r="B158" s="100" t="n">
        <x:f>INDEX('Raw Stations'!$D$2:$D$299,MATCH(A158,'Raw Stations'!$A$2:$A$299,0))</x:f>
        <x:v>0.01423790507455025</x:v>
      </x:c>
      <x:c r="C158" s="100" t="n">
        <x:f>'Raw Z'!L152</x:f>
        <x:v>-0.02358563083449817</x:v>
      </x:c>
      <x:c r="D158" s="100" t="n">
        <x:f>$B$2</x:f>
        <x:v>-0.0009288398653362757</x:v>
      </x:c>
      <x:c r="E158" s="100" t="n">
        <x:f>C158-D158</x:f>
        <x:v>-0.022656790969161893</x:v>
      </x:c>
      <x:c r="F158" s="100" t="n">
        <x:f>E158-B158</x:f>
        <x:v>-0.03689469604371214</x:v>
      </x:c>
      <x:c r="G158" s="100" t="n">
        <x:f>ABS(F158)</x:f>
        <x:v>0.03689469604371214</x:v>
      </x:c>
      <x:c r="H158" s="100" t="n">
        <x:f>'Raw Z'!N152</x:f>
        <x:v>0.664795529474092</x:v>
      </x:c>
      <x:c r="I158" t="b">
        <x:f>'Raw Z'!O152</x:f>
        <x:v>1</x:v>
      </x:c>
      <x:c r="J158" s="100" t="n">
        <x:f>IF(I158,B158,"")</x:f>
        <x:v>0.01423790507455025</x:v>
      </x:c>
      <x:c r="K158" s="100" t="n">
        <x:f>IF(I158,E158,"")</x:f>
        <x:v>-0.022656790969161893</x:v>
      </x:c>
      <x:c r="L158" s="100" t="n">
        <x:f>IF(I158,G158,"")</x:f>
        <x:v>0.03689469604371214</x:v>
      </x:c>
      <x:c r="M158" s="100" t="n">
        <x:f>IF(I158,F158^2,"")</x:f>
        <x:v>0.0013612185961579084</x:v>
      </x:c>
      <x:c r="N158" s="100" t="n">
        <x:f>IF(I158,F158,"")</x:f>
        <x:v>-0.03689469604371214</x:v>
      </x:c>
      <x:c r="P158" t="n">
        <x:f>J158</x:f>
        <x:v>0.01423790507455025</x:v>
      </x:c>
      <x:c r="Q158" t="n">
        <x:f>K158</x:f>
        <x:v>-0.022656790969161893</x:v>
      </x:c>
    </x:row>
    <x:row r="159">
      <x:c r="A159" s="99" t="str">
        <x:f>'Raw Z'!B153</x:f>
        <x:v>00199</x:v>
      </x:c>
      <x:c r="B159" s="100" t="n">
        <x:f>INDEX('Raw Stations'!$D$2:$D$299,MATCH(A159,'Raw Stations'!$A$2:$A$299,0))</x:f>
        <x:v>-0.0008974718772340393</x:v>
      </x:c>
      <x:c r="C159" s="100" t="n">
        <x:f>'Raw Z'!L153</x:f>
        <x:v>0.03580845815687843</x:v>
      </x:c>
      <x:c r="D159" s="100" t="n">
        <x:f>$B$2</x:f>
        <x:v>-0.0009288398653362757</x:v>
      </x:c>
      <x:c r="E159" s="100" t="n">
        <x:f>C159-D159</x:f>
        <x:v>0.036737298022214704</x:v>
      </x:c>
      <x:c r="F159" s="100" t="n">
        <x:f>E159-B159</x:f>
        <x:v>0.03763476989944874</x:v>
      </x:c>
      <x:c r="G159" s="100" t="n">
        <x:f>ABS(F159)</x:f>
        <x:v>0.03763476989944874</x:v>
      </x:c>
      <x:c r="H159" s="100" t="n">
        <x:f>'Raw Z'!N153</x:f>
        <x:v>0.4516700073717943</x:v>
      </x:c>
      <x:c r="I159" t="b">
        <x:f>'Raw Z'!O153</x:f>
        <x:v>0</x:v>
      </x:c>
      <x:c r="J159" s="100" t="str">
        <x:f>IF(I159,B159,"")</x:f>
      </x:c>
      <x:c r="K159" s="100" t="str">
        <x:f>IF(I159,E159,"")</x:f>
      </x:c>
      <x:c r="L159" s="100" t="str">
        <x:f>IF(I159,G159,"")</x:f>
      </x:c>
      <x:c r="M159" s="100" t="str">
        <x:f>IF(I159,F159^2,"")</x:f>
      </x:c>
      <x:c r="N159" s="100" t="str">
        <x:f>IF(I159,F159,"")</x:f>
      </x:c>
      <x:c r="P159" t="str">
        <x:f>J159</x:f>
      </x:c>
      <x:c r="Q159" t="str">
        <x:f>K159</x:f>
      </x:c>
    </x:row>
    <x:row r="160">
      <x:c r="A160" s="99" t="str">
        <x:f>'Raw Z'!B154</x:f>
        <x:v>00200</x:v>
      </x:c>
      <x:c r="B160" s="100" t="n">
        <x:f>INDEX('Raw Stations'!$D$2:$D$299,MATCH(A160,'Raw Stations'!$A$2:$A$299,0))</x:f>
        <x:v>0.006653503226424532</x:v>
      </x:c>
      <x:c r="C160" s="100" t="n">
        <x:f>'Raw Z'!L154</x:f>
        <x:v>-0.02081202337196644</x:v>
      </x:c>
      <x:c r="D160" s="100" t="n">
        <x:f>$B$2</x:f>
        <x:v>-0.0009288398653362757</x:v>
      </x:c>
      <x:c r="E160" s="100" t="n">
        <x:f>C160-D160</x:f>
        <x:v>-0.019883183506630164</x:v>
      </x:c>
      <x:c r="F160" s="100" t="n">
        <x:f>E160-B160</x:f>
        <x:v>-0.026536686733054697</x:v>
      </x:c>
      <x:c r="G160" s="100" t="n">
        <x:f>ABS(F160)</x:f>
        <x:v>0.026536686733054697</x:v>
      </x:c>
      <x:c r="H160" s="100" t="n">
        <x:f>'Raw Z'!N154</x:f>
        <x:v>0.6654404029985168</x:v>
      </x:c>
      <x:c r="I160" t="b">
        <x:f>'Raw Z'!O154</x:f>
        <x:v>1</x:v>
      </x:c>
      <x:c r="J160" s="100" t="n">
        <x:f>IF(I160,B160,"")</x:f>
        <x:v>0.006653503226424532</x:v>
      </x:c>
      <x:c r="K160" s="100" t="n">
        <x:f>IF(I160,E160,"")</x:f>
        <x:v>-0.019883183506630164</x:v>
      </x:c>
      <x:c r="L160" s="100" t="n">
        <x:f>IF(I160,G160,"")</x:f>
        <x:v>0.026536686733054697</x:v>
      </x:c>
      <x:c r="M160" s="100" t="n">
        <x:f>IF(I160,F160^2,"")</x:f>
        <x:v>0.0007041957427682811</x:v>
      </x:c>
      <x:c r="N160" s="100" t="n">
        <x:f>IF(I160,F160,"")</x:f>
        <x:v>-0.026536686733054697</x:v>
      </x:c>
      <x:c r="P160" t="n">
        <x:f>J160</x:f>
        <x:v>0.006653503226424532</x:v>
      </x:c>
      <x:c r="Q160" t="n">
        <x:f>K160</x:f>
        <x:v>-0.019883183506630164</x:v>
      </x:c>
    </x:row>
    <x:row r="161">
      <x:c r="A161" s="99" t="str">
        <x:f>'Raw Z'!B155</x:f>
        <x:v>00201</x:v>
      </x:c>
      <x:c r="B161" s="100" t="n">
        <x:f>INDEX('Raw Stations'!$D$2:$D$299,MATCH(A161,'Raw Stations'!$A$2:$A$299,0))</x:f>
        <x:v>0.02106592685755746</x:v>
      </x:c>
      <x:c r="C161" s="100" t="n">
        <x:f>'Raw Z'!L155</x:f>
        <x:v>0.006314530378905781</x:v>
      </x:c>
      <x:c r="D161" s="100" t="n">
        <x:f>$B$2</x:f>
        <x:v>-0.0009288398653362757</x:v>
      </x:c>
      <x:c r="E161" s="100" t="n">
        <x:f>C161-D161</x:f>
        <x:v>0.007243370244242057</x:v>
      </x:c>
      <x:c r="F161" s="100" t="n">
        <x:f>E161-B161</x:f>
        <x:v>-0.013822556613315405</x:v>
      </x:c>
      <x:c r="G161" s="100" t="n">
        <x:f>ABS(F161)</x:f>
        <x:v>0.013822556613315405</x:v>
      </x:c>
      <x:c r="H161" s="100" t="n">
        <x:f>'Raw Z'!N155</x:f>
        <x:v>0.9494482181813679</x:v>
      </x:c>
      <x:c r="I161" t="b">
        <x:f>'Raw Z'!O155</x:f>
        <x:v>1</x:v>
      </x:c>
      <x:c r="J161" s="100" t="n">
        <x:f>IF(I161,B161,"")</x:f>
        <x:v>0.02106592685755746</x:v>
      </x:c>
      <x:c r="K161" s="100" t="n">
        <x:f>IF(I161,E161,"")</x:f>
        <x:v>0.007243370244242057</x:v>
      </x:c>
      <x:c r="L161" s="100" t="n">
        <x:f>IF(I161,G161,"")</x:f>
        <x:v>0.013822556613315405</x:v>
      </x:c>
      <x:c r="M161" s="100" t="n">
        <x:f>IF(I161,F161^2,"")</x:f>
        <x:v>0.00019106307132830944</x:v>
      </x:c>
      <x:c r="N161" s="100" t="n">
        <x:f>IF(I161,F161,"")</x:f>
        <x:v>-0.013822556613315405</x:v>
      </x:c>
      <x:c r="P161" t="n">
        <x:f>J161</x:f>
        <x:v>0.02106592685755746</x:v>
      </x:c>
      <x:c r="Q161" t="n">
        <x:f>K161</x:f>
        <x:v>0.007243370244242057</x:v>
      </x:c>
    </x:row>
    <x:row r="162">
      <x:c r="A162" s="99" t="str">
        <x:f>'Raw Z'!B156</x:f>
        <x:v>00202</x:v>
      </x:c>
      <x:c r="B162" s="100" t="n">
        <x:f>INDEX('Raw Stations'!$D$2:$D$299,MATCH(A162,'Raw Stations'!$A$2:$A$299,0))</x:f>
        <x:v>0.0293473488385489</x:v>
      </x:c>
      <x:c r="C162" s="100" t="n">
        <x:f>'Raw Z'!L156</x:f>
        <x:v>0.04980425908722487</x:v>
      </x:c>
      <x:c r="D162" s="100" t="n">
        <x:f>$B$2</x:f>
        <x:v>-0.0009288398653362757</x:v>
      </x:c>
      <x:c r="E162" s="100" t="n">
        <x:f>C162-D162</x:f>
        <x:v>0.050733098952561145</x:v>
      </x:c>
      <x:c r="F162" s="100" t="n">
        <x:f>E162-B162</x:f>
        <x:v>0.021385750114012246</x:v>
      </x:c>
      <x:c r="G162" s="100" t="n">
        <x:f>ABS(F162)</x:f>
        <x:v>0.021385750114012246</x:v>
      </x:c>
      <x:c r="H162" s="100" t="n">
        <x:f>'Raw Z'!N156</x:f>
        <x:v>0.542550412669359</x:v>
      </x:c>
      <x:c r="I162" t="b">
        <x:f>'Raw Z'!O156</x:f>
        <x:v>0</x:v>
      </x:c>
      <x:c r="J162" s="100" t="str">
        <x:f>IF(I162,B162,"")</x:f>
      </x:c>
      <x:c r="K162" s="100" t="str">
        <x:f>IF(I162,E162,"")</x:f>
      </x:c>
      <x:c r="L162" s="100" t="str">
        <x:f>IF(I162,G162,"")</x:f>
      </x:c>
      <x:c r="M162" s="100" t="str">
        <x:f>IF(I162,F162^2,"")</x:f>
      </x:c>
      <x:c r="N162" s="100" t="str">
        <x:f>IF(I162,F162,"")</x:f>
      </x:c>
      <x:c r="P162" t="str">
        <x:f>J162</x:f>
      </x:c>
      <x:c r="Q162" t="str">
        <x:f>K162</x:f>
      </x:c>
    </x:row>
    <x:row r="163">
      <x:c r="A163" s="99" t="str">
        <x:f>'Raw Z'!B157</x:f>
        <x:v>00203</x:v>
      </x:c>
      <x:c r="B163" s="100" t="n">
        <x:f>INDEX('Raw Stations'!$D$2:$D$299,MATCH(A163,'Raw Stations'!$A$2:$A$299,0))</x:f>
        <x:v>0.02797364853392845</x:v>
      </x:c>
      <x:c r="C163" s="100" t="n">
        <x:f>'Raw Z'!L157</x:f>
        <x:v>0.04802820613352521</x:v>
      </x:c>
      <x:c r="D163" s="100" t="n">
        <x:f>$B$2</x:f>
        <x:v>-0.0009288398653362757</x:v>
      </x:c>
      <x:c r="E163" s="100" t="n">
        <x:f>C163-D163</x:f>
        <x:v>0.048957045998861484</x:v>
      </x:c>
      <x:c r="F163" s="100" t="n">
        <x:f>E163-B163</x:f>
        <x:v>0.020983397464933034</x:v>
      </x:c>
      <x:c r="G163" s="100" t="n">
        <x:f>ABS(F163)</x:f>
        <x:v>0.020983397464933034</x:v>
      </x:c>
      <x:c r="H163" s="100" t="n">
        <x:f>'Raw Z'!N157</x:f>
        <x:v>0.5880877164613749</x:v>
      </x:c>
      <x:c r="I163" t="b">
        <x:f>'Raw Z'!O157</x:f>
        <x:v>0</x:v>
      </x:c>
      <x:c r="J163" s="100" t="str">
        <x:f>IF(I163,B163,"")</x:f>
      </x:c>
      <x:c r="K163" s="100" t="str">
        <x:f>IF(I163,E163,"")</x:f>
      </x:c>
      <x:c r="L163" s="100" t="str">
        <x:f>IF(I163,G163,"")</x:f>
      </x:c>
      <x:c r="M163" s="100" t="str">
        <x:f>IF(I163,F163^2,"")</x:f>
      </x:c>
      <x:c r="N163" s="100" t="str">
        <x:f>IF(I163,F163,"")</x:f>
      </x:c>
      <x:c r="P163" t="str">
        <x:f>J163</x:f>
      </x:c>
      <x:c r="Q163" t="str">
        <x:f>K163</x:f>
      </x:c>
    </x:row>
    <x:row r="164">
      <x:c r="A164" s="99" t="str">
        <x:f>'Raw Z'!B158</x:f>
        <x:v>00204</x:v>
      </x:c>
      <x:c r="B164" s="100" t="n">
        <x:f>INDEX('Raw Stations'!$D$2:$D$299,MATCH(A164,'Raw Stations'!$A$2:$A$299,0))</x:f>
        <x:v>0.03222743319261328</x:v>
      </x:c>
      <x:c r="C164" s="100" t="n">
        <x:f>'Raw Z'!L158</x:f>
        <x:v>-0.02159610271643514</x:v>
      </x:c>
      <x:c r="D164" s="100" t="n">
        <x:f>$B$2</x:f>
        <x:v>-0.0009288398653362757</x:v>
      </x:c>
      <x:c r="E164" s="100" t="n">
        <x:f>C164-D164</x:f>
        <x:v>-0.020667262851098864</x:v>
      </x:c>
      <x:c r="F164" s="100" t="n">
        <x:f>E164-B164</x:f>
        <x:v>-0.05289469604371214</x:v>
      </x:c>
      <x:c r="G164" s="100" t="n">
        <x:f>ABS(F164)</x:f>
        <x:v>0.05289469604371214</x:v>
      </x:c>
      <x:c r="H164" s="100" t="n">
        <x:f>'Raw Z'!N158</x:f>
        <x:v>0.7458730732897397</x:v>
      </x:c>
      <x:c r="I164" t="b">
        <x:f>'Raw Z'!O158</x:f>
        <x:v>1</x:v>
      </x:c>
      <x:c r="J164" s="100" t="n">
        <x:f>IF(I164,B164,"")</x:f>
        <x:v>0.03222743319261328</x:v>
      </x:c>
      <x:c r="K164" s="100" t="n">
        <x:f>IF(I164,E164,"")</x:f>
        <x:v>-0.020667262851098864</x:v>
      </x:c>
      <x:c r="L164" s="100" t="n">
        <x:f>IF(I164,G164,"")</x:f>
        <x:v>0.05289469604371214</x:v>
      </x:c>
      <x:c r="M164" s="100" t="n">
        <x:f>IF(I164,F164^2,"")</x:f>
        <x:v>0.002797848869556697</x:v>
      </x:c>
      <x:c r="N164" s="100" t="n">
        <x:f>IF(I164,F164,"")</x:f>
        <x:v>-0.05289469604371214</x:v>
      </x:c>
      <x:c r="P164" t="n">
        <x:f>J164</x:f>
        <x:v>0.03222743319261328</x:v>
      </x:c>
      <x:c r="Q164" t="n">
        <x:f>K164</x:f>
        <x:v>-0.020667262851098864</x:v>
      </x:c>
    </x:row>
    <x:row r="165">
      <x:c r="A165" s="99" t="str">
        <x:f>'Raw Z'!B159</x:f>
        <x:v>00205</x:v>
      </x:c>
      <x:c r="B165" s="100" t="n">
        <x:f>INDEX('Raw Stations'!$D$2:$D$299,MATCH(A165,'Raw Stations'!$A$2:$A$299,0))</x:f>
        <x:v>0.03290607268106729</x:v>
      </x:c>
      <x:c r="C165" s="100" t="n">
        <x:f>'Raw Z'!L159</x:f>
        <x:v>-0.0255856608558101</x:v>
      </x:c>
      <x:c r="D165" s="100" t="n">
        <x:f>$B$2</x:f>
        <x:v>-0.0009288398653362757</x:v>
      </x:c>
      <x:c r="E165" s="100" t="n">
        <x:f>C165-D165</x:f>
        <x:v>-0.024656820990473824</x:v>
      </x:c>
      <x:c r="F165" s="100" t="n">
        <x:f>E165-B165</x:f>
        <x:v>-0.05756289367154111</x:v>
      </x:c>
      <x:c r="G165" s="100" t="n">
        <x:f>ABS(F165)</x:f>
        <x:v>0.05756289367154111</x:v>
      </x:c>
      <x:c r="H165" s="100" t="n">
        <x:f>'Raw Z'!N159</x:f>
        <x:v>0.9214475178402715</x:v>
      </x:c>
      <x:c r="I165" t="b">
        <x:f>'Raw Z'!O159</x:f>
        <x:v>1</x:v>
      </x:c>
      <x:c r="J165" s="100" t="n">
        <x:f>IF(I165,B165,"")</x:f>
        <x:v>0.03290607268106729</x:v>
      </x:c>
      <x:c r="K165" s="100" t="n">
        <x:f>IF(I165,E165,"")</x:f>
        <x:v>-0.024656820990473824</x:v>
      </x:c>
      <x:c r="L165" s="100" t="n">
        <x:f>IF(I165,G165,"")</x:f>
        <x:v>0.05756289367154111</x:v>
      </x:c>
      <x:c r="M165" s="100" t="n">
        <x:f>IF(I165,F165^2,"")</x:f>
        <x:v>0.0033134867278411476</x:v>
      </x:c>
      <x:c r="N165" s="100" t="n">
        <x:f>IF(I165,F165,"")</x:f>
        <x:v>-0.05756289367154111</x:v>
      </x:c>
      <x:c r="P165" t="n">
        <x:f>J165</x:f>
        <x:v>0.03290607268106729</x:v>
      </x:c>
      <x:c r="Q165" t="n">
        <x:f>K165</x:f>
        <x:v>-0.024656820990473824</x:v>
      </x:c>
    </x:row>
    <x:row r="166">
      <x:c r="A166" s="99" t="str">
        <x:f>'Raw Z'!B160</x:f>
        <x:v>00206</x:v>
      </x:c>
      <x:c r="B166" s="100" t="n">
        <x:f>INDEX('Raw Stations'!$D$2:$D$299,MATCH(A166,'Raw Stations'!$A$2:$A$299,0))</x:f>
        <x:v>-0.009619256451526385</x:v>
      </x:c>
      <x:c r="C166" s="100" t="n">
        <x:f>'Raw Z'!L160</x:f>
        <x:v>-0.01070863579078105</x:v>
      </x:c>
      <x:c r="D166" s="100" t="n">
        <x:f>$B$2</x:f>
        <x:v>-0.0009288398653362757</x:v>
      </x:c>
      <x:c r="E166" s="100" t="n">
        <x:f>C166-D166</x:f>
        <x:v>-0.009779795925444774</x:v>
      </x:c>
      <x:c r="F166" s="100" t="n">
        <x:f>E166-B166</x:f>
        <x:v>-0.00016053947391838838</x:v>
      </x:c>
      <x:c r="G166" s="100" t="n">
        <x:f>ABS(F166)</x:f>
        <x:v>0.00016053947391838838</x:v>
      </x:c>
      <x:c r="H166" s="100" t="n">
        <x:f>'Raw Z'!N160</x:f>
        <x:v>0.8833589046578694</x:v>
      </x:c>
      <x:c r="I166" t="b">
        <x:f>'Raw Z'!O160</x:f>
        <x:v>1</x:v>
      </x:c>
      <x:c r="J166" s="100" t="n">
        <x:f>IF(I166,B166,"")</x:f>
        <x:v>-0.009619256451526385</x:v>
      </x:c>
      <x:c r="K166" s="100" t="n">
        <x:f>IF(I166,E166,"")</x:f>
        <x:v>-0.009779795925444774</x:v>
      </x:c>
      <x:c r="L166" s="100" t="n">
        <x:f>IF(I166,G166,"")</x:f>
        <x:v>0.00016053947391838838</x:v>
      </x:c>
      <x:c r="M166" s="100" t="n">
        <x:f>IF(I166,F166^2,"")</x:f>
        <x:v>2.5772922685992903e-8</x:v>
      </x:c>
      <x:c r="N166" s="100" t="n">
        <x:f>IF(I166,F166,"")</x:f>
        <x:v>-0.00016053947391838838</x:v>
      </x:c>
      <x:c r="P166" t="n">
        <x:f>J166</x:f>
        <x:v>-0.009619256451526385</x:v>
      </x:c>
      <x:c r="Q166" t="n">
        <x:f>K166</x:f>
        <x:v>-0.009779795925444774</x:v>
      </x:c>
    </x:row>
    <x:row r="167">
      <x:c r="A167" s="99" t="str">
        <x:f>'Raw Z'!B161</x:f>
        <x:v>00207</x:v>
      </x:c>
      <x:c r="B167" s="100" t="n">
        <x:f>INDEX('Raw Stations'!$D$2:$D$299,MATCH(A167,'Raw Stations'!$A$2:$A$299,0))</x:f>
        <x:v>-0.007172862165031633</x:v>
      </x:c>
      <x:c r="C167" s="100" t="n">
        <x:f>'Raw Z'!L161</x:f>
        <x:v>-0.006730460807636611</x:v>
      </x:c>
      <x:c r="D167" s="100" t="n">
        <x:f>$B$2</x:f>
        <x:v>-0.0009288398653362757</x:v>
      </x:c>
      <x:c r="E167" s="100" t="n">
        <x:f>C167-D167</x:f>
        <x:v>-0.005801620942300335</x:v>
      </x:c>
      <x:c r="F167" s="100" t="n">
        <x:f>E167-B167</x:f>
        <x:v>0.0013712412227312974</x:v>
      </x:c>
      <x:c r="G167" s="100" t="n">
        <x:f>ABS(F167)</x:f>
        <x:v>0.0013712412227312974</x:v>
      </x:c>
      <x:c r="H167" s="100" t="n">
        <x:f>'Raw Z'!N161</x:f>
        <x:v>0.9104941306615064</x:v>
      </x:c>
      <x:c r="I167" t="b">
        <x:f>'Raw Z'!O161</x:f>
        <x:v>1</x:v>
      </x:c>
      <x:c r="J167" s="100" t="n">
        <x:f>IF(I167,B167,"")</x:f>
        <x:v>-0.007172862165031633</x:v>
      </x:c>
      <x:c r="K167" s="100" t="n">
        <x:f>IF(I167,E167,"")</x:f>
        <x:v>-0.005801620942300335</x:v>
      </x:c>
      <x:c r="L167" s="100" t="n">
        <x:f>IF(I167,G167,"")</x:f>
        <x:v>0.0013712412227312974</x:v>
      </x:c>
      <x:c r="M167" s="100" t="n">
        <x:f>IF(I167,F167^2,"")</x:f>
        <x:v>0.0000018803024909176236</x:v>
      </x:c>
      <x:c r="N167" s="100" t="n">
        <x:f>IF(I167,F167,"")</x:f>
        <x:v>0.0013712412227312974</x:v>
      </x:c>
      <x:c r="P167" t="n">
        <x:f>J167</x:f>
        <x:v>-0.007172862165031633</x:v>
      </x:c>
      <x:c r="Q167" t="n">
        <x:f>K167</x:f>
        <x:v>-0.005801620942300335</x:v>
      </x:c>
    </x:row>
    <x:row r="168">
      <x:c r="A168" s="99" t="str">
        <x:f>'Raw Z'!B162</x:f>
        <x:v>00209</x:v>
      </x:c>
      <x:c r="B168" s="100" t="n">
        <x:f>INDEX('Raw Stations'!$D$2:$D$299,MATCH(A168,'Raw Stations'!$A$2:$A$299,0))</x:f>
        <x:v>0.009499429343574405</x:v>
      </x:c>
      <x:c r="C168" s="100" t="n">
        <x:f>'Raw Z'!L162</x:f>
        <x:v>-0.005966097254816567</x:v>
      </x:c>
      <x:c r="D168" s="100" t="n">
        <x:f>$B$2</x:f>
        <x:v>-0.0009288398653362757</x:v>
      </x:c>
      <x:c r="E168" s="100" t="n">
        <x:f>C168-D168</x:f>
        <x:v>-0.005037257389480292</x:v>
      </x:c>
      <x:c r="F168" s="100" t="n">
        <x:f>E168-B168</x:f>
        <x:v>-0.014536686733054697</x:v>
      </x:c>
      <x:c r="G168" s="100" t="n">
        <x:f>ABS(F168)</x:f>
        <x:v>0.014536686733054697</x:v>
      </x:c>
      <x:c r="H168" s="100" t="n">
        <x:f>'Raw Z'!N162</x:f>
        <x:v>0.9090516462284577</x:v>
      </x:c>
      <x:c r="I168" t="b">
        <x:f>'Raw Z'!O162</x:f>
        <x:v>1</x:v>
      </x:c>
      <x:c r="J168" s="100" t="n">
        <x:f>IF(I168,B168,"")</x:f>
        <x:v>0.009499429343574405</x:v>
      </x:c>
      <x:c r="K168" s="100" t="n">
        <x:f>IF(I168,E168,"")</x:f>
        <x:v>-0.005037257389480292</x:v>
      </x:c>
      <x:c r="L168" s="100" t="n">
        <x:f>IF(I168,G168,"")</x:f>
        <x:v>0.014536686733054697</x:v>
      </x:c>
      <x:c r="M168" s="100" t="n">
        <x:f>IF(I168,F168^2,"")</x:f>
        <x:v>0.00021131526117496843</x:v>
      </x:c>
      <x:c r="N168" s="100" t="n">
        <x:f>IF(I168,F168,"")</x:f>
        <x:v>-0.014536686733054697</x:v>
      </x:c>
      <x:c r="P168" t="n">
        <x:f>J168</x:f>
        <x:v>0.009499429343574405</x:v>
      </x:c>
      <x:c r="Q168" t="n">
        <x:f>K168</x:f>
        <x:v>-0.005037257389480292</x:v>
      </x:c>
    </x:row>
    <x:row r="169">
      <x:c r="A169" s="99" t="str">
        <x:f>'Raw Z'!B163</x:f>
        <x:v>00210</x:v>
      </x:c>
      <x:c r="B169" s="100" t="n">
        <x:f>INDEX('Raw Stations'!$D$2:$D$299,MATCH(A169,'Raw Stations'!$A$2:$A$299,0))</x:f>
        <x:v>-0.00565086612055193</x:v>
      </x:c>
      <x:c r="C169" s="100" t="n">
        <x:f>'Raw Z'!L163</x:f>
        <x:v>-0.005431063412089997</x:v>
      </x:c>
      <x:c r="D169" s="100" t="n">
        <x:f>$B$2</x:f>
        <x:v>-0.0009288398653362757</x:v>
      </x:c>
      <x:c r="E169" s="100" t="n">
        <x:f>C169-D169</x:f>
        <x:v>-0.004502223546753722</x:v>
      </x:c>
      <x:c r="F169" s="100" t="n">
        <x:f>E169-B169</x:f>
        <x:v>0.0011486425737982078</x:v>
      </x:c>
      <x:c r="G169" s="100" t="n">
        <x:f>ABS(F169)</x:f>
        <x:v>0.0011486425737982078</x:v>
      </x:c>
      <x:c r="H169" s="100" t="n">
        <x:f>'Raw Z'!N163</x:f>
        <x:v>0.9717549140874527</x:v>
      </x:c>
      <x:c r="I169" t="b">
        <x:f>'Raw Z'!O163</x:f>
        <x:v>1</x:v>
      </x:c>
      <x:c r="J169" s="100" t="n">
        <x:f>IF(I169,B169,"")</x:f>
        <x:v>-0.00565086612055193</x:v>
      </x:c>
      <x:c r="K169" s="100" t="n">
        <x:f>IF(I169,E169,"")</x:f>
        <x:v>-0.004502223546753722</x:v>
      </x:c>
      <x:c r="L169" s="100" t="n">
        <x:f>IF(I169,G169,"")</x:f>
        <x:v>0.0011486425737982078</x:v>
      </x:c>
      <x:c r="M169" s="100" t="n">
        <x:f>IF(I169,F169^2,"")</x:f>
        <x:v>0.0000013193797623417713</x:v>
      </x:c>
      <x:c r="N169" s="100" t="n">
        <x:f>IF(I169,F169,"")</x:f>
        <x:v>0.0011486425737982078</x:v>
      </x:c>
      <x:c r="P169" t="n">
        <x:f>J169</x:f>
        <x:v>-0.00565086612055193</x:v>
      </x:c>
      <x:c r="Q169" t="n">
        <x:f>K169</x:f>
        <x:v>-0.004502223546753722</x:v>
      </x:c>
    </x:row>
    <x:row r="170">
      <x:c r="A170" s="99" t="str">
        <x:f>'Raw Z'!B164</x:f>
        <x:v>00211</x:v>
      </x:c>
      <x:c r="B170" s="100" t="n">
        <x:f>INDEX('Raw Stations'!$D$2:$D$299,MATCH(A170,'Raw Stations'!$A$2:$A$299,0))</x:f>
        <x:v>-0.01032022145899443</x:v>
      </x:c>
      <x:c r="C170" s="100" t="n">
        <x:f>'Raw Z'!L164</x:f>
        <x:v>-0.04677876510233457</x:v>
      </x:c>
      <x:c r="D170" s="100" t="n">
        <x:f>$B$2</x:f>
        <x:v>-0.0009288398653362757</x:v>
      </x:c>
      <x:c r="E170" s="100" t="n">
        <x:f>C170-D170</x:f>
        <x:v>-0.045849925236998296</x:v>
      </x:c>
      <x:c r="F170" s="100" t="n">
        <x:f>E170-B170</x:f>
        <x:v>-0.035529703778003865</x:v>
      </x:c>
      <x:c r="G170" s="100" t="n">
        <x:f>ABS(F170)</x:f>
        <x:v>0.035529703778003865</x:v>
      </x:c>
      <x:c r="H170" s="100" t="n">
        <x:f>'Raw Z'!N164</x:f>
        <x:v>0.9413968262606612</x:v>
      </x:c>
      <x:c r="I170" t="b">
        <x:f>'Raw Z'!O164</x:f>
        <x:v>1</x:v>
      </x:c>
      <x:c r="J170" s="100" t="n">
        <x:f>IF(I170,B170,"")</x:f>
        <x:v>-0.01032022145899443</x:v>
      </x:c>
      <x:c r="K170" s="100" t="n">
        <x:f>IF(I170,E170,"")</x:f>
        <x:v>-0.045849925236998296</x:v>
      </x:c>
      <x:c r="L170" s="100" t="n">
        <x:f>IF(I170,G170,"")</x:f>
        <x:v>0.035529703778003865</x:v>
      </x:c>
      <x:c r="M170" s="100" t="n">
        <x:f>IF(I170,F170^2,"")</x:f>
        <x:v>0.001262359850552702</x:v>
      </x:c>
      <x:c r="N170" s="100" t="n">
        <x:f>IF(I170,F170,"")</x:f>
        <x:v>-0.035529703778003865</x:v>
      </x:c>
      <x:c r="P170" t="n">
        <x:f>J170</x:f>
        <x:v>-0.01032022145899443</x:v>
      </x:c>
      <x:c r="Q170" t="n">
        <x:f>K170</x:f>
        <x:v>-0.045849925236998296</x:v>
      </x:c>
    </x:row>
    <x:row r="171">
      <x:c r="A171" s="99" t="str">
        <x:f>'Raw Z'!B165</x:f>
        <x:v>00212</x:v>
      </x:c>
      <x:c r="B171" s="100" t="n">
        <x:f>INDEX('Raw Stations'!$D$2:$D$299,MATCH(A171,'Raw Stations'!$A$2:$A$299,0))</x:f>
        <x:v>0.00106279257642573</x:v>
      </x:c>
      <x:c r="C171" s="100" t="n">
        <x:f>'Raw Z'!L165</x:f>
        <x:v>0.003890433494064781</x:v>
      </x:c>
      <x:c r="D171" s="100" t="n">
        <x:f>$B$2</x:f>
        <x:v>-0.0009288398653362757</x:v>
      </x:c>
      <x:c r="E171" s="100" t="n">
        <x:f>C171-D171</x:f>
        <x:v>0.0048192733594010564</x:v>
      </x:c>
      <x:c r="F171" s="100" t="n">
        <x:f>E171-B171</x:f>
        <x:v>0.0037564807829753265</x:v>
      </x:c>
      <x:c r="G171" s="100" t="n">
        <x:f>ABS(F171)</x:f>
        <x:v>0.0037564807829753265</x:v>
      </x:c>
      <x:c r="H171" s="100" t="n">
        <x:f>'Raw Z'!N165</x:f>
        <x:v>0.9937445758444088</x:v>
      </x:c>
      <x:c r="I171" t="b">
        <x:f>'Raw Z'!O165</x:f>
        <x:v>1</x:v>
      </x:c>
      <x:c r="J171" s="100" t="n">
        <x:f>IF(I171,B171,"")</x:f>
        <x:v>0.00106279257642573</x:v>
      </x:c>
      <x:c r="K171" s="100" t="n">
        <x:f>IF(I171,E171,"")</x:f>
        <x:v>0.0048192733594010564</x:v>
      </x:c>
      <x:c r="L171" s="100" t="n">
        <x:f>IF(I171,G171,"")</x:f>
        <x:v>0.0037564807829753265</x:v>
      </x:c>
      <x:c r="M171" s="100" t="n">
        <x:f>IF(I171,F171^2,"")</x:f>
        <x:v>0.000014111147872862922</x:v>
      </x:c>
      <x:c r="N171" s="100" t="n">
        <x:f>IF(I171,F171,"")</x:f>
        <x:v>0.0037564807829753265</x:v>
      </x:c>
      <x:c r="P171" t="n">
        <x:f>J171</x:f>
        <x:v>0.00106279257642573</x:v>
      </x:c>
      <x:c r="Q171" t="n">
        <x:f>K171</x:f>
        <x:v>0.0048192733594010564</x:v>
      </x:c>
    </x:row>
    <x:row r="172">
      <x:c r="A172" s="99" t="str">
        <x:f>'Raw Z'!B166</x:f>
        <x:v>00213</x:v>
      </x:c>
      <x:c r="B172" s="100" t="n">
        <x:f>INDEX('Raw Stations'!$D$2:$D$299,MATCH(A172,'Raw Stations'!$A$2:$A$299,0))</x:f>
        <x:v>0.0001407953079788117</x:v>
      </x:c>
      <x:c r="C172" s="100" t="n">
        <x:f>'Raw Z'!L166</x:f>
        <x:v>0.004752831862520915</x:v>
      </x:c>
      <x:c r="D172" s="100" t="n">
        <x:f>$B$2</x:f>
        <x:v>-0.0009288398653362757</x:v>
      </x:c>
      <x:c r="E172" s="100" t="n">
        <x:f>C172-D172</x:f>
        <x:v>0.0056816717278571904</x:v>
      </x:c>
      <x:c r="F172" s="100" t="n">
        <x:f>E172-B172</x:f>
        <x:v>0.005540876419878379</x:v>
      </x:c>
      <x:c r="G172" s="100" t="n">
        <x:f>ABS(F172)</x:f>
        <x:v>0.005540876419878379</x:v>
      </x:c>
      <x:c r="H172" s="100" t="n">
        <x:f>'Raw Z'!N166</x:f>
        <x:v>0.9723730471629957</x:v>
      </x:c>
      <x:c r="I172" t="b">
        <x:f>'Raw Z'!O166</x:f>
        <x:v>1</x:v>
      </x:c>
      <x:c r="J172" s="100" t="n">
        <x:f>IF(I172,B172,"")</x:f>
        <x:v>0.0001407953079788117</x:v>
      </x:c>
      <x:c r="K172" s="100" t="n">
        <x:f>IF(I172,E172,"")</x:f>
        <x:v>0.0056816717278571904</x:v>
      </x:c>
      <x:c r="L172" s="100" t="n">
        <x:f>IF(I172,G172,"")</x:f>
        <x:v>0.005540876419878379</x:v>
      </x:c>
      <x:c r="M172" s="100" t="n">
        <x:f>IF(I172,F172^2,"")</x:f>
        <x:v>0.00003070131150036424</x:v>
      </x:c>
      <x:c r="N172" s="100" t="n">
        <x:f>IF(I172,F172,"")</x:f>
        <x:v>0.005540876419878379</x:v>
      </x:c>
      <x:c r="P172" t="n">
        <x:f>J172</x:f>
        <x:v>0.0001407953079788117</x:v>
      </x:c>
      <x:c r="Q172" t="n">
        <x:f>K172</x:f>
        <x:v>0.0056816717278571904</x:v>
      </x:c>
    </x:row>
    <x:row r="173">
      <x:c r="A173" s="99" t="str">
        <x:f>'Raw Z'!B167</x:f>
        <x:v>00214</x:v>
      </x:c>
      <x:c r="B173" s="100" t="n">
        <x:f>INDEX('Raw Stations'!$D$2:$D$299,MATCH(A173,'Raw Stations'!$A$2:$A$299,0))</x:f>
        <x:v>0.00355898282164346</x:v>
      </x:c>
      <x:c r="C173" s="100" t="n">
        <x:f>'Raw Z'!L167</x:f>
        <x:v>-0.01689956082169668</x:v>
      </x:c>
      <x:c r="D173" s="100" t="n">
        <x:f>$B$2</x:f>
        <x:v>-0.0009288398653362757</x:v>
      </x:c>
      <x:c r="E173" s="100" t="n">
        <x:f>C173-D173</x:f>
        <x:v>-0.015970720956360405</x:v>
      </x:c>
      <x:c r="F173" s="100" t="n">
        <x:f>E173-B173</x:f>
        <x:v>-0.019529703778003865</x:v>
      </x:c>
      <x:c r="G173" s="100" t="n">
        <x:f>ABS(F173)</x:f>
        <x:v>0.019529703778003865</x:v>
      </x:c>
      <x:c r="H173" s="100" t="n">
        <x:f>'Raw Z'!N167</x:f>
        <x:v>0.880622472729533</x:v>
      </x:c>
      <x:c r="I173" t="b">
        <x:f>'Raw Z'!O167</x:f>
        <x:v>1</x:v>
      </x:c>
      <x:c r="J173" s="100" t="n">
        <x:f>IF(I173,B173,"")</x:f>
        <x:v>0.00355898282164346</x:v>
      </x:c>
      <x:c r="K173" s="100" t="n">
        <x:f>IF(I173,E173,"")</x:f>
        <x:v>-0.015970720956360405</x:v>
      </x:c>
      <x:c r="L173" s="100" t="n">
        <x:f>IF(I173,G173,"")</x:f>
        <x:v>0.019529703778003865</x:v>
      </x:c>
      <x:c r="M173" s="100" t="n">
        <x:f>IF(I173,F173^2,"")</x:f>
        <x:v>0.00038140932965657844</x:v>
      </x:c>
      <x:c r="N173" s="100" t="n">
        <x:f>IF(I173,F173,"")</x:f>
        <x:v>-0.019529703778003865</x:v>
      </x:c>
      <x:c r="P173" t="n">
        <x:f>J173</x:f>
        <x:v>0.00355898282164346</x:v>
      </x:c>
      <x:c r="Q173" t="n">
        <x:f>K173</x:f>
        <x:v>-0.015970720956360405</x:v>
      </x:c>
    </x:row>
    <x:row r="174">
      <x:c r="A174" s="99" t="str">
        <x:f>'Raw Z'!B168</x:f>
        <x:v>00215</x:v>
      </x:c>
      <x:c r="B174" s="100" t="n">
        <x:f>INDEX('Raw Stations'!$D$2:$D$299,MATCH(A174,'Raw Stations'!$A$2:$A$299,0))</x:f>
        <x:v>0.004751695118382891</x:v>
      </x:c>
      <x:c r="C174" s="100" t="n">
        <x:f>'Raw Z'!L168</x:f>
        <x:v>0.04225996158150548</x:v>
      </x:c>
      <x:c r="D174" s="100" t="n">
        <x:f>$B$2</x:f>
        <x:v>-0.0009288398653362757</x:v>
      </x:c>
      <x:c r="E174" s="100" t="n">
        <x:f>C174-D174</x:f>
        <x:v>0.04318880144684176</x:v>
      </x:c>
      <x:c r="F174" s="100" t="n">
        <x:f>E174-B174</x:f>
        <x:v>0.03843710632845886</x:v>
      </x:c>
      <x:c r="G174" s="100" t="n">
        <x:f>ABS(F174)</x:f>
        <x:v>0.03843710632845886</x:v>
      </x:c>
      <x:c r="H174" s="100" t="n">
        <x:f>'Raw Z'!N168</x:f>
        <x:v>0.6966173422033325</x:v>
      </x:c>
      <x:c r="I174" t="b">
        <x:f>'Raw Z'!O168</x:f>
        <x:v>1</x:v>
      </x:c>
      <x:c r="J174" s="100" t="n">
        <x:f>IF(I174,B174,"")</x:f>
        <x:v>0.004751695118382891</x:v>
      </x:c>
      <x:c r="K174" s="100" t="n">
        <x:f>IF(I174,E174,"")</x:f>
        <x:v>0.04318880144684176</x:v>
      </x:c>
      <x:c r="L174" s="100" t="n">
        <x:f>IF(I174,G174,"")</x:f>
        <x:v>0.03843710632845886</x:v>
      </x:c>
      <x:c r="M174" s="100" t="n">
        <x:f>IF(I174,F174^2,"")</x:f>
        <x:v>0.0014774111429052524</x:v>
      </x:c>
      <x:c r="N174" s="100" t="n">
        <x:f>IF(I174,F174,"")</x:f>
        <x:v>0.03843710632845886</x:v>
      </x:c>
      <x:c r="P174" t="n">
        <x:f>J174</x:f>
        <x:v>0.004751695118382891</x:v>
      </x:c>
      <x:c r="Q174" t="n">
        <x:f>K174</x:f>
        <x:v>0.04318880144684176</x:v>
      </x:c>
    </x:row>
    <x:row r="175">
      <x:c r="A175" s="99" t="str">
        <x:f>'Raw Z'!B169</x:f>
        <x:v>00216</x:v>
      </x:c>
      <x:c r="B175" s="100" t="n">
        <x:f>INDEX('Raw Stations'!$D$2:$D$299,MATCH(A175,'Raw Stations'!$A$2:$A$299,0))</x:f>
        <x:v>0.003101601441187631</x:v>
      </x:c>
      <x:c r="C175" s="100" t="n">
        <x:f>'Raw Z'!L169</x:f>
        <x:v>0.0005912529156501395</x:v>
      </x:c>
      <x:c r="D175" s="100" t="n">
        <x:f>$B$2</x:f>
        <x:v>-0.0009288398653362757</x:v>
      </x:c>
      <x:c r="E175" s="100" t="n">
        <x:f>C175-D175</x:f>
        <x:v>0.001520092780986415</x:v>
      </x:c>
      <x:c r="F175" s="100" t="n">
        <x:f>E175-B175</x:f>
        <x:v>-0.0015815086602012159</x:v>
      </x:c>
      <x:c r="G175" s="100" t="n">
        <x:f>ABS(F175)</x:f>
        <x:v>0.0015815086602012159</x:v>
      </x:c>
      <x:c r="H175" s="100" t="n">
        <x:f>'Raw Z'!N169</x:f>
        <x:v>0.6974971156086355</x:v>
      </x:c>
      <x:c r="I175" t="b">
        <x:f>'Raw Z'!O169</x:f>
        <x:v>1</x:v>
      </x:c>
      <x:c r="J175" s="100" t="n">
        <x:f>IF(I175,B175,"")</x:f>
        <x:v>0.003101601441187631</x:v>
      </x:c>
      <x:c r="K175" s="100" t="n">
        <x:f>IF(I175,E175,"")</x:f>
        <x:v>0.001520092780986415</x:v>
      </x:c>
      <x:c r="L175" s="100" t="n">
        <x:f>IF(I175,G175,"")</x:f>
        <x:v>0.0015815086602012159</x:v>
      </x:c>
      <x:c r="M175" s="100" t="n">
        <x:f>IF(I175,F175^2,"")</x:f>
        <x:v>0.000002501169642291445</x:v>
      </x:c>
      <x:c r="N175" s="100" t="n">
        <x:f>IF(I175,F175,"")</x:f>
        <x:v>-0.0015815086602012159</x:v>
      </x:c>
      <x:c r="P175" t="n">
        <x:f>J175</x:f>
        <x:v>0.003101601441187631</x:v>
      </x:c>
      <x:c r="Q175" t="n">
        <x:f>K175</x:f>
        <x:v>0.001520092780986415</x:v>
      </x:c>
    </x:row>
    <x:row r="176">
      <x:c r="A176" s="99" t="str">
        <x:f>'Raw Z'!B170</x:f>
        <x:v>00217</x:v>
      </x:c>
      <x:c r="B176" s="100" t="n">
        <x:f>INDEX('Raw Stations'!$D$2:$D$299,MATCH(A176,'Raw Stations'!$A$2:$A$299,0))</x:f>
        <x:v>0.01503641012920754</x:v>
      </x:c>
      <x:c r="C176" s="100" t="n">
        <x:f>'Raw Z'!L170</x:f>
        <x:v>0.003742340163320021</x:v>
      </x:c>
      <x:c r="D176" s="100" t="n">
        <x:f>$B$2</x:f>
        <x:v>-0.0009288398653362757</x:v>
      </x:c>
      <x:c r="E176" s="100" t="n">
        <x:f>C176-D176</x:f>
        <x:v>0.0046711800286562966</x:v>
      </x:c>
      <x:c r="F176" s="100" t="n">
        <x:f>E176-B176</x:f>
        <x:v>-0.010365230100551244</x:v>
      </x:c>
      <x:c r="G176" s="100" t="n">
        <x:f>ABS(F176)</x:f>
        <x:v>0.010365230100551244</x:v>
      </x:c>
      <x:c r="H176" s="100" t="n">
        <x:f>'Raw Z'!N170</x:f>
        <x:v>0.853631940363086</x:v>
      </x:c>
      <x:c r="I176" t="b">
        <x:f>'Raw Z'!O170</x:f>
        <x:v>1</x:v>
      </x:c>
      <x:c r="J176" s="100" t="n">
        <x:f>IF(I176,B176,"")</x:f>
        <x:v>0.01503641012920754</x:v>
      </x:c>
      <x:c r="K176" s="100" t="n">
        <x:f>IF(I176,E176,"")</x:f>
        <x:v>0.0046711800286562966</x:v>
      </x:c>
      <x:c r="L176" s="100" t="n">
        <x:f>IF(I176,G176,"")</x:f>
        <x:v>0.010365230100551244</x:v>
      </x:c>
      <x:c r="M176" s="100" t="n">
        <x:f>IF(I176,F176^2,"")</x:f>
        <x:v>0.00010743799503737355</x:v>
      </x:c>
      <x:c r="N176" s="100" t="n">
        <x:f>IF(I176,F176,"")</x:f>
        <x:v>-0.010365230100551244</x:v>
      </x:c>
      <x:c r="P176" t="n">
        <x:f>J176</x:f>
        <x:v>0.01503641012920754</x:v>
      </x:c>
      <x:c r="Q176" t="n">
        <x:f>K176</x:f>
        <x:v>0.0046711800286562966</x:v>
      </x:c>
    </x:row>
    <x:row r="177">
      <x:c r="A177" s="99" t="str">
        <x:f>'Raw Z'!B171</x:f>
        <x:v>00218</x:v>
      </x:c>
      <x:c r="B177" s="100" t="n">
        <x:f>INDEX('Raw Stations'!$D$2:$D$299,MATCH(A177,'Raw Stations'!$A$2:$A$299,0))</x:f>
        <x:v>0.01187050924168058</x:v>
      </x:c>
      <x:c r="C177" s="100" t="n">
        <x:f>'Raw Z'!L171</x:f>
        <x:v>0.03648254579622268</x:v>
      </x:c>
      <x:c r="D177" s="100" t="n">
        <x:f>$B$2</x:f>
        <x:v>-0.0009288398653362757</x:v>
      </x:c>
      <x:c r="E177" s="100" t="n">
        <x:f>C177-D177</x:f>
        <x:v>0.03741138566155896</x:v>
      </x:c>
      <x:c r="F177" s="100" t="n">
        <x:f>E177-B177</x:f>
        <x:v>0.02554087641987838</x:v>
      </x:c>
      <x:c r="G177" s="100" t="n">
        <x:f>ABS(F177)</x:f>
        <x:v>0.02554087641987838</x:v>
      </x:c>
      <x:c r="H177" s="100" t="n">
        <x:f>'Raw Z'!N171</x:f>
        <x:v>0.6869950073274178</x:v>
      </x:c>
      <x:c r="I177" t="b">
        <x:f>'Raw Z'!O171</x:f>
        <x:v>1</x:v>
      </x:c>
      <x:c r="J177" s="100" t="n">
        <x:f>IF(I177,B177,"")</x:f>
        <x:v>0.01187050924168058</x:v>
      </x:c>
      <x:c r="K177" s="100" t="n">
        <x:f>IF(I177,E177,"")</x:f>
        <x:v>0.03741138566155896</x:v>
      </x:c>
      <x:c r="L177" s="100" t="n">
        <x:f>IF(I177,G177,"")</x:f>
        <x:v>0.02554087641987838</x:v>
      </x:c>
      <x:c r="M177" s="100" t="n">
        <x:f>IF(I177,F177^2,"")</x:f>
        <x:v>0.0006523363682954995</x:v>
      </x:c>
      <x:c r="N177" s="100" t="n">
        <x:f>IF(I177,F177,"")</x:f>
        <x:v>0.02554087641987838</x:v>
      </x:c>
      <x:c r="P177" t="n">
        <x:f>J177</x:f>
        <x:v>0.01187050924168058</x:v>
      </x:c>
      <x:c r="Q177" t="n">
        <x:f>K177</x:f>
        <x:v>0.03741138566155896</x:v>
      </x:c>
    </x:row>
    <x:row r="178">
      <x:c r="A178" s="99" t="str">
        <x:f>'Raw Z'!B172</x:f>
        <x:v>00219</x:v>
      </x:c>
      <x:c r="B178" s="100" t="n">
        <x:f>INDEX('Raw Stations'!$D$2:$D$299,MATCH(A178,'Raw Stations'!$A$2:$A$299,0))</x:f>
        <x:v>0.02130093791491798</x:v>
      </x:c>
      <x:c r="C178" s="100" t="n">
        <x:f>'Raw Z'!L172</x:f>
        <x:v>0.04902632445933483</x:v>
      </x:c>
      <x:c r="D178" s="100" t="n">
        <x:f>$B$2</x:f>
        <x:v>-0.0009288398653362757</x:v>
      </x:c>
      <x:c r="E178" s="100" t="n">
        <x:f>C178-D178</x:f>
        <x:v>0.049955164324671106</x:v>
      </x:c>
      <x:c r="F178" s="100" t="n">
        <x:f>E178-B178</x:f>
        <x:v>0.028654226409753125</x:v>
      </x:c>
      <x:c r="G178" s="100" t="n">
        <x:f>ABS(F178)</x:f>
        <x:v>0.028654226409753125</x:v>
      </x:c>
      <x:c r="H178" s="100" t="n">
        <x:f>'Raw Z'!N172</x:f>
        <x:v>0.5863596651774323</x:v>
      </x:c>
      <x:c r="I178" t="b">
        <x:f>'Raw Z'!O172</x:f>
        <x:v>0</x:v>
      </x:c>
      <x:c r="J178" s="100" t="str">
        <x:f>IF(I178,B178,"")</x:f>
      </x:c>
      <x:c r="K178" s="100" t="str">
        <x:f>IF(I178,E178,"")</x:f>
      </x:c>
      <x:c r="L178" s="100" t="str">
        <x:f>IF(I178,G178,"")</x:f>
      </x:c>
      <x:c r="M178" s="100" t="str">
        <x:f>IF(I178,F178^2,"")</x:f>
      </x:c>
      <x:c r="N178" s="100" t="str">
        <x:f>IF(I178,F178,"")</x:f>
      </x:c>
      <x:c r="P178" t="str">
        <x:f>J178</x:f>
      </x:c>
      <x:c r="Q178" t="str">
        <x:f>K178</x:f>
      </x:c>
    </x:row>
    <x:row r="179">
      <x:c r="A179" s="99" t="str">
        <x:f>'Raw Z'!B173</x:f>
        <x:v>00220</x:v>
      </x:c>
      <x:c r="B179" s="100" t="n">
        <x:f>INDEX('Raw Stations'!$D$2:$D$299,MATCH(A179,'Raw Stations'!$A$2:$A$299,0))</x:f>
        <x:v>0.02696093406928705</x:v>
      </x:c>
      <x:c r="C179" s="100" t="n">
        <x:f>'Raw Z'!L173</x:f>
        <x:v>-0.004286234068192049</x:v>
      </x:c>
      <x:c r="D179" s="100" t="n">
        <x:f>$B$2</x:f>
        <x:v>-0.0009288398653362757</x:v>
      </x:c>
      <x:c r="E179" s="100" t="n">
        <x:f>C179-D179</x:f>
        <x:v>-0.0033573942028557735</x:v>
      </x:c>
      <x:c r="F179" s="100" t="n">
        <x:f>E179-B179</x:f>
        <x:v>-0.030318328272142824</x:v>
      </x:c>
      <x:c r="G179" s="100" t="n">
        <x:f>ABS(F179)</x:f>
        <x:v>0.030318328272142824</x:v>
      </x:c>
      <x:c r="H179" s="100" t="n">
        <x:f>'Raw Z'!N173</x:f>
        <x:v>0.8875183973341142</x:v>
      </x:c>
      <x:c r="I179" t="b">
        <x:f>'Raw Z'!O173</x:f>
        <x:v>1</x:v>
      </x:c>
      <x:c r="J179" s="100" t="n">
        <x:f>IF(I179,B179,"")</x:f>
        <x:v>0.02696093406928705</x:v>
      </x:c>
      <x:c r="K179" s="100" t="n">
        <x:f>IF(I179,E179,"")</x:f>
        <x:v>-0.0033573942028557735</x:v>
      </x:c>
      <x:c r="L179" s="100" t="n">
        <x:f>IF(I179,G179,"")</x:f>
        <x:v>0.030318328272142824</x:v>
      </x:c>
      <x:c r="M179" s="100" t="n">
        <x:f>IF(I179,F179^2,"")</x:f>
        <x:v>0.0009192010292174149</x:v>
      </x:c>
      <x:c r="N179" s="100" t="n">
        <x:f>IF(I179,F179,"")</x:f>
        <x:v>-0.030318328272142824</x:v>
      </x:c>
      <x:c r="P179" t="n">
        <x:f>J179</x:f>
        <x:v>0.02696093406928705</x:v>
      </x:c>
      <x:c r="Q179" t="n">
        <x:f>K179</x:f>
        <x:v>-0.0033573942028557735</x:v>
      </x:c>
    </x:row>
    <x:row r="180">
      <x:c r="A180" s="99" t="str">
        <x:f>'Raw Z'!B174</x:f>
        <x:v>00221</x:v>
      </x:c>
      <x:c r="B180" s="100" t="n">
        <x:f>INDEX('Raw Stations'!$D$2:$D$299,MATCH(A180,'Raw Stations'!$A$2:$A$299,0))</x:f>
        <x:v>0.02964191310606143</x:v>
      </x:c>
      <x:c r="C180" s="100" t="n">
        <x:f>'Raw Z'!L174</x:f>
        <x:v>0.0463478431401739</x:v>
      </x:c>
      <x:c r="D180" s="100" t="n">
        <x:f>$B$2</x:f>
        <x:v>-0.0009288398653362757</x:v>
      </x:c>
      <x:c r="E180" s="100" t="n">
        <x:f>C180-D180</x:f>
        <x:v>0.047276683005510176</x:v>
      </x:c>
      <x:c r="F180" s="100" t="n">
        <x:f>E180-B180</x:f>
        <x:v>0.017634769899448746</x:v>
      </x:c>
      <x:c r="G180" s="100" t="n">
        <x:f>ABS(F180)</x:f>
        <x:v>0.017634769899448746</x:v>
      </x:c>
      <x:c r="H180" s="100" t="n">
        <x:f>'Raw Z'!N174</x:f>
        <x:v>0.578886629874978</x:v>
      </x:c>
      <x:c r="I180" t="b">
        <x:f>'Raw Z'!O174</x:f>
        <x:v>0</x:v>
      </x:c>
      <x:c r="J180" s="100" t="str">
        <x:f>IF(I180,B180,"")</x:f>
      </x:c>
      <x:c r="K180" s="100" t="str">
        <x:f>IF(I180,E180,"")</x:f>
      </x:c>
      <x:c r="L180" s="100" t="str">
        <x:f>IF(I180,G180,"")</x:f>
      </x:c>
      <x:c r="M180" s="100" t="str">
        <x:f>IF(I180,F180^2,"")</x:f>
      </x:c>
      <x:c r="N180" s="100" t="str">
        <x:f>IF(I180,F180,"")</x:f>
      </x:c>
      <x:c r="P180" t="str">
        <x:f>J180</x:f>
      </x:c>
      <x:c r="Q180" t="str">
        <x:f>K180</x:f>
      </x:c>
    </x:row>
    <x:row r="181">
      <x:c r="A181" s="99" t="str">
        <x:f>'Raw Z'!B175</x:f>
        <x:v>00222</x:v>
      </x:c>
      <x:c r="B181" s="100" t="n">
        <x:f>INDEX('Raw Stations'!$D$2:$D$299,MATCH(A181,'Raw Stations'!$A$2:$A$299,0))</x:f>
        <x:v>-0.01066758252297335</x:v>
      </x:c>
      <x:c r="C181" s="100" t="n">
        <x:f>'Raw Z'!L175</x:f>
        <x:v>-0.007523374619804905</x:v>
      </x:c>
      <x:c r="D181" s="100" t="n">
        <x:f>$B$2</x:f>
        <x:v>-0.0009288398653362757</x:v>
      </x:c>
      <x:c r="E181" s="100" t="n">
        <x:f>C181-D181</x:f>
        <x:v>-0.006594534754468629</x:v>
      </x:c>
      <x:c r="F181" s="100" t="n">
        <x:f>E181-B181</x:f>
        <x:v>0.0040730477685047214</x:v>
      </x:c>
      <x:c r="G181" s="100" t="n">
        <x:f>ABS(F181)</x:f>
        <x:v>0.0040730477685047214</x:v>
      </x:c>
      <x:c r="H181" s="100" t="n">
        <x:f>'Raw Z'!N175</x:f>
        <x:v>0.9495605564550206</x:v>
      </x:c>
      <x:c r="I181" t="b">
        <x:f>'Raw Z'!O175</x:f>
        <x:v>1</x:v>
      </x:c>
      <x:c r="J181" s="100" t="n">
        <x:f>IF(I181,B181,"")</x:f>
        <x:v>-0.01066758252297335</x:v>
      </x:c>
      <x:c r="K181" s="100" t="n">
        <x:f>IF(I181,E181,"")</x:f>
        <x:v>-0.006594534754468629</x:v>
      </x:c>
      <x:c r="L181" s="100" t="n">
        <x:f>IF(I181,G181,"")</x:f>
        <x:v>0.0040730477685047214</x:v>
      </x:c>
      <x:c r="M181" s="100" t="n">
        <x:f>IF(I181,F181^2,"")</x:f>
        <x:v>0.00001658971812452129</x:v>
      </x:c>
      <x:c r="N181" s="100" t="n">
        <x:f>IF(I181,F181,"")</x:f>
        <x:v>0.0040730477685047214</x:v>
      </x:c>
      <x:c r="P181" t="n">
        <x:f>J181</x:f>
        <x:v>-0.01066758252297335</x:v>
      </x:c>
      <x:c r="Q181" t="n">
        <x:f>K181</x:f>
        <x:v>-0.006594534754468629</x:v>
      </x:c>
    </x:row>
    <x:row r="182">
      <x:c r="A182" s="99" t="str">
        <x:f>'Raw Z'!B176</x:f>
        <x:v>00223</x:v>
      </x:c>
      <x:c r="B182" s="100" t="n">
        <x:f>INDEX('Raw Stations'!$D$2:$D$299,MATCH(A182,'Raw Stations'!$A$2:$A$299,0))</x:f>
        <x:v>-0.009487009863670848</x:v>
      </x:c>
      <x:c r="C182" s="100" t="n">
        <x:f>'Raw Z'!L176</x:f>
        <x:v>-0.009945553507010992</x:v>
      </x:c>
      <x:c r="D182" s="100" t="n">
        <x:f>$B$2</x:f>
        <x:v>-0.0009288398653362757</x:v>
      </x:c>
      <x:c r="E182" s="100" t="n">
        <x:f>C182-D182</x:f>
        <x:v>-0.009016713641674716</x:v>
      </x:c>
      <x:c r="F182" s="100" t="n">
        <x:f>E182-B182</x:f>
        <x:v>0.0004702962219961318</x:v>
      </x:c>
      <x:c r="G182" s="100" t="n">
        <x:f>ABS(F182)</x:f>
        <x:v>0.0004702962219961318</x:v>
      </x:c>
      <x:c r="H182" s="100" t="n">
        <x:f>'Raw Z'!N176</x:f>
        <x:v>0.9540457491001252</x:v>
      </x:c>
      <x:c r="I182" t="b">
        <x:f>'Raw Z'!O176</x:f>
        <x:v>1</x:v>
      </x:c>
      <x:c r="J182" s="100" t="n">
        <x:f>IF(I182,B182,"")</x:f>
        <x:v>-0.009487009863670848</x:v>
      </x:c>
      <x:c r="K182" s="100" t="n">
        <x:f>IF(I182,E182,"")</x:f>
        <x:v>-0.009016713641674716</x:v>
      </x:c>
      <x:c r="L182" s="100" t="n">
        <x:f>IF(I182,G182,"")</x:f>
        <x:v>0.0004702962219961318</x:v>
      </x:c>
      <x:c r="M182" s="100" t="n">
        <x:f>IF(I182,F182^2,"")</x:f>
        <x:v>2.211785364238349e-7</x:v>
      </x:c>
      <x:c r="N182" s="100" t="n">
        <x:f>IF(I182,F182,"")</x:f>
        <x:v>0.0004702962219961318</x:v>
      </x:c>
      <x:c r="P182" t="n">
        <x:f>J182</x:f>
        <x:v>-0.009487009863670848</x:v>
      </x:c>
      <x:c r="Q182" t="n">
        <x:f>K182</x:f>
        <x:v>-0.009016713641674716</x:v>
      </x:c>
    </x:row>
    <x:row r="183">
      <x:c r="A183" s="99" t="str">
        <x:f>'Raw Z'!B177</x:f>
        <x:v>00225</x:v>
      </x:c>
      <x:c r="B183" s="100" t="n">
        <x:f>INDEX('Raw Stations'!$D$2:$D$299,MATCH(A183,'Raw Stations'!$A$2:$A$299,0))</x:f>
        <x:v>-0.003118418186049781</x:v>
      </x:c>
      <x:c r="C183" s="100" t="n">
        <x:f>'Raw Z'!L177</x:f>
        <x:v>-0.04788179855884021</x:v>
      </x:c>
      <x:c r="D183" s="100" t="n">
        <x:f>$B$2</x:f>
        <x:v>-0.0009288398653362757</x:v>
      </x:c>
      <x:c r="E183" s="100" t="n">
        <x:f>C183-D183</x:f>
        <x:v>-0.04695295869350394</x:v>
      </x:c>
      <x:c r="F183" s="100" t="n">
        <x:f>E183-B183</x:f>
        <x:v>-0.04383454050745415</x:v>
      </x:c>
      <x:c r="G183" s="100" t="n">
        <x:f>ABS(F183)</x:f>
        <x:v>0.04383454050745415</x:v>
      </x:c>
      <x:c r="H183" s="100" t="n">
        <x:f>'Raw Z'!N177</x:f>
        <x:v>0.9204875971696622</x:v>
      </x:c>
      <x:c r="I183" t="b">
        <x:f>'Raw Z'!O177</x:f>
        <x:v>1</x:v>
      </x:c>
      <x:c r="J183" s="100" t="n">
        <x:f>IF(I183,B183,"")</x:f>
        <x:v>-0.003118418186049781</x:v>
      </x:c>
      <x:c r="K183" s="100" t="n">
        <x:f>IF(I183,E183,"")</x:f>
        <x:v>-0.04695295869350394</x:v>
      </x:c>
      <x:c r="L183" s="100" t="n">
        <x:f>IF(I183,G183,"")</x:f>
        <x:v>0.04383454050745415</x:v>
      </x:c>
      <x:c r="M183" s="100" t="n">
        <x:f>IF(I183,F183^2,"")</x:f>
        <x:v>0.001921466941499639</x:v>
      </x:c>
      <x:c r="N183" s="100" t="n">
        <x:f>IF(I183,F183,"")</x:f>
        <x:v>-0.04383454050745415</x:v>
      </x:c>
      <x:c r="P183" t="n">
        <x:f>J183</x:f>
        <x:v>-0.003118418186049781</x:v>
      </x:c>
      <x:c r="Q183" t="n">
        <x:f>K183</x:f>
        <x:v>-0.04695295869350394</x:v>
      </x:c>
    </x:row>
    <x:row r="184">
      <x:c r="A184" s="99" t="str">
        <x:f>'Raw Z'!B178</x:f>
        <x:v>00226</x:v>
      </x:c>
      <x:c r="B184" s="100" t="n">
        <x:f>INDEX('Raw Stations'!$D$2:$D$299,MATCH(A184,'Raw Stations'!$A$2:$A$299,0))</x:f>
        <x:v>-0.003767656381839121</x:v>
      </x:c>
      <x:c r="C184" s="100" t="n">
        <x:f>'Raw Z'!L178</x:f>
        <x:v>-0.01106172634772665</x:v>
      </x:c>
      <x:c r="D184" s="100" t="n">
        <x:f>$B$2</x:f>
        <x:v>-0.0009288398653362757</x:v>
      </x:c>
      <x:c r="E184" s="100" t="n">
        <x:f>C184-D184</x:f>
        <x:v>-0.010132886482390375</x:v>
      </x:c>
      <x:c r="F184" s="100" t="n">
        <x:f>E184-B184</x:f>
        <x:v>-0.006365230100551254</x:v>
      </x:c>
      <x:c r="G184" s="100" t="n">
        <x:f>ABS(F184)</x:f>
        <x:v>0.006365230100551254</x:v>
      </x:c>
      <x:c r="H184" s="100" t="n">
        <x:f>'Raw Z'!N178</x:f>
        <x:v>0.8917264550321603</x:v>
      </x:c>
      <x:c r="I184" t="b">
        <x:f>'Raw Z'!O178</x:f>
        <x:v>1</x:v>
      </x:c>
      <x:c r="J184" s="100" t="n">
        <x:f>IF(I184,B184,"")</x:f>
        <x:v>-0.003767656381839121</x:v>
      </x:c>
      <x:c r="K184" s="100" t="n">
        <x:f>IF(I184,E184,"")</x:f>
        <x:v>-0.010132886482390375</x:v>
      </x:c>
      <x:c r="L184" s="100" t="n">
        <x:f>IF(I184,G184,"")</x:f>
        <x:v>0.006365230100551254</x:v>
      </x:c>
      <x:c r="M184" s="100" t="n">
        <x:f>IF(I184,F184^2,"")</x:f>
        <x:v>0.00004051615423296373</x:v>
      </x:c>
      <x:c r="N184" s="100" t="n">
        <x:f>IF(I184,F184,"")</x:f>
        <x:v>-0.006365230100551254</x:v>
      </x:c>
      <x:c r="P184" t="n">
        <x:f>J184</x:f>
        <x:v>-0.003767656381839121</x:v>
      </x:c>
      <x:c r="Q184" t="n">
        <x:f>K184</x:f>
        <x:v>-0.010132886482390375</x:v>
      </x:c>
    </x:row>
    <x:row r="185">
      <x:c r="A185" s="99" t="str">
        <x:f>'Raw Z'!B179</x:f>
        <x:v>00227</x:v>
      </x:c>
      <x:c r="B185" s="100" t="n">
        <x:f>INDEX('Raw Stations'!$D$2:$D$299,MATCH(A185,'Raw Stations'!$A$2:$A$299,0))</x:f>
        <x:v>-0.004420327043100358</x:v>
      </x:c>
      <x:c r="C185" s="100" t="n">
        <x:f>'Raw Z'!L179</x:f>
        <x:v>0.001250312403894012</x:v>
      </x:c>
      <x:c r="D185" s="100" t="n">
        <x:f>$B$2</x:f>
        <x:v>-0.0009288398653362757</x:v>
      </x:c>
      <x:c r="E185" s="100" t="n">
        <x:f>C185-D185</x:f>
        <x:v>0.0021791522692302875</x:v>
      </x:c>
      <x:c r="F185" s="100" t="n">
        <x:f>E185-B185</x:f>
        <x:v>0.006599479312330646</x:v>
      </x:c>
      <x:c r="G185" s="100" t="n">
        <x:f>ABS(F185)</x:f>
        <x:v>0.006599479312330646</x:v>
      </x:c>
      <x:c r="H185" s="100" t="n">
        <x:f>'Raw Z'!N179</x:f>
        <x:v>0.9851266444101602</x:v>
      </x:c>
      <x:c r="I185" t="b">
        <x:f>'Raw Z'!O179</x:f>
        <x:v>1</x:v>
      </x:c>
      <x:c r="J185" s="100" t="n">
        <x:f>IF(I185,B185,"")</x:f>
        <x:v>-0.004420327043100358</x:v>
      </x:c>
      <x:c r="K185" s="100" t="n">
        <x:f>IF(I185,E185,"")</x:f>
        <x:v>0.0021791522692302875</x:v>
      </x:c>
      <x:c r="L185" s="100" t="n">
        <x:f>IF(I185,G185,"")</x:f>
        <x:v>0.006599479312330646</x:v>
      </x:c>
      <x:c r="M185" s="100" t="n">
        <x:f>IF(I185,F185^2,"")</x:f>
        <x:v>0.00004355312719388017</x:v>
      </x:c>
      <x:c r="N185" s="100" t="n">
        <x:f>IF(I185,F185,"")</x:f>
        <x:v>0.006599479312330646</x:v>
      </x:c>
      <x:c r="P185" t="n">
        <x:f>J185</x:f>
        <x:v>-0.004420327043100358</x:v>
      </x:c>
      <x:c r="Q185" t="n">
        <x:f>K185</x:f>
        <x:v>0.0021791522692302875</x:v>
      </x:c>
    </x:row>
    <x:row r="186">
      <x:c r="A186" s="99" t="str">
        <x:f>'Raw Z'!B180</x:f>
        <x:v>00228</x:v>
      </x:c>
      <x:c r="B186" s="100" t="n">
        <x:f>INDEX('Raw Stations'!$D$2:$D$299,MATCH(A186,'Raw Stations'!$A$2:$A$299,0))</x:f>
        <x:v>-0.00244154980349898</x:v>
      </x:c>
      <x:c r="C186" s="100" t="n">
        <x:f>'Raw Z'!L180</x:f>
        <x:v>-0.0007709103565046171</x:v>
      </x:c>
      <x:c r="D186" s="100" t="n">
        <x:f>$B$2</x:f>
        <x:v>-0.0009288398653362757</x:v>
      </x:c>
      <x:c r="E186" s="100" t="n">
        <x:f>C186-D186</x:f>
        <x:v>0.00015792950883165857</x:v>
      </x:c>
      <x:c r="F186" s="100" t="n">
        <x:f>E186-B186</x:f>
        <x:v>0.0025994793123306384</x:v>
      </x:c>
      <x:c r="G186" s="100" t="n">
        <x:f>ABS(F186)</x:f>
        <x:v>0.0025994793123306384</x:v>
      </x:c>
      <x:c r="H186" s="100" t="n">
        <x:f>'Raw Z'!N180</x:f>
        <x:v>0.9867938491761374</x:v>
      </x:c>
      <x:c r="I186" t="b">
        <x:f>'Raw Z'!O180</x:f>
        <x:v>1</x:v>
      </x:c>
      <x:c r="J186" s="100" t="n">
        <x:f>IF(I186,B186,"")</x:f>
        <x:v>-0.00244154980349898</x:v>
      </x:c>
      <x:c r="K186" s="100" t="n">
        <x:f>IF(I186,E186,"")</x:f>
        <x:v>0.00015792950883165857</x:v>
      </x:c>
      <x:c r="L186" s="100" t="n">
        <x:f>IF(I186,G186,"")</x:f>
        <x:v>0.0025994793123306384</x:v>
      </x:c>
      <x:c r="M186" s="100" t="n">
        <x:f>IF(I186,F186^2,"")</x:f>
        <x:v>0.000006757292695234969</x:v>
      </x:c>
      <x:c r="N186" s="100" t="n">
        <x:f>IF(I186,F186,"")</x:f>
        <x:v>0.0025994793123306384</x:v>
      </x:c>
      <x:c r="P186" t="n">
        <x:f>J186</x:f>
        <x:v>-0.00244154980349898</x:v>
      </x:c>
      <x:c r="Q186" t="n">
        <x:f>K186</x:f>
        <x:v>0.00015792950883165857</x:v>
      </x:c>
    </x:row>
    <x:row r="187">
      <x:c r="A187" s="99" t="str">
        <x:f>'Raw Z'!B181</x:f>
        <x:v>00229</x:v>
      </x:c>
      <x:c r="B187" s="100" t="n">
        <x:f>INDEX('Raw Stations'!$D$2:$D$299,MATCH(A187,'Raw Stations'!$A$2:$A$299,0))</x:f>
        <x:v>-0.00376126656179683</x:v>
      </x:c>
      <x:c r="C187" s="100" t="n">
        <x:f>'Raw Z'!L181</x:f>
        <x:v>-0.004045321636434507</x:v>
      </x:c>
      <x:c r="D187" s="100" t="n">
        <x:f>$B$2</x:f>
        <x:v>-0.0009288398653362757</x:v>
      </x:c>
      <x:c r="E187" s="100" t="n">
        <x:f>C187-D187</x:f>
        <x:v>-0.003116481771098231</x:v>
      </x:c>
      <x:c r="F187" s="100" t="n">
        <x:f>E187-B187</x:f>
        <x:v>0.0006447847906985989</x:v>
      </x:c>
      <x:c r="G187" s="100" t="n">
        <x:f>ABS(F187)</x:f>
        <x:v>0.0006447847906985989</x:v>
      </x:c>
      <x:c r="H187" s="100" t="n">
        <x:f>'Raw Z'!N181</x:f>
        <x:v>0.977881771745319</x:v>
      </x:c>
      <x:c r="I187" t="b">
        <x:f>'Raw Z'!O181</x:f>
        <x:v>1</x:v>
      </x:c>
      <x:c r="J187" s="100" t="n">
        <x:f>IF(I187,B187,"")</x:f>
        <x:v>-0.00376126656179683</x:v>
      </x:c>
      <x:c r="K187" s="100" t="n">
        <x:f>IF(I187,E187,"")</x:f>
        <x:v>-0.003116481771098231</x:v>
      </x:c>
      <x:c r="L187" s="100" t="n">
        <x:f>IF(I187,G187,"")</x:f>
        <x:v>0.0006447847906985989</x:v>
      </x:c>
      <x:c r="M187" s="100" t="n">
        <x:f>IF(I187,F187^2,"")</x:f>
        <x:v>4.157474263162359e-7</x:v>
      </x:c>
      <x:c r="N187" s="100" t="n">
        <x:f>IF(I187,F187,"")</x:f>
        <x:v>0.0006447847906985989</x:v>
      </x:c>
      <x:c r="P187" t="n">
        <x:f>J187</x:f>
        <x:v>-0.00376126656179683</x:v>
      </x:c>
      <x:c r="Q187" t="n">
        <x:f>K187</x:f>
        <x:v>-0.003116481771098231</x:v>
      </x:c>
    </x:row>
    <x:row r="188">
      <x:c r="A188" s="99" t="str">
        <x:f>'Raw Z'!B182</x:f>
        <x:v>00230</x:v>
      </x:c>
      <x:c r="B188" s="100" t="n">
        <x:f>INDEX('Raw Stations'!$D$2:$D$299,MATCH(A188,'Raw Stations'!$A$2:$A$299,0))</x:f>
        <x:v>-0.0003378697481772955</x:v>
      </x:c>
      <x:c r="C188" s="100" t="n">
        <x:f>'Raw Z'!L182</x:f>
        <x:v>-0.009495459790795524</x:v>
      </x:c>
      <x:c r="D188" s="100" t="n">
        <x:f>$B$2</x:f>
        <x:v>-0.0009288398653362757</x:v>
      </x:c>
      <x:c r="E188" s="100" t="n">
        <x:f>C188-D188</x:f>
        <x:v>-0.008566619925459248</x:v>
      </x:c>
      <x:c r="F188" s="100" t="n">
        <x:f>E188-B188</x:f>
        <x:v>-0.008228750177281953</x:v>
      </x:c>
      <x:c r="G188" s="100" t="n">
        <x:f>ABS(F188)</x:f>
        <x:v>0.008228750177281953</x:v>
      </x:c>
      <x:c r="H188" s="100" t="n">
        <x:f>'Raw Z'!N182</x:f>
        <x:v>0.9763275156804189</x:v>
      </x:c>
      <x:c r="I188" t="b">
        <x:f>'Raw Z'!O182</x:f>
        <x:v>1</x:v>
      </x:c>
      <x:c r="J188" s="100" t="n">
        <x:f>IF(I188,B188,"")</x:f>
        <x:v>-0.0003378697481772955</x:v>
      </x:c>
      <x:c r="K188" s="100" t="n">
        <x:f>IF(I188,E188,"")</x:f>
        <x:v>-0.008566619925459248</x:v>
      </x:c>
      <x:c r="L188" s="100" t="n">
        <x:f>IF(I188,G188,"")</x:f>
        <x:v>0.008228750177281953</x:v>
      </x:c>
      <x:c r="M188" s="100" t="n">
        <x:f>IF(I188,F188^2,"")</x:f>
        <x:v>0.00006771232948011777</x:v>
      </x:c>
      <x:c r="N188" s="100" t="n">
        <x:f>IF(I188,F188,"")</x:f>
        <x:v>-0.008228750177281953</x:v>
      </x:c>
      <x:c r="P188" t="n">
        <x:f>J188</x:f>
        <x:v>-0.0003378697481772955</x:v>
      </x:c>
      <x:c r="Q188" t="n">
        <x:f>K188</x:f>
        <x:v>-0.008566619925459248</x:v>
      </x:c>
    </x:row>
    <x:row r="189">
      <x:c r="A189" s="99" t="str">
        <x:f>'Raw Z'!B183</x:f>
        <x:v>00231</x:v>
      </x:c>
      <x:c r="B189" s="100" t="n">
        <x:f>INDEX('Raw Stations'!$D$2:$D$299,MATCH(A189,'Raw Stations'!$A$2:$A$299,0))</x:f>
        <x:v>-0.00112928863119377</x:v>
      </x:c>
      <x:c r="C189" s="100" t="n">
        <x:f>'Raw Z'!L183</x:f>
        <x:v>-0.001771762462290896</x:v>
      </x:c>
      <x:c r="D189" s="100" t="n">
        <x:f>$B$2</x:f>
        <x:v>-0.0009288398653362757</x:v>
      </x:c>
      <x:c r="E189" s="100" t="n">
        <x:f>C189-D189</x:f>
        <x:v>-0.0008429225969546202</x:v>
      </x:c>
      <x:c r="F189" s="100" t="n">
        <x:f>E189-B189</x:f>
        <x:v>0.00028636603423914974</x:v>
      </x:c>
      <x:c r="G189" s="100" t="n">
        <x:f>ABS(F189)</x:f>
        <x:v>0.00028636603423914974</x:v>
      </x:c>
      <x:c r="H189" s="100" t="n">
        <x:f>'Raw Z'!N183</x:f>
        <x:v>0.8890769079690857</x:v>
      </x:c>
      <x:c r="I189" t="b">
        <x:f>'Raw Z'!O183</x:f>
        <x:v>1</x:v>
      </x:c>
      <x:c r="J189" s="100" t="n">
        <x:f>IF(I189,B189,"")</x:f>
        <x:v>-0.00112928863119377</x:v>
      </x:c>
      <x:c r="K189" s="100" t="n">
        <x:f>IF(I189,E189,"")</x:f>
        <x:v>-0.0008429225969546202</x:v>
      </x:c>
      <x:c r="L189" s="100" t="n">
        <x:f>IF(I189,G189,"")</x:f>
        <x:v>0.00028636603423914974</x:v>
      </x:c>
      <x:c r="M189" s="100" t="n">
        <x:f>IF(I189,F189^2,"")</x:f>
        <x:v>8.200550556585788e-8</x:v>
      </x:c>
      <x:c r="N189" s="100" t="n">
        <x:f>IF(I189,F189,"")</x:f>
        <x:v>0.00028636603423914974</x:v>
      </x:c>
      <x:c r="P189" t="n">
        <x:f>J189</x:f>
        <x:v>-0.00112928863119377</x:v>
      </x:c>
      <x:c r="Q189" t="n">
        <x:f>K189</x:f>
        <x:v>-0.0008429225969546202</x:v>
      </x:c>
    </x:row>
    <x:row r="190">
      <x:c r="A190" s="99" t="str">
        <x:f>'Raw Z'!B184</x:f>
        <x:v>00232</x:v>
      </x:c>
      <x:c r="B190" s="100" t="n">
        <x:f>INDEX('Raw Stations'!$D$2:$D$299,MATCH(A190,'Raw Stations'!$A$2:$A$299,0))</x:f>
        <x:v>-0.001891077352445449</x:v>
      </x:c>
      <x:c r="C190" s="100" t="n">
        <x:f>'Raw Z'!L184</x:f>
        <x:v>0.01535752616890286</x:v>
      </x:c>
      <x:c r="D190" s="100" t="n">
        <x:f>$B$2</x:f>
        <x:v>-0.0009288398653362757</x:v>
      </x:c>
      <x:c r="E190" s="100" t="n">
        <x:f>C190-D190</x:f>
        <x:v>0.016286366034239136</x:v>
      </x:c>
      <x:c r="F190" s="100" t="n">
        <x:f>E190-B190</x:f>
        <x:v>0.018177443386684585</x:v>
      </x:c>
      <x:c r="G190" s="100" t="n">
        <x:f>ABS(F190)</x:f>
        <x:v>0.018177443386684585</x:v>
      </x:c>
      <x:c r="H190" s="100" t="n">
        <x:f>'Raw Z'!N184</x:f>
        <x:v>0.7659400872305502</x:v>
      </x:c>
      <x:c r="I190" t="b">
        <x:f>'Raw Z'!O184</x:f>
        <x:v>1</x:v>
      </x:c>
      <x:c r="J190" s="100" t="n">
        <x:f>IF(I190,B190,"")</x:f>
        <x:v>-0.001891077352445449</x:v>
      </x:c>
      <x:c r="K190" s="100" t="n">
        <x:f>IF(I190,E190,"")</x:f>
        <x:v>0.016286366034239136</x:v>
      </x:c>
      <x:c r="L190" s="100" t="n">
        <x:f>IF(I190,G190,"")</x:f>
        <x:v>0.018177443386684585</x:v>
      </x:c>
      <x:c r="M190" s="100" t="n">
        <x:f>IF(I190,F190^2,"")</x:f>
        <x:v>0.00033041944807612317</x:v>
      </x:c>
      <x:c r="N190" s="100" t="n">
        <x:f>IF(I190,F190,"")</x:f>
        <x:v>0.018177443386684585</x:v>
      </x:c>
      <x:c r="P190" t="n">
        <x:f>J190</x:f>
        <x:v>-0.001891077352445449</x:v>
      </x:c>
      <x:c r="Q190" t="n">
        <x:f>K190</x:f>
        <x:v>0.016286366034239136</x:v>
      </x:c>
    </x:row>
    <x:row r="191">
      <x:c r="A191" s="99" t="str">
        <x:f>'Raw Z'!B185</x:f>
        <x:v>00233</x:v>
      </x:c>
      <x:c r="B191" s="100" t="n">
        <x:f>INDEX('Raw Stations'!$D$2:$D$299,MATCH(A191,'Raw Stations'!$A$2:$A$299,0))</x:f>
        <x:v>0.01132706022637328</x:v>
      </x:c>
      <x:c r="C191" s="100" t="n">
        <x:f>'Raw Z'!L185</x:f>
        <x:v>-0.04616839956442225</x:v>
      </x:c>
      <x:c r="D191" s="100" t="n">
        <x:f>$B$2</x:f>
        <x:v>-0.0009288398653362757</x:v>
      </x:c>
      <x:c r="E191" s="100" t="n">
        <x:f>C191-D191</x:f>
        <x:v>-0.045239559699085975</x:v>
      </x:c>
      <x:c r="F191" s="100" t="n">
        <x:f>E191-B191</x:f>
        <x:v>-0.056566619925459256</x:v>
      </x:c>
      <x:c r="G191" s="100" t="n">
        <x:f>ABS(F191)</x:f>
        <x:v>0.056566619925459256</x:v>
      </x:c>
      <x:c r="H191" s="100" t="n">
        <x:f>'Raw Z'!N185</x:f>
        <x:v>0.2449079399681994</x:v>
      </x:c>
      <x:c r="I191" t="b">
        <x:f>'Raw Z'!O185</x:f>
        <x:v>0</x:v>
      </x:c>
      <x:c r="J191" s="100" t="str">
        <x:f>IF(I191,B191,"")</x:f>
      </x:c>
      <x:c r="K191" s="100" t="str">
        <x:f>IF(I191,E191,"")</x:f>
      </x:c>
      <x:c r="L191" s="100" t="str">
        <x:f>IF(I191,G191,"")</x:f>
      </x:c>
      <x:c r="M191" s="100" t="str">
        <x:f>IF(I191,F191^2,"")</x:f>
      </x:c>
      <x:c r="N191" s="100" t="str">
        <x:f>IF(I191,F191,"")</x:f>
      </x:c>
      <x:c r="P191" t="str">
        <x:f>J191</x:f>
      </x:c>
      <x:c r="Q191" t="str">
        <x:f>K191</x:f>
      </x:c>
    </x:row>
    <x:row r="192">
      <x:c r="A192" s="99" t="str">
        <x:f>'Raw Z'!B186</x:f>
        <x:v>00234</x:v>
      </x:c>
      <x:c r="B192" s="100" t="n">
        <x:f>INDEX('Raw Stations'!$D$2:$D$299,MATCH(A192,'Raw Stations'!$A$2:$A$299,0))</x:f>
        <x:v>0.02268010994876409</x:v>
      </x:c>
      <x:c r="C192" s="100" t="n">
        <x:f>'Raw Z'!L186</x:f>
        <x:v>0.04918465015796855</x:v>
      </x:c>
      <x:c r="D192" s="100" t="n">
        <x:f>$B$2</x:f>
        <x:v>-0.0009288398653362757</x:v>
      </x:c>
      <x:c r="E192" s="100" t="n">
        <x:f>C192-D192</x:f>
        <x:v>0.05011349002330483</x:v>
      </x:c>
      <x:c r="F192" s="100" t="n">
        <x:f>E192-B192</x:f>
        <x:v>0.02743338007454074</x:v>
      </x:c>
      <x:c r="G192" s="100" t="n">
        <x:f>ABS(F192)</x:f>
        <x:v>0.02743338007454074</x:v>
      </x:c>
      <x:c r="H192" s="100" t="n">
        <x:f>'Raw Z'!N186</x:f>
        <x:v>0.7247208218474772</x:v>
      </x:c>
      <x:c r="I192" t="b">
        <x:f>'Raw Z'!O186</x:f>
        <x:v>1</x:v>
      </x:c>
      <x:c r="J192" s="100" t="n">
        <x:f>IF(I192,B192,"")</x:f>
        <x:v>0.02268010994876409</x:v>
      </x:c>
      <x:c r="K192" s="100" t="n">
        <x:f>IF(I192,E192,"")</x:f>
        <x:v>0.05011349002330483</x:v>
      </x:c>
      <x:c r="L192" s="100" t="n">
        <x:f>IF(I192,G192,"")</x:f>
        <x:v>0.02743338007454074</x:v>
      </x:c>
      <x:c r="M192" s="100" t="n">
        <x:f>IF(I192,F192^2,"")</x:f>
        <x:v>0.0007525903423142088</x:v>
      </x:c>
      <x:c r="N192" s="100" t="n">
        <x:f>IF(I192,F192,"")</x:f>
        <x:v>0.02743338007454074</x:v>
      </x:c>
      <x:c r="P192" t="n">
        <x:f>J192</x:f>
        <x:v>0.02268010994876409</x:v>
      </x:c>
      <x:c r="Q192" t="n">
        <x:f>K192</x:f>
        <x:v>0.05011349002330483</x:v>
      </x:c>
    </x:row>
    <x:row r="193">
      <x:c r="A193" s="99" t="str">
        <x:f>'Raw Z'!B187</x:f>
        <x:v>00235</x:v>
      </x:c>
      <x:c r="B193" s="100" t="n">
        <x:f>INDEX('Raw Stations'!$D$2:$D$299,MATCH(A193,'Raw Stations'!$A$2:$A$299,0))</x:f>
        <x:v>0.01072566199222151</x:v>
      </x:c>
      <x:c r="C193" s="100" t="n">
        <x:f>'Raw Z'!L187</x:f>
        <x:v>0.03918257224089747</x:v>
      </x:c>
      <x:c r="D193" s="100" t="n">
        <x:f>$B$2</x:f>
        <x:v>-0.0009288398653362757</x:v>
      </x:c>
      <x:c r="E193" s="100" t="n">
        <x:f>C193-D193</x:f>
        <x:v>0.04011141210623374</x:v>
      </x:c>
      <x:c r="F193" s="100" t="n">
        <x:f>E193-B193</x:f>
        <x:v>0.029385750114012232</x:v>
      </x:c>
      <x:c r="G193" s="100" t="n">
        <x:f>ABS(F193)</x:f>
        <x:v>0.029385750114012232</x:v>
      </x:c>
      <x:c r="H193" s="100" t="n">
        <x:f>'Raw Z'!N187</x:f>
        <x:v>0.6558113693217007</x:v>
      </x:c>
      <x:c r="I193" t="b">
        <x:f>'Raw Z'!O187</x:f>
        <x:v>1</x:v>
      </x:c>
      <x:c r="J193" s="100" t="n">
        <x:f>IF(I193,B193,"")</x:f>
        <x:v>0.01072566199222151</x:v>
      </x:c>
      <x:c r="K193" s="100" t="n">
        <x:f>IF(I193,E193,"")</x:f>
        <x:v>0.04011141210623374</x:v>
      </x:c>
      <x:c r="L193" s="100" t="n">
        <x:f>IF(I193,G193,"")</x:f>
        <x:v>0.029385750114012232</x:v>
      </x:c>
      <x:c r="M193" s="100" t="n">
        <x:f>IF(I193,F193^2,"")</x:f>
        <x:v>0.0008635223097631699</x:v>
      </x:c>
      <x:c r="N193" s="100" t="n">
        <x:f>IF(I193,F193,"")</x:f>
        <x:v>0.029385750114012232</x:v>
      </x:c>
      <x:c r="P193" t="n">
        <x:f>J193</x:f>
        <x:v>0.01072566199222151</x:v>
      </x:c>
      <x:c r="Q193" t="n">
        <x:f>K193</x:f>
        <x:v>0.04011141210623374</x:v>
      </x:c>
    </x:row>
    <x:row r="194">
      <x:c r="A194" s="99" t="str">
        <x:f>'Raw Z'!B188</x:f>
        <x:v>00236</x:v>
      </x:c>
      <x:c r="B194" s="100" t="n">
        <x:f>INDEX('Raw Stations'!$D$2:$D$299,MATCH(A194,'Raw Stations'!$A$2:$A$299,0))</x:f>
        <x:v>0.0175967628920943</x:v>
      </x:c>
      <x:c r="C194" s="100" t="n">
        <x:f>'Raw Z'!L188</x:f>
        <x:v>-0.01769730707379323</x:v>
      </x:c>
      <x:c r="D194" s="100" t="n">
        <x:f>$B$2</x:f>
        <x:v>-0.0009288398653362757</x:v>
      </x:c>
      <x:c r="E194" s="100" t="n">
        <x:f>C194-D194</x:f>
        <x:v>-0.016768467208456955</x:v>
      </x:c>
      <x:c r="F194" s="100" t="n">
        <x:f>E194-B194</x:f>
        <x:v>-0.03436523010055126</x:v>
      </x:c>
      <x:c r="G194" s="100" t="n">
        <x:f>ABS(F194)</x:f>
        <x:v>0.03436523010055126</x:v>
      </x:c>
      <x:c r="H194" s="100" t="n">
        <x:f>'Raw Z'!N188</x:f>
        <x:v>0.9114642307202816</x:v>
      </x:c>
      <x:c r="I194" t="b">
        <x:f>'Raw Z'!O188</x:f>
        <x:v>1</x:v>
      </x:c>
      <x:c r="J194" s="100" t="n">
        <x:f>IF(I194,B194,"")</x:f>
        <x:v>0.0175967628920943</x:v>
      </x:c>
      <x:c r="K194" s="100" t="n">
        <x:f>IF(I194,E194,"")</x:f>
        <x:v>-0.016768467208456955</x:v>
      </x:c>
      <x:c r="L194" s="100" t="n">
        <x:f>IF(I194,G194,"")</x:f>
        <x:v>0.03436523010055126</x:v>
      </x:c>
      <x:c r="M194" s="100" t="n">
        <x:f>IF(I194,F194^2,"")</x:f>
        <x:v>0.0011809690398638343</x:v>
      </x:c>
      <x:c r="N194" s="100" t="n">
        <x:f>IF(I194,F194,"")</x:f>
        <x:v>-0.03436523010055126</x:v>
      </x:c>
      <x:c r="P194" t="n">
        <x:f>J194</x:f>
        <x:v>0.0175967628920943</x:v>
      </x:c>
      <x:c r="Q194" t="n">
        <x:f>K194</x:f>
        <x:v>-0.016768467208456955</x:v>
      </x:c>
    </x:row>
    <x:row r="195">
      <x:c r="A195" s="99" t="str">
        <x:f>'Raw Z'!B189</x:f>
        <x:v>00237</x:v>
      </x:c>
      <x:c r="B195" s="100" t="n">
        <x:f>INDEX('Raw Stations'!$D$2:$D$299,MATCH(A195,'Raw Stations'!$A$2:$A$299,0))</x:f>
        <x:v>0.01546514707173455</x:v>
      </x:c>
      <x:c r="C195" s="100" t="n">
        <x:f>'Raw Z'!L189</x:f>
        <x:v>0.04579843503147824</x:v>
      </x:c>
      <x:c r="D195" s="100" t="n">
        <x:f>$B$2</x:f>
        <x:v>-0.0009288398653362757</x:v>
      </x:c>
      <x:c r="E195" s="100" t="n">
        <x:f>C195-D195</x:f>
        <x:v>0.04672727489681452</x:v>
      </x:c>
      <x:c r="F195" s="100" t="n">
        <x:f>E195-B195</x:f>
        <x:v>0.03126212782507996</x:v>
      </x:c>
      <x:c r="G195" s="100" t="n">
        <x:f>ABS(F195)</x:f>
        <x:v>0.03126212782507996</x:v>
      </x:c>
      <x:c r="H195" s="100" t="n">
        <x:f>'Raw Z'!N189</x:f>
        <x:v>0.8550357177267949</x:v>
      </x:c>
      <x:c r="I195" t="b">
        <x:f>'Raw Z'!O189</x:f>
        <x:v>1</x:v>
      </x:c>
      <x:c r="J195" s="100" t="n">
        <x:f>IF(I195,B195,"")</x:f>
        <x:v>0.01546514707173455</x:v>
      </x:c>
      <x:c r="K195" s="100" t="n">
        <x:f>IF(I195,E195,"")</x:f>
        <x:v>0.04672727489681452</x:v>
      </x:c>
      <x:c r="L195" s="100" t="n">
        <x:f>IF(I195,G195,"")</x:f>
        <x:v>0.03126212782507996</x:v>
      </x:c>
      <x:c r="M195" s="100" t="n">
        <x:f>IF(I195,F195^2,"")</x:f>
        <x:v>0.0009773206361516388</x:v>
      </x:c>
      <x:c r="N195" s="100" t="n">
        <x:f>IF(I195,F195,"")</x:f>
        <x:v>0.03126212782507996</x:v>
      </x:c>
      <x:c r="P195" t="n">
        <x:f>J195</x:f>
        <x:v>0.01546514707173455</x:v>
      </x:c>
      <x:c r="Q195" t="n">
        <x:f>K195</x:f>
        <x:v>0.04672727489681452</x:v>
      </x:c>
    </x:row>
    <x:row r="196">
      <x:c r="A196" s="99" t="str">
        <x:f>'Raw Z'!B190</x:f>
        <x:v>00238</x:v>
      </x:c>
      <x:c r="B196" s="100" t="n">
        <x:f>INDEX('Raw Stations'!$D$2:$D$299,MATCH(A196,'Raw Stations'!$A$2:$A$299,0))</x:f>
        <x:v>-0.007078440570739562</x:v>
      </x:c>
      <x:c r="C196" s="100" t="n">
        <x:f>'Raw Z'!L190</x:f>
        <x:v>-0.01193423266757112</x:v>
      </x:c>
      <x:c r="D196" s="100" t="n">
        <x:f>$B$2</x:f>
        <x:v>-0.0009288398653362757</x:v>
      </x:c>
      <x:c r="E196" s="100" t="n">
        <x:f>C196-D196</x:f>
        <x:v>-0.011005392802234844</x:v>
      </x:c>
      <x:c r="F196" s="100" t="n">
        <x:f>E196-B196</x:f>
        <x:v>-0.003926952231495282</x:v>
      </x:c>
      <x:c r="G196" s="100" t="n">
        <x:f>ABS(F196)</x:f>
        <x:v>0.003926952231495282</x:v>
      </x:c>
      <x:c r="H196" s="100" t="n">
        <x:f>'Raw Z'!N190</x:f>
        <x:v>0.9677748001900033</x:v>
      </x:c>
      <x:c r="I196" t="b">
        <x:f>'Raw Z'!O190</x:f>
        <x:v>1</x:v>
      </x:c>
      <x:c r="J196" s="100" t="n">
        <x:f>IF(I196,B196,"")</x:f>
        <x:v>-0.007078440570739562</x:v>
      </x:c>
      <x:c r="K196" s="100" t="n">
        <x:f>IF(I196,E196,"")</x:f>
        <x:v>-0.011005392802234844</x:v>
      </x:c>
      <x:c r="L196" s="100" t="n">
        <x:f>IF(I196,G196,"")</x:f>
        <x:v>0.003926952231495282</x:v>
      </x:c>
      <x:c r="M196" s="100" t="n">
        <x:f>IF(I196,F196^2,"")</x:f>
        <x:v>0.000015420953828445777</x:v>
      </x:c>
      <x:c r="N196" s="100" t="n">
        <x:f>IF(I196,F196,"")</x:f>
        <x:v>-0.003926952231495282</x:v>
      </x:c>
      <x:c r="P196" t="n">
        <x:f>J196</x:f>
        <x:v>-0.007078440570739562</x:v>
      </x:c>
      <x:c r="Q196" t="n">
        <x:f>K196</x:f>
        <x:v>-0.011005392802234844</x:v>
      </x:c>
    </x:row>
    <x:row r="197">
      <x:c r="A197" s="99" t="str">
        <x:f>'Raw Z'!B191</x:f>
        <x:v>00239</x:v>
      </x:c>
      <x:c r="B197" s="100" t="n">
        <x:f>INDEX('Raw Stations'!$D$2:$D$299,MATCH(A197,'Raw Stations'!$A$2:$A$299,0))</x:f>
        <x:v>-0.004574537479721214</x:v>
      </x:c>
      <x:c r="C197" s="100" t="n">
        <x:f>'Raw Z'!L191</x:f>
        <x:v>-0.01209318334953127</x:v>
      </x:c>
      <x:c r="D197" s="100" t="n">
        <x:f>$B$2</x:f>
        <x:v>-0.0009288398653362757</x:v>
      </x:c>
      <x:c r="E197" s="100" t="n">
        <x:f>C197-D197</x:f>
        <x:v>-0.011164343484194995</x:v>
      </x:c>
      <x:c r="F197" s="100" t="n">
        <x:f>E197-B197</x:f>
        <x:v>-0.006589806004473781</x:v>
      </x:c>
      <x:c r="G197" s="100" t="n">
        <x:f>ABS(F197)</x:f>
        <x:v>0.006589806004473781</x:v>
      </x:c>
      <x:c r="H197" s="100" t="n">
        <x:f>'Raw Z'!N191</x:f>
        <x:v>0.9722876287109488</x:v>
      </x:c>
      <x:c r="I197" t="b">
        <x:f>'Raw Z'!O191</x:f>
        <x:v>1</x:v>
      </x:c>
      <x:c r="J197" s="100" t="n">
        <x:f>IF(I197,B197,"")</x:f>
        <x:v>-0.004574537479721214</x:v>
      </x:c>
      <x:c r="K197" s="100" t="n">
        <x:f>IF(I197,E197,"")</x:f>
        <x:v>-0.011164343484194995</x:v>
      </x:c>
      <x:c r="L197" s="100" t="n">
        <x:f>IF(I197,G197,"")</x:f>
        <x:v>0.006589806004473781</x:v>
      </x:c>
      <x:c r="M197" s="100" t="n">
        <x:f>IF(I197,F197^2,"")</x:f>
        <x:v>0.000043425543176598696</x:v>
      </x:c>
      <x:c r="N197" s="100" t="n">
        <x:f>IF(I197,F197,"")</x:f>
        <x:v>-0.006589806004473781</x:v>
      </x:c>
      <x:c r="P197" t="n">
        <x:f>J197</x:f>
        <x:v>-0.004574537479721214</x:v>
      </x:c>
      <x:c r="Q197" t="n">
        <x:f>K197</x:f>
        <x:v>-0.011164343484194995</x:v>
      </x:c>
    </x:row>
    <x:row r="198">
      <x:c r="A198" s="99" t="str">
        <x:f>'Raw Z'!B192</x:f>
        <x:v>00240</x:v>
      </x:c>
      <x:c r="B198" s="100" t="n">
        <x:f>INDEX('Raw Stations'!$D$2:$D$299,MATCH(A198,'Raw Stations'!$A$2:$A$299,0))</x:f>
        <x:v>0</x:v>
      </x:c>
      <x:c r="C198" s="100" t="n">
        <x:f>'Raw Z'!L192</x:f>
        <x:v>-0.01075139647865168</x:v>
      </x:c>
      <x:c r="D198" s="100" t="n">
        <x:f>$B$2</x:f>
        <x:v>-0.0009288398653362757</x:v>
      </x:c>
      <x:c r="E198" s="100" t="n">
        <x:f>C198-D198</x:f>
        <x:v>-0.009822556613315405</x:v>
      </x:c>
      <x:c r="F198" s="100" t="n">
        <x:f>E198-B198</x:f>
        <x:v>-0.009822556613315405</x:v>
      </x:c>
      <x:c r="G198" s="100" t="n">
        <x:f>ABS(F198)</x:f>
        <x:v>0.009822556613315405</x:v>
      </x:c>
      <x:c r="H198" s="100" t="n">
        <x:f>'Raw Z'!N192</x:f>
        <x:v>0.9802117219125438</x:v>
      </x:c>
      <x:c r="I198" t="b">
        <x:f>'Raw Z'!O192</x:f>
        <x:v>1</x:v>
      </x:c>
      <x:c r="J198" s="100" t="n">
        <x:f>IF(I198,B198,"")</x:f>
        <x:v>0</x:v>
      </x:c>
      <x:c r="K198" s="100" t="n">
        <x:f>IF(I198,E198,"")</x:f>
        <x:v>-0.009822556613315405</x:v>
      </x:c>
      <x:c r="L198" s="100" t="n">
        <x:f>IF(I198,G198,"")</x:f>
        <x:v>0.009822556613315405</x:v>
      </x:c>
      <x:c r="M198" s="100" t="n">
        <x:f>IF(I198,F198^2,"")</x:f>
        <x:v>0.0000964826184217862</x:v>
      </x:c>
      <x:c r="N198" s="100" t="n">
        <x:f>IF(I198,F198,"")</x:f>
        <x:v>-0.009822556613315405</x:v>
      </x:c>
      <x:c r="P198" t="n">
        <x:f>J198</x:f>
        <x:v>0</x:v>
      </x:c>
      <x:c r="Q198" t="n">
        <x:f>K198</x:f>
        <x:v>-0.009822556613315405</x:v>
      </x:c>
    </x:row>
    <x:row r="199">
      <x:c r="A199" s="99" t="str">
        <x:f>'Raw Z'!B193</x:f>
        <x:v>00241</x:v>
      </x:c>
      <x:c r="B199" s="100" t="n">
        <x:f>INDEX('Raw Stations'!$D$2:$D$299,MATCH(A199,'Raw Stations'!$A$2:$A$299,0))</x:f>
        <x:v>0.006372561507490292</x:v>
      </x:c>
      <x:c r="C199" s="100" t="n">
        <x:f>'Raw Z'!L193</x:f>
        <x:v>-0.01301540193796761</x:v>
      </x:c>
      <x:c r="D199" s="100" t="n">
        <x:f>$B$2</x:f>
        <x:v>-0.0009288398653362757</x:v>
      </x:c>
      <x:c r="E199" s="100" t="n">
        <x:f>C199-D199</x:f>
        <x:v>-0.012086562072631334</x:v>
      </x:c>
      <x:c r="F199" s="100" t="n">
        <x:f>E199-B199</x:f>
        <x:v>-0.018459123580121625</x:v>
      </x:c>
      <x:c r="G199" s="100" t="n">
        <x:f>ABS(F199)</x:f>
        <x:v>0.018459123580121625</x:v>
      </x:c>
      <x:c r="H199" s="100" t="n">
        <x:f>'Raw Z'!N193</x:f>
        <x:v>0.9690838482946338</x:v>
      </x:c>
      <x:c r="I199" t="b">
        <x:f>'Raw Z'!O193</x:f>
        <x:v>1</x:v>
      </x:c>
      <x:c r="J199" s="100" t="n">
        <x:f>IF(I199,B199,"")</x:f>
        <x:v>0.006372561507490292</x:v>
      </x:c>
      <x:c r="K199" s="100" t="n">
        <x:f>IF(I199,E199,"")</x:f>
        <x:v>-0.012086562072631334</x:v>
      </x:c>
      <x:c r="L199" s="100" t="n">
        <x:f>IF(I199,G199,"")</x:f>
        <x:v>0.018459123580121625</x:v>
      </x:c>
      <x:c r="M199" s="100" t="n">
        <x:f>IF(I199,F199^2,"")</x:f>
        <x:v>0.0003407392433462022</x:v>
      </x:c>
      <x:c r="N199" s="100" t="n">
        <x:f>IF(I199,F199,"")</x:f>
        <x:v>-0.018459123580121625</x:v>
      </x:c>
      <x:c r="P199" t="n">
        <x:f>J199</x:f>
        <x:v>0.006372561507490292</x:v>
      </x:c>
      <x:c r="Q199" t="n">
        <x:f>K199</x:f>
        <x:v>-0.012086562072631334</x:v>
      </x:c>
    </x:row>
    <x:row r="200">
      <x:c r="A200" s="99" t="str">
        <x:f>'Raw Z'!B194</x:f>
        <x:v>00242</x:v>
      </x:c>
      <x:c r="B200" s="100" t="n">
        <x:f>INDEX('Raw Stations'!$D$2:$D$299,MATCH(A200,'Raw Stations'!$A$2:$A$299,0))</x:f>
        <x:v>-0.002855592244025443</x:v>
      </x:c>
      <x:c r="C200" s="100" t="n">
        <x:f>'Raw Z'!L194</x:f>
        <x:v>0.00397899122223272</x:v>
      </x:c>
      <x:c r="D200" s="100" t="n">
        <x:f>$B$2</x:f>
        <x:v>-0.0009288398653362757</x:v>
      </x:c>
      <x:c r="E200" s="100" t="n">
        <x:f>C200-D200</x:f>
        <x:v>0.004907831087568996</x:v>
      </x:c>
      <x:c r="F200" s="100" t="n">
        <x:f>E200-B200</x:f>
        <x:v>0.00776342333159444</x:v>
      </x:c>
      <x:c r="G200" s="100" t="n">
        <x:f>ABS(F200)</x:f>
        <x:v>0.00776342333159444</x:v>
      </x:c>
      <x:c r="H200" s="100" t="n">
        <x:f>'Raw Z'!N194</x:f>
        <x:v>0.8161495890876667</x:v>
      </x:c>
      <x:c r="I200" t="b">
        <x:f>'Raw Z'!O194</x:f>
        <x:v>1</x:v>
      </x:c>
      <x:c r="J200" s="100" t="n">
        <x:f>IF(I200,B200,"")</x:f>
        <x:v>-0.002855592244025443</x:v>
      </x:c>
      <x:c r="K200" s="100" t="n">
        <x:f>IF(I200,E200,"")</x:f>
        <x:v>0.004907831087568996</x:v>
      </x:c>
      <x:c r="L200" s="100" t="n">
        <x:f>IF(I200,G200,"")</x:f>
        <x:v>0.00776342333159444</x:v>
      </x:c>
      <x:c r="M200" s="100" t="n">
        <x:f>IF(I200,F200^2,"")</x:f>
        <x:v>0.000060270741825544905</x:v>
      </x:c>
      <x:c r="N200" s="100" t="n">
        <x:f>IF(I200,F200,"")</x:f>
        <x:v>0.00776342333159444</x:v>
      </x:c>
      <x:c r="P200" t="n">
        <x:f>J200</x:f>
        <x:v>-0.002855592244025443</x:v>
      </x:c>
      <x:c r="Q200" t="n">
        <x:f>K200</x:f>
        <x:v>0.004907831087568996</x:v>
      </x:c>
    </x:row>
    <x:row r="201">
      <x:c r="A201" s="99" t="str">
        <x:f>'Raw Z'!B195</x:f>
        <x:v>00243</x:v>
      </x:c>
      <x:c r="B201" s="100" t="n">
        <x:f>INDEX('Raw Stations'!$D$2:$D$299,MATCH(A201,'Raw Stations'!$A$2:$A$299,0))</x:f>
        <x:v>-0.005319679673306148</x:v>
      </x:c>
      <x:c r="C201" s="100" t="n">
        <x:f>'Raw Z'!L195</x:f>
        <x:v>-0.01081513946410168</x:v>
      </x:c>
      <x:c r="D201" s="100" t="n">
        <x:f>$B$2</x:f>
        <x:v>-0.0009288398653362757</x:v>
      </x:c>
      <x:c r="E201" s="100" t="n">
        <x:f>C201-D201</x:f>
        <x:v>-0.009886299598765405</x:v>
      </x:c>
      <x:c r="F201" s="100" t="n">
        <x:f>E201-B201</x:f>
        <x:v>-0.004566619925459257</x:v>
      </x:c>
      <x:c r="G201" s="100" t="n">
        <x:f>ABS(F201)</x:f>
        <x:v>0.004566619925459257</x:v>
      </x:c>
      <x:c r="H201" s="100" t="n">
        <x:f>'Raw Z'!N195</x:f>
        <x:v>0.9936931210201057</x:v>
      </x:c>
      <x:c r="I201" t="b">
        <x:f>'Raw Z'!O195</x:f>
        <x:v>1</x:v>
      </x:c>
      <x:c r="J201" s="100" t="n">
        <x:f>IF(I201,B201,"")</x:f>
        <x:v>-0.005319679673306148</x:v>
      </x:c>
      <x:c r="K201" s="100" t="n">
        <x:f>IF(I201,E201,"")</x:f>
        <x:v>-0.009886299598765405</x:v>
      </x:c>
      <x:c r="L201" s="100" t="n">
        <x:f>IF(I201,G201,"")</x:f>
        <x:v>0.004566619925459257</x:v>
      </x:c>
      <x:c r="M201" s="100" t="n">
        <x:f>IF(I201,F201^2,"")</x:f>
        <x:v>0.00002085401754360151</x:v>
      </x:c>
      <x:c r="N201" s="100" t="n">
        <x:f>IF(I201,F201,"")</x:f>
        <x:v>-0.004566619925459257</x:v>
      </x:c>
      <x:c r="P201" t="n">
        <x:f>J201</x:f>
        <x:v>-0.005319679673306148</x:v>
      </x:c>
      <x:c r="Q201" t="n">
        <x:f>K201</x:f>
        <x:v>-0.009886299598765405</x:v>
      </x:c>
    </x:row>
    <x:row r="202">
      <x:c r="A202" s="99" t="str">
        <x:f>'Raw Z'!B196</x:f>
        <x:v>00244</x:v>
      </x:c>
      <x:c r="B202" s="100" t="n">
        <x:f>INDEX('Raw Stations'!$D$2:$D$299,MATCH(A202,'Raw Stations'!$A$2:$A$299,0))</x:f>
        <x:v>-0.006447440382238656</x:v>
      </x:c>
      <x:c r="C202" s="100" t="n">
        <x:f>'Raw Z'!L196</x:f>
        <x:v>-0.002310260228209307</x:v>
      </x:c>
      <x:c r="D202" s="100" t="n">
        <x:f>$B$2</x:f>
        <x:v>-0.0009288398653362757</x:v>
      </x:c>
      <x:c r="E202" s="100" t="n">
        <x:f>C202-D202</x:f>
        <x:v>-0.0013814203628730315</x:v>
      </x:c>
      <x:c r="F202" s="100" t="n">
        <x:f>E202-B202</x:f>
        <x:v>0.005066020019365625</x:v>
      </x:c>
      <x:c r="G202" s="100" t="n">
        <x:f>ABS(F202)</x:f>
        <x:v>0.005066020019365625</x:v>
      </x:c>
      <x:c r="H202" s="100" t="n">
        <x:f>'Raw Z'!N196</x:f>
        <x:v>0.9308856924640597</x:v>
      </x:c>
      <x:c r="I202" t="b">
        <x:f>'Raw Z'!O196</x:f>
        <x:v>1</x:v>
      </x:c>
      <x:c r="J202" s="100" t="n">
        <x:f>IF(I202,B202,"")</x:f>
        <x:v>-0.006447440382238656</x:v>
      </x:c>
      <x:c r="K202" s="100" t="n">
        <x:f>IF(I202,E202,"")</x:f>
        <x:v>-0.0013814203628730315</x:v>
      </x:c>
      <x:c r="L202" s="100" t="n">
        <x:f>IF(I202,G202,"")</x:f>
        <x:v>0.005066020019365625</x:v>
      </x:c>
      <x:c r="M202" s="100" t="n">
        <x:f>IF(I202,F202^2,"")</x:f>
        <x:v>0.000025664558836613283</x:v>
      </x:c>
      <x:c r="N202" s="100" t="n">
        <x:f>IF(I202,F202,"")</x:f>
        <x:v>0.005066020019365625</x:v>
      </x:c>
      <x:c r="P202" t="n">
        <x:f>J202</x:f>
        <x:v>-0.006447440382238656</x:v>
      </x:c>
      <x:c r="Q202" t="n">
        <x:f>K202</x:f>
        <x:v>-0.0013814203628730315</x:v>
      </x:c>
    </x:row>
    <x:row r="203">
      <x:c r="A203" s="99" t="str">
        <x:f>'Raw Z'!B197</x:f>
        <x:v>00245</x:v>
      </x:c>
      <x:c r="B203" s="100" t="n">
        <x:f>INDEX('Raw Stations'!$D$2:$D$299,MATCH(A203,'Raw Stations'!$A$2:$A$299,0))</x:f>
        <x:v>-0.005999491690710009</x:v>
      </x:c>
      <x:c r="C203" s="100" t="n">
        <x:f>'Raw Z'!L197</x:f>
        <x:v>-0.002641965521807149</x:v>
      </x:c>
      <x:c r="D203" s="100" t="n">
        <x:f>$B$2</x:f>
        <x:v>-0.0009288398653362757</x:v>
      </x:c>
      <x:c r="E203" s="100" t="n">
        <x:f>C203-D203</x:f>
        <x:v>-0.0017131256564708736</x:v>
      </x:c>
      <x:c r="F203" s="100" t="n">
        <x:f>E203-B203</x:f>
        <x:v>0.004286366034239136</x:v>
      </x:c>
      <x:c r="G203" s="100" t="n">
        <x:f>ABS(F203)</x:f>
        <x:v>0.004286366034239136</x:v>
      </x:c>
      <x:c r="H203" s="100" t="n">
        <x:f>'Raw Z'!N197</x:f>
        <x:v>0.9544410407241773</x:v>
      </x:c>
      <x:c r="I203" t="b">
        <x:f>'Raw Z'!O197</x:f>
        <x:v>1</x:v>
      </x:c>
      <x:c r="J203" s="100" t="n">
        <x:f>IF(I203,B203,"")</x:f>
        <x:v>-0.005999491690710009</x:v>
      </x:c>
      <x:c r="K203" s="100" t="n">
        <x:f>IF(I203,E203,"")</x:f>
        <x:v>-0.0017131256564708736</x:v>
      </x:c>
      <x:c r="L203" s="100" t="n">
        <x:f>IF(I203,G203,"")</x:f>
        <x:v>0.004286366034239136</x:v>
      </x:c>
      <x:c r="M203" s="100" t="n">
        <x:f>IF(I203,F203^2,"")</x:f>
        <x:v>0.000018372933779478934</x:v>
      </x:c>
      <x:c r="N203" s="100" t="n">
        <x:f>IF(I203,F203,"")</x:f>
        <x:v>0.004286366034239136</x:v>
      </x:c>
      <x:c r="P203" t="n">
        <x:f>J203</x:f>
        <x:v>-0.005999491690710009</x:v>
      </x:c>
      <x:c r="Q203" t="n">
        <x:f>K203</x:f>
        <x:v>-0.0017131256564708736</x:v>
      </x:c>
    </x:row>
    <x:row r="204">
      <x:c r="A204" s="99" t="str">
        <x:f>'Raw Z'!B198</x:f>
        <x:v>00246</x:v>
      </x:c>
      <x:c r="B204" s="100" t="n">
        <x:f>INDEX('Raw Stations'!$D$2:$D$299,MATCH(A204,'Raw Stations'!$A$2:$A$299,0))</x:f>
        <x:v>-0.003334853758854929</x:v>
      </x:c>
      <x:c r="C204" s="100" t="n">
        <x:f>'Raw Z'!L198</x:f>
        <x:v>-0.01008625023750662</x:v>
      </x:c>
      <x:c r="D204" s="100" t="n">
        <x:f>$B$2</x:f>
        <x:v>-0.0009288398653362757</x:v>
      </x:c>
      <x:c r="E204" s="100" t="n">
        <x:f>C204-D204</x:f>
        <x:v>-0.009157410372170344</x:v>
      </x:c>
      <x:c r="F204" s="100" t="n">
        <x:f>E204-B204</x:f>
        <x:v>-0.005822556613315415</x:v>
      </x:c>
      <x:c r="G204" s="100" t="n">
        <x:f>ABS(F204)</x:f>
        <x:v>0.005822556613315415</x:v>
      </x:c>
      <x:c r="H204" s="100" t="n">
        <x:f>'Raw Z'!N198</x:f>
        <x:v>0.9560914208284621</x:v>
      </x:c>
      <x:c r="I204" t="b">
        <x:f>'Raw Z'!O198</x:f>
        <x:v>1</x:v>
      </x:c>
      <x:c r="J204" s="100" t="n">
        <x:f>IF(I204,B204,"")</x:f>
        <x:v>-0.003334853758854929</x:v>
      </x:c>
      <x:c r="K204" s="100" t="n">
        <x:f>IF(I204,E204,"")</x:f>
        <x:v>-0.009157410372170344</x:v>
      </x:c>
      <x:c r="L204" s="100" t="n">
        <x:f>IF(I204,G204,"")</x:f>
        <x:v>0.005822556613315415</x:v>
      </x:c>
      <x:c r="M204" s="100" t="n">
        <x:f>IF(I204,F204^2,"")</x:f>
        <x:v>0.00003390216551526308</x:v>
      </x:c>
      <x:c r="N204" s="100" t="n">
        <x:f>IF(I204,F204,"")</x:f>
        <x:v>-0.005822556613315415</x:v>
      </x:c>
      <x:c r="P204" t="n">
        <x:f>J204</x:f>
        <x:v>-0.003334853758854929</x:v>
      </x:c>
      <x:c r="Q204" t="n">
        <x:f>K204</x:f>
        <x:v>-0.009157410372170344</x:v>
      </x:c>
    </x:row>
    <x:row r="205">
      <x:c r="A205" s="99" t="str">
        <x:f>'Raw Z'!B199</x:f>
        <x:v>00247</x:v>
      </x:c>
      <x:c r="B205" s="100" t="n">
        <x:f>INDEX('Raw Stations'!$D$2:$D$299,MATCH(A205,'Raw Stations'!$A$2:$A$299,0))</x:f>
        <x:v>-0.004174738263577411</x:v>
      </x:c>
      <x:c r="C205" s="100" t="n">
        <x:f>'Raw Z'!L199</x:f>
        <x:v>0.00004506444488451555</x:v>
      </x:c>
      <x:c r="D205" s="100" t="n">
        <x:f>$B$2</x:f>
        <x:v>-0.0009288398653362757</x:v>
      </x:c>
      <x:c r="E205" s="100" t="n">
        <x:f>C205-D205</x:f>
        <x:v>0.0009739043102207913</x:v>
      </x:c>
      <x:c r="F205" s="100" t="n">
        <x:f>E205-B205</x:f>
        <x:v>0.005148642573798202</x:v>
      </x:c>
      <x:c r="G205" s="100" t="n">
        <x:f>ABS(F205)</x:f>
        <x:v>0.005148642573798202</x:v>
      </x:c>
      <x:c r="H205" s="100" t="n">
        <x:f>'Raw Z'!N199</x:f>
        <x:v>0.8020561302986129</x:v>
      </x:c>
      <x:c r="I205" t="b">
        <x:f>'Raw Z'!O199</x:f>
        <x:v>1</x:v>
      </x:c>
      <x:c r="J205" s="100" t="n">
        <x:f>IF(I205,B205,"")</x:f>
        <x:v>-0.004174738263577411</x:v>
      </x:c>
      <x:c r="K205" s="100" t="n">
        <x:f>IF(I205,E205,"")</x:f>
        <x:v>0.0009739043102207913</x:v>
      </x:c>
      <x:c r="L205" s="100" t="n">
        <x:f>IF(I205,G205,"")</x:f>
        <x:v>0.005148642573798202</x:v>
      </x:c>
      <x:c r="M205" s="100" t="n">
        <x:f>IF(I205,F205^2,"")</x:f>
        <x:v>0.000026508520352727372</x:v>
      </x:c>
      <x:c r="N205" s="100" t="n">
        <x:f>IF(I205,F205,"")</x:f>
        <x:v>0.005148642573798202</x:v>
      </x:c>
      <x:c r="P205" t="n">
        <x:f>J205</x:f>
        <x:v>-0.004174738263577411</x:v>
      </x:c>
      <x:c r="Q205" t="n">
        <x:f>K205</x:f>
        <x:v>0.0009739043102207913</x:v>
      </x:c>
    </x:row>
    <x:row r="206">
      <x:c r="A206" s="99" t="str">
        <x:f>'Raw Z'!B200</x:f>
        <x:v>00248</x:v>
      </x:c>
      <x:c r="B206" s="100" t="n">
        <x:f>INDEX('Raw Stations'!$D$2:$D$299,MATCH(A206,'Raw Stations'!$A$2:$A$299,0))</x:f>
        <x:v>-0.002433906224654048</x:v>
      </x:c>
      <x:c r="C206" s="100" t="n">
        <x:f>'Raw Z'!L200</x:f>
        <x:v>0.01310755013200582</x:v>
      </x:c>
      <x:c r="D206" s="100" t="n">
        <x:f>$B$2</x:f>
        <x:v>-0.0009288398653362757</x:v>
      </x:c>
      <x:c r="E206" s="100" t="n">
        <x:f>C206-D206</x:f>
        <x:v>0.014036389997342096</x:v>
      </x:c>
      <x:c r="F206" s="100" t="n">
        <x:f>E206-B206</x:f>
        <x:v>0.016470296221996143</x:v>
      </x:c>
      <x:c r="G206" s="100" t="n">
        <x:f>ABS(F206)</x:f>
        <x:v>0.016470296221996143</x:v>
      </x:c>
      <x:c r="H206" s="100" t="n">
        <x:f>'Raw Z'!N200</x:f>
        <x:v>0.821960960273348</x:v>
      </x:c>
      <x:c r="I206" t="b">
        <x:f>'Raw Z'!O200</x:f>
        <x:v>1</x:v>
      </x:c>
      <x:c r="J206" s="100" t="n">
        <x:f>IF(I206,B206,"")</x:f>
        <x:v>-0.002433906224654048</x:v>
      </x:c>
      <x:c r="K206" s="100" t="n">
        <x:f>IF(I206,E206,"")</x:f>
        <x:v>0.014036389997342096</x:v>
      </x:c>
      <x:c r="L206" s="100" t="n">
        <x:f>IF(I206,G206,"")</x:f>
        <x:v>0.016470296221996143</x:v>
      </x:c>
      <x:c r="M206" s="100" t="n">
        <x:f>IF(I206,F206^2,"")</x:f>
        <x:v>0.0002712706576403004</x:v>
      </x:c>
      <x:c r="N206" s="100" t="n">
        <x:f>IF(I206,F206,"")</x:f>
        <x:v>0.016470296221996143</x:v>
      </x:c>
      <x:c r="P206" t="n">
        <x:f>J206</x:f>
        <x:v>-0.002433906224654048</x:v>
      </x:c>
      <x:c r="Q206" t="n">
        <x:f>K206</x:f>
        <x:v>0.014036389997342096</x:v>
      </x:c>
    </x:row>
    <x:row r="207">
      <x:c r="A207" s="99" t="str">
        <x:f>'Raw Z'!B201</x:f>
        <x:v>00249</x:v>
      </x:c>
      <x:c r="B207" s="100" t="n">
        <x:f>INDEX('Raw Stations'!$D$2:$D$299,MATCH(A207,'Raw Stations'!$A$2:$A$299,0))</x:f>
        <x:v>-0.0005285886663962298</x:v>
      </x:c>
      <x:c r="C207" s="100" t="n">
        <x:f>'Raw Z'!L201</x:f>
        <x:v>-0.01819530070665253</x:v>
      </x:c>
      <x:c r="D207" s="100" t="n">
        <x:f>$B$2</x:f>
        <x:v>-0.0009288398653362757</x:v>
      </x:c>
      <x:c r="E207" s="100" t="n">
        <x:f>C207-D207</x:f>
        <x:v>-0.017266460841316254</x:v>
      </x:c>
      <x:c r="F207" s="100" t="n">
        <x:f>E207-B207</x:f>
        <x:v>-0.016737872174920024</x:v>
      </x:c>
      <x:c r="G207" s="100" t="n">
        <x:f>ABS(F207)</x:f>
        <x:v>0.016737872174920024</x:v>
      </x:c>
      <x:c r="H207" s="100" t="n">
        <x:f>'Raw Z'!N201</x:f>
        <x:v>0.7705473683655344</x:v>
      </x:c>
      <x:c r="I207" t="b">
        <x:f>'Raw Z'!O201</x:f>
        <x:v>1</x:v>
      </x:c>
      <x:c r="J207" s="100" t="n">
        <x:f>IF(I207,B207,"")</x:f>
        <x:v>-0.0005285886663962298</x:v>
      </x:c>
      <x:c r="K207" s="100" t="n">
        <x:f>IF(I207,E207,"")</x:f>
        <x:v>-0.017266460841316254</x:v>
      </x:c>
      <x:c r="L207" s="100" t="n">
        <x:f>IF(I207,G207,"")</x:f>
        <x:v>0.016737872174920024</x:v>
      </x:c>
      <x:c r="M207" s="100" t="n">
        <x:f>IF(I207,F207^2,"")</x:f>
        <x:v>0.000280156364943962</x:v>
      </x:c>
      <x:c r="N207" s="100" t="n">
        <x:f>IF(I207,F207,"")</x:f>
        <x:v>-0.016737872174920024</x:v>
      </x:c>
      <x:c r="P207" t="n">
        <x:f>J207</x:f>
        <x:v>-0.0005285886663962298</x:v>
      </x:c>
      <x:c r="Q207" t="n">
        <x:f>K207</x:f>
        <x:v>-0.017266460841316254</x:v>
      </x:c>
    </x:row>
    <x:row r="208">
      <x:c r="A208" s="99" t="str">
        <x:f>'Raw Z'!B202</x:f>
        <x:v>00250</x:v>
      </x:c>
      <x:c r="B208" s="100" t="n">
        <x:f>INDEX('Raw Stations'!$D$2:$D$299,MATCH(A208,'Raw Stations'!$A$2:$A$299,0))</x:f>
        <x:v>0.01009652619025008</x:v>
      </x:c>
      <x:c r="C208" s="100" t="n">
        <x:f>'Raw Z'!L202</x:f>
        <x:v>0.04257788032044002</x:v>
      </x:c>
      <x:c r="D208" s="100" t="n">
        <x:f>$B$2</x:f>
        <x:v>-0.0009288398653362757</x:v>
      </x:c>
      <x:c r="E208" s="100" t="n">
        <x:f>C208-D208</x:f>
        <x:v>0.043506720185776296</x:v>
      </x:c>
      <x:c r="F208" s="100" t="n">
        <x:f>E208-B208</x:f>
        <x:v>0.033410193995526215</x:v>
      </x:c>
      <x:c r="G208" s="100" t="n">
        <x:f>ABS(F208)</x:f>
        <x:v>0.033410193995526215</x:v>
      </x:c>
      <x:c r="H208" s="100" t="n">
        <x:f>'Raw Z'!N202</x:f>
        <x:v>0.6737108916926456</x:v>
      </x:c>
      <x:c r="I208" t="b">
        <x:f>'Raw Z'!O202</x:f>
        <x:v>1</x:v>
      </x:c>
      <x:c r="J208" s="100" t="n">
        <x:f>IF(I208,B208,"")</x:f>
        <x:v>0.01009652619025008</x:v>
      </x:c>
      <x:c r="K208" s="100" t="n">
        <x:f>IF(I208,E208,"")</x:f>
        <x:v>0.043506720185776296</x:v>
      </x:c>
      <x:c r="L208" s="100" t="n">
        <x:f>IF(I208,G208,"")</x:f>
        <x:v>0.033410193995526215</x:v>
      </x:c>
      <x:c r="M208" s="100" t="n">
        <x:f>IF(I208,F208^2,"")</x:f>
        <x:v>0.001116241062818696</x:v>
      </x:c>
      <x:c r="N208" s="100" t="n">
        <x:f>IF(I208,F208,"")</x:f>
        <x:v>0.033410193995526215</x:v>
      </x:c>
      <x:c r="P208" t="n">
        <x:f>J208</x:f>
        <x:v>0.01009652619025008</x:v>
      </x:c>
      <x:c r="Q208" t="n">
        <x:f>K208</x:f>
        <x:v>0.043506720185776296</x:v>
      </x:c>
    </x:row>
    <x:row r="209">
      <x:c r="A209" s="99" t="str">
        <x:f>'Raw Z'!B203</x:f>
        <x:v>00251</x:v>
      </x:c>
      <x:c r="B209" s="100" t="n">
        <x:f>INDEX('Raw Stations'!$D$2:$D$299,MATCH(A209,'Raw Stations'!$A$2:$A$299,0))</x:f>
        <x:v>0.01443343041710357</x:v>
      </x:c>
      <x:c r="C209" s="100" t="n">
        <x:f>'Raw Z'!L203</x:f>
        <x:v>0.01168203393845188</x:v>
      </x:c>
      <x:c r="D209" s="100" t="n">
        <x:f>$B$2</x:f>
        <x:v>-0.0009288398653362757</x:v>
      </x:c>
      <x:c r="E209" s="100" t="n">
        <x:f>C209-D209</x:f>
        <x:v>0.012610873803788156</x:v>
      </x:c>
      <x:c r="F209" s="100" t="n">
        <x:f>E209-B209</x:f>
        <x:v>-0.0018225566133154136</x:v>
      </x:c>
      <x:c r="G209" s="100" t="n">
        <x:f>ABS(F209)</x:f>
        <x:v>0.0018225566133154136</x:v>
      </x:c>
      <x:c r="H209" s="100" t="n">
        <x:f>'Raw Z'!N203</x:f>
        <x:v>0.9002866843851883</x:v>
      </x:c>
      <x:c r="I209" t="b">
        <x:f>'Raw Z'!O203</x:f>
        <x:v>1</x:v>
      </x:c>
      <x:c r="J209" s="100" t="n">
        <x:f>IF(I209,B209,"")</x:f>
        <x:v>0.01443343041710357</x:v>
      </x:c>
      <x:c r="K209" s="100" t="n">
        <x:f>IF(I209,E209,"")</x:f>
        <x:v>0.012610873803788156</x:v>
      </x:c>
      <x:c r="L209" s="100" t="n">
        <x:f>IF(I209,G209,"")</x:f>
        <x:v>0.0018225566133154136</x:v>
      </x:c>
      <x:c r="M209" s="100" t="n">
        <x:f>IF(I209,F209^2,"")</x:f>
        <x:v>0.0000033217126087397498</x:v>
      </x:c>
      <x:c r="N209" s="100" t="n">
        <x:f>IF(I209,F209,"")</x:f>
        <x:v>-0.0018225566133154136</x:v>
      </x:c>
      <x:c r="P209" t="n">
        <x:f>J209</x:f>
        <x:v>0.01443343041710357</x:v>
      </x:c>
      <x:c r="Q209" t="n">
        <x:f>K209</x:f>
        <x:v>0.012610873803788156</x:v>
      </x:c>
    </x:row>
    <x:row r="210">
      <x:c r="A210" s="99" t="str">
        <x:f>'Raw Z'!B204</x:f>
        <x:v>00252</x:v>
      </x:c>
      <x:c r="B210" s="100" t="n">
        <x:f>INDEX('Raw Stations'!$D$2:$D$299,MATCH(A210,'Raw Stations'!$A$2:$A$299,0))</x:f>
        <x:v>0.008202143428452185</x:v>
      </x:c>
      <x:c r="C210" s="100" t="n">
        <x:f>'Raw Z'!L204</x:f>
        <x:v>-0.02331650244135786</x:v>
      </x:c>
      <x:c r="D210" s="100" t="n">
        <x:f>$B$2</x:f>
        <x:v>-0.0009288398653362757</x:v>
      </x:c>
      <x:c r="E210" s="100" t="n">
        <x:f>C210-D210</x:f>
        <x:v>-0.022387662576021584</x:v>
      </x:c>
      <x:c r="F210" s="100" t="n">
        <x:f>E210-B210</x:f>
        <x:v>-0.03058980600447377</x:v>
      </x:c>
      <x:c r="G210" s="100" t="n">
        <x:f>ABS(F210)</x:f>
        <x:v>0.03058980600447377</x:v>
      </x:c>
      <x:c r="H210" s="100" t="n">
        <x:f>'Raw Z'!N204</x:f>
        <x:v>0.8465475489619593</x:v>
      </x:c>
      <x:c r="I210" t="b">
        <x:f>'Raw Z'!O204</x:f>
        <x:v>1</x:v>
      </x:c>
      <x:c r="J210" s="100" t="n">
        <x:f>IF(I210,B210,"")</x:f>
        <x:v>0.008202143428452185</x:v>
      </x:c>
      <x:c r="K210" s="100" t="n">
        <x:f>IF(I210,E210,"")</x:f>
        <x:v>-0.022387662576021584</x:v>
      </x:c>
      <x:c r="L210" s="100" t="n">
        <x:f>IF(I210,G210,"")</x:f>
        <x:v>0.03058980600447377</x:v>
      </x:c>
      <x:c r="M210" s="100" t="n">
        <x:f>IF(I210,F210^2,"")</x:f>
        <x:v>0.0009357362313913394</x:v>
      </x:c>
      <x:c r="N210" s="100" t="n">
        <x:f>IF(I210,F210,"")</x:f>
        <x:v>-0.03058980600447377</x:v>
      </x:c>
      <x:c r="P210" t="n">
        <x:f>J210</x:f>
        <x:v>0.008202143428452185</x:v>
      </x:c>
      <x:c r="Q210" t="n">
        <x:f>K210</x:f>
        <x:v>-0.022387662576021584</x:v>
      </x:c>
    </x:row>
    <x:row r="211">
      <x:c r="A211" s="99" t="str">
        <x:f>'Raw Z'!B205</x:f>
        <x:v>00253</x:v>
      </x:c>
      <x:c r="B211" s="100" t="n">
        <x:f>INDEX('Raw Stations'!$D$2:$D$299,MATCH(A211,'Raw Stations'!$A$2:$A$299,0))</x:f>
        <x:v>-0.00216005978490106</x:v>
      </x:c>
      <x:c r="C211" s="100" t="n">
        <x:f>'Raw Z'!L205</x:f>
        <x:v>0.04659277207761983</x:v>
      </x:c>
      <x:c r="D211" s="100" t="n">
        <x:f>$B$2</x:f>
        <x:v>-0.0009288398653362757</x:v>
      </x:c>
      <x:c r="E211" s="100" t="n">
        <x:f>C211-D211</x:f>
        <x:v>0.04752161194295611</x:v>
      </x:c>
      <x:c r="F211" s="100" t="n">
        <x:f>E211-B211</x:f>
        <x:v>0.04968167172785717</x:v>
      </x:c>
      <x:c r="G211" s="100" t="n">
        <x:f>ABS(F211)</x:f>
        <x:v>0.04968167172785717</x:v>
      </x:c>
      <x:c r="H211" s="100" t="n">
        <x:f>'Raw Z'!N205</x:f>
        <x:v>0.7481731113040858</x:v>
      </x:c>
      <x:c r="I211" t="b">
        <x:f>'Raw Z'!O205</x:f>
        <x:v>1</x:v>
      </x:c>
      <x:c r="J211" s="100" t="n">
        <x:f>IF(I211,B211,"")</x:f>
        <x:v>-0.00216005978490106</x:v>
      </x:c>
      <x:c r="K211" s="100" t="n">
        <x:f>IF(I211,E211,"")</x:f>
        <x:v>0.04752161194295611</x:v>
      </x:c>
      <x:c r="L211" s="100" t="n">
        <x:f>IF(I211,G211,"")</x:f>
        <x:v>0.04968167172785717</x:v>
      </x:c>
      <x:c r="M211" s="100" t="n">
        <x:f>IF(I211,F211^2,"")</x:f>
        <x:v>0.002468268505674562</x:v>
      </x:c>
      <x:c r="N211" s="100" t="n">
        <x:f>IF(I211,F211,"")</x:f>
        <x:v>0.04968167172785717</x:v>
      </x:c>
      <x:c r="P211" t="n">
        <x:f>J211</x:f>
        <x:v>-0.00216005978490106</x:v>
      </x:c>
      <x:c r="Q211" t="n">
        <x:f>K211</x:f>
        <x:v>0.04752161194295611</x:v>
      </x:c>
    </x:row>
    <x:row r="212">
      <x:c r="A212" s="99" t="str">
        <x:f>'Raw Z'!B206</x:f>
        <x:v>00254</x:v>
      </x:c>
      <x:c r="B212" s="100" t="n">
        <x:f>INDEX('Raw Stations'!$D$2:$D$299,MATCH(A212,'Raw Stations'!$A$2:$A$299,0))</x:f>
        <x:v>-0.005124085243221884</x:v>
      </x:c>
      <x:c r="C212" s="100" t="n">
        <x:f>'Raw Z'!L206</x:f>
        <x:v>-0.01749066379268353</x:v>
      </x:c>
      <x:c r="D212" s="100" t="n">
        <x:f>$B$2</x:f>
        <x:v>-0.0009288398653362757</x:v>
      </x:c>
      <x:c r="E212" s="100" t="n">
        <x:f>C212-D212</x:f>
        <x:v>-0.016561823927347254</x:v>
      </x:c>
      <x:c r="F212" s="100" t="n">
        <x:f>E212-B212</x:f>
        <x:v>-0.01143773868412537</x:v>
      </x:c>
      <x:c r="G212" s="100" t="n">
        <x:f>ABS(F212)</x:f>
        <x:v>0.01143773868412537</x:v>
      </x:c>
      <x:c r="H212" s="100" t="n">
        <x:f>'Raw Z'!N206</x:f>
        <x:v>0.9447842924923413</x:v>
      </x:c>
      <x:c r="I212" t="b">
        <x:f>'Raw Z'!O206</x:f>
        <x:v>1</x:v>
      </x:c>
      <x:c r="J212" s="100" t="n">
        <x:f>IF(I212,B212,"")</x:f>
        <x:v>-0.005124085243221884</x:v>
      </x:c>
      <x:c r="K212" s="100" t="n">
        <x:f>IF(I212,E212,"")</x:f>
        <x:v>-0.016561823927347254</x:v>
      </x:c>
      <x:c r="L212" s="100" t="n">
        <x:f>IF(I212,G212,"")</x:f>
        <x:v>0.01143773868412537</x:v>
      </x:c>
      <x:c r="M212" s="100" t="n">
        <x:f>IF(I212,F212^2,"")</x:f>
        <x:v>0.00013082186620633795</x:v>
      </x:c>
      <x:c r="N212" s="100" t="n">
        <x:f>IF(I212,F212,"")</x:f>
        <x:v>-0.01143773868412537</x:v>
      </x:c>
      <x:c r="P212" t="n">
        <x:f>J212</x:f>
        <x:v>-0.005124085243221884</x:v>
      </x:c>
      <x:c r="Q212" t="n">
        <x:f>K212</x:f>
        <x:v>-0.016561823927347254</x:v>
      </x:c>
    </x:row>
    <x:row r="213">
      <x:c r="A213" s="99" t="str">
        <x:f>'Raw Z'!B207</x:f>
        <x:v>00255</x:v>
      </x:c>
      <x:c r="B213" s="100" t="n">
        <x:f>INDEX('Raw Stations'!$D$2:$D$299,MATCH(A213,'Raw Stations'!$A$2:$A$299,0))</x:f>
        <x:v>-0.00187578681520597</x:v>
      </x:c>
      <x:c r="C213" s="100" t="n">
        <x:f>'Raw Z'!L207</x:f>
        <x:v>-0.00923842005272673</x:v>
      </x:c>
      <x:c r="D213" s="100" t="n">
        <x:f>$B$2</x:f>
        <x:v>-0.0009288398653362757</x:v>
      </x:c>
      <x:c r="E213" s="100" t="n">
        <x:f>C213-D213</x:f>
        <x:v>-0.008309580187390454</x:v>
      </x:c>
      <x:c r="F213" s="100" t="n">
        <x:f>E213-B213</x:f>
        <x:v>-0.006433793372184485</x:v>
      </x:c>
      <x:c r="G213" s="100" t="n">
        <x:f>ABS(F213)</x:f>
        <x:v>0.006433793372184485</x:v>
      </x:c>
      <x:c r="H213" s="100" t="n">
        <x:f>'Raw Z'!N207</x:f>
        <x:v>0.976132972315141</x:v>
      </x:c>
      <x:c r="I213" t="b">
        <x:f>'Raw Z'!O207</x:f>
        <x:v>1</x:v>
      </x:c>
      <x:c r="J213" s="100" t="n">
        <x:f>IF(I213,B213,"")</x:f>
        <x:v>-0.00187578681520597</x:v>
      </x:c>
      <x:c r="K213" s="100" t="n">
        <x:f>IF(I213,E213,"")</x:f>
        <x:v>-0.008309580187390454</x:v>
      </x:c>
      <x:c r="L213" s="100" t="n">
        <x:f>IF(I213,G213,"")</x:f>
        <x:v>0.006433793372184485</x:v>
      </x:c>
      <x:c r="M213" s="100" t="n">
        <x:f>IF(I213,F213^2,"")</x:f>
        <x:v>0.000041393697155965005</x:v>
      </x:c>
      <x:c r="N213" s="100" t="n">
        <x:f>IF(I213,F213,"")</x:f>
        <x:v>-0.006433793372184485</x:v>
      </x:c>
      <x:c r="P213" t="n">
        <x:f>J213</x:f>
        <x:v>-0.00187578681520597</x:v>
      </x:c>
      <x:c r="Q213" t="n">
        <x:f>K213</x:f>
        <x:v>-0.008309580187390454</x:v>
      </x:c>
    </x:row>
    <x:row r="214">
      <x:c r="A214" s="99" t="str">
        <x:f>'Raw Z'!B208</x:f>
        <x:v>00256</x:v>
      </x:c>
      <x:c r="B214" s="100" t="n">
        <x:f>INDEX('Raw Stations'!$D$2:$D$299,MATCH(A214,'Raw Stations'!$A$2:$A$299,0))</x:f>
        <x:v>0.002057983199246202</x:v>
      </x:c>
      <x:c r="C214" s="100" t="n">
        <x:f>'Raw Z'!L208</x:f>
        <x:v>-0.008693413279405482</x:v>
      </x:c>
      <x:c r="D214" s="100" t="n">
        <x:f>$B$2</x:f>
        <x:v>-0.0009288398653362757</x:v>
      </x:c>
      <x:c r="E214" s="100" t="n">
        <x:f>C214-D214</x:f>
        <x:v>-0.007764573414069206</x:v>
      </x:c>
      <x:c r="F214" s="100" t="n">
        <x:f>E214-B214</x:f>
        <x:v>-0.009822556613315409</x:v>
      </x:c>
      <x:c r="G214" s="100" t="n">
        <x:f>ABS(F214)</x:f>
        <x:v>0.009822556613315409</x:v>
      </x:c>
      <x:c r="H214" s="100" t="n">
        <x:f>'Raw Z'!N208</x:f>
        <x:v>0.9735347883881774</x:v>
      </x:c>
      <x:c r="I214" t="b">
        <x:f>'Raw Z'!O208</x:f>
        <x:v>1</x:v>
      </x:c>
      <x:c r="J214" s="100" t="n">
        <x:f>IF(I214,B214,"")</x:f>
        <x:v>0.002057983199246202</x:v>
      </x:c>
      <x:c r="K214" s="100" t="n">
        <x:f>IF(I214,E214,"")</x:f>
        <x:v>-0.007764573414069206</x:v>
      </x:c>
      <x:c r="L214" s="100" t="n">
        <x:f>IF(I214,G214,"")</x:f>
        <x:v>0.009822556613315409</x:v>
      </x:c>
      <x:c r="M214" s="100" t="n">
        <x:f>IF(I214,F214^2,"")</x:f>
        <x:v>0.00009648261842178626</x:v>
      </x:c>
      <x:c r="N214" s="100" t="n">
        <x:f>IF(I214,F214,"")</x:f>
        <x:v>-0.009822556613315409</x:v>
      </x:c>
      <x:c r="P214" t="n">
        <x:f>J214</x:f>
        <x:v>0.002057983199246202</x:v>
      </x:c>
      <x:c r="Q214" t="n">
        <x:f>K214</x:f>
        <x:v>-0.007764573414069206</x:v>
      </x:c>
    </x:row>
    <x:row r="215">
      <x:c r="A215" s="99" t="str">
        <x:f>'Raw Z'!B209</x:f>
        <x:v>00257</x:v>
      </x:c>
      <x:c r="B215" s="100" t="n">
        <x:f>INDEX('Raw Stations'!$D$2:$D$299,MATCH(A215,'Raw Stations'!$A$2:$A$299,0))</x:f>
        <x:v>-0.002023806519780652</x:v>
      </x:c>
      <x:c r="C215" s="100" t="n">
        <x:f>'Raw Z'!L209</x:f>
        <x:v>-0.003690518560036951</x:v>
      </x:c>
      <x:c r="D215" s="100" t="n">
        <x:f>$B$2</x:f>
        <x:v>-0.0009288398653362757</x:v>
      </x:c>
      <x:c r="E215" s="100" t="n">
        <x:f>C215-D215</x:f>
        <x:v>-0.0027616786947006755</x:v>
      </x:c>
      <x:c r="F215" s="100" t="n">
        <x:f>E215-B215</x:f>
        <x:v>-0.0007378721749200234</x:v>
      </x:c>
      <x:c r="G215" s="100" t="n">
        <x:f>ABS(F215)</x:f>
        <x:v>0.0007378721749200234</x:v>
      </x:c>
      <x:c r="H215" s="100" t="n">
        <x:f>'Raw Z'!N209</x:f>
        <x:v>0.9302354092712088</x:v>
      </x:c>
      <x:c r="I215" t="b">
        <x:f>'Raw Z'!O209</x:f>
        <x:v>1</x:v>
      </x:c>
      <x:c r="J215" s="100" t="n">
        <x:f>IF(I215,B215,"")</x:f>
        <x:v>-0.002023806519780652</x:v>
      </x:c>
      <x:c r="K215" s="100" t="n">
        <x:f>IF(I215,E215,"")</x:f>
        <x:v>-0.0027616786947006755</x:v>
      </x:c>
      <x:c r="L215" s="100" t="n">
        <x:f>IF(I215,G215,"")</x:f>
        <x:v>0.0007378721749200234</x:v>
      </x:c>
      <x:c r="M215" s="100" t="n">
        <x:f>IF(I215,F215^2,"")</x:f>
        <x:v>5.444553465212057e-7</x:v>
      </x:c>
      <x:c r="N215" s="100" t="n">
        <x:f>IF(I215,F215,"")</x:f>
        <x:v>-0.0007378721749200234</x:v>
      </x:c>
      <x:c r="P215" t="n">
        <x:f>J215</x:f>
        <x:v>-0.002023806519780652</x:v>
      </x:c>
      <x:c r="Q215" t="n">
        <x:f>K215</x:f>
        <x:v>-0.0027616786947006755</x:v>
      </x:c>
    </x:row>
    <x:row r="216">
      <x:c r="A216" s="99" t="str">
        <x:f>'Raw Z'!B210</x:f>
        <x:v>00258</x:v>
      </x:c>
      <x:c r="B216" s="100" t="n">
        <x:f>INDEX('Raw Stations'!$D$2:$D$299,MATCH(A216,'Raw Stations'!$A$2:$A$299,0))</x:f>
        <x:v>-0.001294380249614171</x:v>
      </x:c>
      <x:c r="C216" s="100" t="n">
        <x:f>'Raw Z'!L210</x:f>
        <x:v>-0.006961092289870477</x:v>
      </x:c>
      <x:c r="D216" s="100" t="n">
        <x:f>$B$2</x:f>
        <x:v>-0.0009288398653362757</x:v>
      </x:c>
      <x:c r="E216" s="100" t="n">
        <x:f>C216-D216</x:f>
        <x:v>-0.006032252424534201</x:v>
      </x:c>
      <x:c r="F216" s="100" t="n">
        <x:f>E216-B216</x:f>
        <x:v>-0.0047378721749200305</x:v>
      </x:c>
      <x:c r="G216" s="100" t="n">
        <x:f>ABS(F216)</x:f>
        <x:v>0.0047378721749200305</x:v>
      </x:c>
      <x:c r="H216" s="100" t="n">
        <x:f>'Raw Z'!N210</x:f>
        <x:v>0.9636464345803326</x:v>
      </x:c>
      <x:c r="I216" t="b">
        <x:f>'Raw Z'!O210</x:f>
        <x:v>1</x:v>
      </x:c>
      <x:c r="J216" s="100" t="n">
        <x:f>IF(I216,B216,"")</x:f>
        <x:v>-0.001294380249614171</x:v>
      </x:c>
      <x:c r="K216" s="100" t="n">
        <x:f>IF(I216,E216,"")</x:f>
        <x:v>-0.006032252424534201</x:v>
      </x:c>
      <x:c r="L216" s="100" t="n">
        <x:f>IF(I216,G216,"")</x:f>
        <x:v>0.0047378721749200305</x:v>
      </x:c>
      <x:c r="M216" s="100" t="n">
        <x:f>IF(I216,F216^2,"")</x:f>
        <x:v>0.00002244743274588146</x:v>
      </x:c>
      <x:c r="N216" s="100" t="n">
        <x:f>IF(I216,F216,"")</x:f>
        <x:v>-0.0047378721749200305</x:v>
      </x:c>
      <x:c r="P216" t="n">
        <x:f>J216</x:f>
        <x:v>-0.001294380249614171</x:v>
      </x:c>
      <x:c r="Q216" t="n">
        <x:f>K216</x:f>
        <x:v>-0.006032252424534201</x:v>
      </x:c>
    </x:row>
    <x:row r="217">
      <x:c r="A217" s="99" t="str">
        <x:f>'Raw Z'!B211</x:f>
        <x:v>00259</x:v>
      </x:c>
      <x:c r="B217" s="100" t="n">
        <x:f>INDEX('Raw Stations'!$D$2:$D$299,MATCH(A217,'Raw Stations'!$A$2:$A$299,0))</x:f>
        <x:v>-0.004563610697556827</x:v>
      </x:c>
      <x:c r="C217" s="100" t="n">
        <x:f>'Raw Z'!L211</x:f>
        <x:v>-0.01043675120499417</x:v>
      </x:c>
      <x:c r="D217" s="100" t="n">
        <x:f>$B$2</x:f>
        <x:v>-0.0009288398653362757</x:v>
      </x:c>
      <x:c r="E217" s="100" t="n">
        <x:f>C217-D217</x:f>
        <x:v>-0.009507911339657895</x:v>
      </x:c>
      <x:c r="F217" s="100" t="n">
        <x:f>E217-B217</x:f>
        <x:v>-0.004944300642101068</x:v>
      </x:c>
      <x:c r="G217" s="100" t="n">
        <x:f>ABS(F217)</x:f>
        <x:v>0.004944300642101068</x:v>
      </x:c>
      <x:c r="H217" s="100" t="n">
        <x:f>'Raw Z'!N211</x:f>
        <x:v>0.9515945794876172</x:v>
      </x:c>
      <x:c r="I217" t="b">
        <x:f>'Raw Z'!O211</x:f>
        <x:v>1</x:v>
      </x:c>
      <x:c r="J217" s="100" t="n">
        <x:f>IF(I217,B217,"")</x:f>
        <x:v>-0.004563610697556827</x:v>
      </x:c>
      <x:c r="K217" s="100" t="n">
        <x:f>IF(I217,E217,"")</x:f>
        <x:v>-0.009507911339657895</x:v>
      </x:c>
      <x:c r="L217" s="100" t="n">
        <x:f>IF(I217,G217,"")</x:f>
        <x:v>0.004944300642101068</x:v>
      </x:c>
      <x:c r="M217" s="100" t="n">
        <x:f>IF(I217,F217^2,"")</x:f>
        <x:v>0.000024446108839481033</x:v>
      </x:c>
      <x:c r="N217" s="100" t="n">
        <x:f>IF(I217,F217,"")</x:f>
        <x:v>-0.004944300642101068</x:v>
      </x:c>
      <x:c r="P217" t="n">
        <x:f>J217</x:f>
        <x:v>-0.004563610697556827</x:v>
      </x:c>
      <x:c r="Q217" t="n">
        <x:f>K217</x:f>
        <x:v>-0.009507911339657895</x:v>
      </x:c>
    </x:row>
    <x:row r="218">
      <x:c r="A218" s="99" t="str">
        <x:f>'Raw Z'!B212</x:f>
        <x:v>00260</x:v>
      </x:c>
      <x:c r="B218" s="100" t="n">
        <x:f>INDEX('Raw Stations'!$D$2:$D$299,MATCH(A218,'Raw Stations'!$A$2:$A$299,0))</x:f>
        <x:v>-0.002526667458881783</x:v>
      </x:c>
      <x:c r="C218" s="100" t="n">
        <x:f>'Raw Z'!L212</x:f>
        <x:v>-0.003382459555713341</x:v>
      </x:c>
      <x:c r="D218" s="100" t="n">
        <x:f>$B$2</x:f>
        <x:v>-0.0009288398653362757</x:v>
      </x:c>
      <x:c r="E218" s="100" t="n">
        <x:f>C218-D218</x:f>
        <x:v>-0.0024536196903770656</x:v>
      </x:c>
      <x:c r="F218" s="100" t="n">
        <x:f>E218-B218</x:f>
        <x:v>0.00007304776850471746</x:v>
      </x:c>
      <x:c r="G218" s="100" t="n">
        <x:f>ABS(F218)</x:f>
        <x:v>0.00007304776850471746</x:v>
      </x:c>
      <x:c r="H218" s="100" t="n">
        <x:f>'Raw Z'!N212</x:f>
        <x:v>0.8393088080960415</x:v>
      </x:c>
      <x:c r="I218" t="b">
        <x:f>'Raw Z'!O212</x:f>
        <x:v>1</x:v>
      </x:c>
      <x:c r="J218" s="100" t="n">
        <x:f>IF(I218,B218,"")</x:f>
        <x:v>-0.002526667458881783</x:v>
      </x:c>
      <x:c r="K218" s="100" t="n">
        <x:f>IF(I218,E218,"")</x:f>
        <x:v>-0.0024536196903770656</x:v>
      </x:c>
      <x:c r="L218" s="100" t="n">
        <x:f>IF(I218,G218,"")</x:f>
        <x:v>0.00007304776850471746</x:v>
      </x:c>
      <x:c r="M218" s="100" t="n">
        <x:f>IF(I218,F218^2,"")</x:f>
        <x:v>5.335976483518792e-9</x:v>
      </x:c>
      <x:c r="N218" s="100" t="n">
        <x:f>IF(I218,F218,"")</x:f>
        <x:v>0.00007304776850471746</x:v>
      </x:c>
      <x:c r="P218" t="n">
        <x:f>J218</x:f>
        <x:v>-0.002526667458881783</x:v>
      </x:c>
      <x:c r="Q218" t="n">
        <x:f>K218</x:f>
        <x:v>-0.0024536196903770656</x:v>
      </x:c>
    </x:row>
    <x:row r="219">
      <x:c r="A219" s="99" t="str">
        <x:f>'Raw Z'!B213</x:f>
        <x:v>00261</x:v>
      </x:c>
      <x:c r="B219" s="100" t="n">
        <x:f>INDEX('Raw Stations'!$D$2:$D$299,MATCH(A219,'Raw Stations'!$A$2:$A$299,0))</x:f>
        <x:v>-0.007720370968614467</x:v>
      </x:c>
      <x:c r="C219" s="100" t="n">
        <x:f>'Raw Z'!L213</x:f>
        <x:v>-0.001215830759409994</x:v>
      </x:c>
      <x:c r="D219" s="100" t="n">
        <x:f>$B$2</x:f>
        <x:v>-0.0009288398653362757</x:v>
      </x:c>
      <x:c r="E219" s="100" t="n">
        <x:f>C219-D219</x:f>
        <x:v>-0.00028699089407371837</x:v>
      </x:c>
      <x:c r="F219" s="100" t="n">
        <x:f>E219-B219</x:f>
        <x:v>0.007433380074540748</x:v>
      </x:c>
      <x:c r="G219" s="100" t="n">
        <x:f>ABS(F219)</x:f>
        <x:v>0.007433380074540748</x:v>
      </x:c>
      <x:c r="H219" s="100" t="n">
        <x:f>'Raw Z'!N213</x:f>
        <x:v>0.9839297988334411</x:v>
      </x:c>
      <x:c r="I219" t="b">
        <x:f>'Raw Z'!O213</x:f>
        <x:v>1</x:v>
      </x:c>
      <x:c r="J219" s="100" t="n">
        <x:f>IF(I219,B219,"")</x:f>
        <x:v>-0.007720370968614467</x:v>
      </x:c>
      <x:c r="K219" s="100" t="n">
        <x:f>IF(I219,E219,"")</x:f>
        <x:v>-0.00028699089407371837</x:v>
      </x:c>
      <x:c r="L219" s="100" t="n">
        <x:f>IF(I219,G219,"")</x:f>
        <x:v>0.007433380074540748</x:v>
      </x:c>
      <x:c r="M219" s="100" t="n">
        <x:f>IF(I219,F219^2,"")</x:f>
        <x:v>0.00005525513933257942</x:v>
      </x:c>
      <x:c r="N219" s="100" t="n">
        <x:f>IF(I219,F219,"")</x:f>
        <x:v>0.007433380074540748</x:v>
      </x:c>
      <x:c r="P219" t="n">
        <x:f>J219</x:f>
        <x:v>-0.007720370968614467</x:v>
      </x:c>
      <x:c r="Q219" t="n">
        <x:f>K219</x:f>
        <x:v>-0.00028699089407371837</x:v>
      </x:c>
    </x:row>
    <x:row r="220">
      <x:c r="A220" s="99" t="str">
        <x:f>'Raw Z'!B214</x:f>
        <x:v>00262</x:v>
      </x:c>
      <x:c r="B220" s="100" t="n">
        <x:f>INDEX('Raw Stations'!$D$2:$D$299,MATCH(A220,'Raw Stations'!$A$2:$A$299,0))</x:f>
        <x:v>-0.009227797673163621</x:v>
      </x:c>
      <x:c r="C220" s="100" t="n">
        <x:f>'Raw Z'!L214</x:f>
        <x:v>-0.001182733228279109</x:v>
      </x:c>
      <x:c r="D220" s="100" t="n">
        <x:f>$B$2</x:f>
        <x:v>-0.0009288398653362757</x:v>
      </x:c>
      <x:c r="E220" s="100" t="n">
        <x:f>C220-D220</x:f>
        <x:v>-0.0002538933629428333</x:v>
      </x:c>
      <x:c r="F220" s="100" t="n">
        <x:f>E220-B220</x:f>
        <x:v>0.008973904310220788</x:v>
      </x:c>
      <x:c r="G220" s="100" t="n">
        <x:f>ABS(F220)</x:f>
        <x:v>0.008973904310220788</x:v>
      </x:c>
      <x:c r="H220" s="100" t="n">
        <x:f>'Raw Z'!N214</x:f>
        <x:v>0.9388585534484546</x:v>
      </x:c>
      <x:c r="I220" t="b">
        <x:f>'Raw Z'!O214</x:f>
        <x:v>1</x:v>
      </x:c>
      <x:c r="J220" s="100" t="n">
        <x:f>IF(I220,B220,"")</x:f>
        <x:v>-0.009227797673163621</x:v>
      </x:c>
      <x:c r="K220" s="100" t="n">
        <x:f>IF(I220,E220,"")</x:f>
        <x:v>-0.0002538933629428333</x:v>
      </x:c>
      <x:c r="L220" s="100" t="n">
        <x:f>IF(I220,G220,"")</x:f>
        <x:v>0.008973904310220788</x:v>
      </x:c>
      <x:c r="M220" s="100" t="n">
        <x:f>IF(I220,F220^2,"")</x:f>
        <x:v>0.00008053095856899923</x:v>
      </x:c>
      <x:c r="N220" s="100" t="n">
        <x:f>IF(I220,F220,"")</x:f>
        <x:v>0.008973904310220788</x:v>
      </x:c>
      <x:c r="P220" t="n">
        <x:f>J220</x:f>
        <x:v>-0.009227797673163621</x:v>
      </x:c>
      <x:c r="Q220" t="n">
        <x:f>K220</x:f>
        <x:v>-0.0002538933629428333</x:v>
      </x:c>
    </x:row>
    <x:row r="221">
      <x:c r="A221" s="99" t="str">
        <x:f>'Raw Z'!B215</x:f>
        <x:v>00263</x:v>
      </x:c>
      <x:c r="B221" s="100" t="n">
        <x:f>INDEX('Raw Stations'!$D$2:$D$299,MATCH(A221,'Raw Stations'!$A$2:$A$299,0))</x:f>
        <x:v>-0.00642642892954003</x:v>
      </x:c>
      <x:c r="C221" s="100" t="n">
        <x:f>'Raw Z'!L215</x:f>
        <x:v>-0.00181439237499792</x:v>
      </x:c>
      <x:c r="D221" s="100" t="n">
        <x:f>$B$2</x:f>
        <x:v>-0.0009288398653362757</x:v>
      </x:c>
      <x:c r="E221" s="100" t="n">
        <x:f>C221-D221</x:f>
        <x:v>-0.0008855525096616443</x:v>
      </x:c>
      <x:c r="F221" s="100" t="n">
        <x:f>E221-B221</x:f>
        <x:v>0.005540876419878386</x:v>
      </x:c>
      <x:c r="G221" s="100" t="n">
        <x:f>ABS(F221)</x:f>
        <x:v>0.005540876419878386</x:v>
      </x:c>
      <x:c r="H221" s="100" t="n">
        <x:f>'Raw Z'!N215</x:f>
        <x:v>0.9607537825715441</x:v>
      </x:c>
      <x:c r="I221" t="b">
        <x:f>'Raw Z'!O215</x:f>
        <x:v>1</x:v>
      </x:c>
      <x:c r="J221" s="100" t="n">
        <x:f>IF(I221,B221,"")</x:f>
        <x:v>-0.00642642892954003</x:v>
      </x:c>
      <x:c r="K221" s="100" t="n">
        <x:f>IF(I221,E221,"")</x:f>
        <x:v>-0.0008855525096616443</x:v>
      </x:c>
      <x:c r="L221" s="100" t="n">
        <x:f>IF(I221,G221,"")</x:f>
        <x:v>0.005540876419878386</x:v>
      </x:c>
      <x:c r="M221" s="100" t="n">
        <x:f>IF(I221,F221^2,"")</x:f>
        <x:v>0.00003070131150036432</x:v>
      </x:c>
      <x:c r="N221" s="100" t="n">
        <x:f>IF(I221,F221,"")</x:f>
        <x:v>0.005540876419878386</x:v>
      </x:c>
      <x:c r="P221" t="n">
        <x:f>J221</x:f>
        <x:v>-0.00642642892954003</x:v>
      </x:c>
      <x:c r="Q221" t="n">
        <x:f>K221</x:f>
        <x:v>-0.0008855525096616443</x:v>
      </x:c>
    </x:row>
    <x:row r="222">
      <x:c r="A222" s="99" t="str">
        <x:f>'Raw Z'!B216</x:f>
        <x:v>00265</x:v>
      </x:c>
      <x:c r="B222" s="100" t="n">
        <x:f>INDEX('Raw Stations'!$D$2:$D$299,MATCH(A222,'Raw Stations'!$A$2:$A$299,0))</x:f>
        <x:v>-0.007314118431269376</x:v>
      </x:c>
      <x:c r="C222" s="100" t="n">
        <x:f>'Raw Z'!L216</x:f>
        <x:v>0.02522035497033964</x:v>
      </x:c>
      <x:c r="D222" s="100" t="n">
        <x:f>$B$2</x:f>
        <x:v>-0.0009288398653362757</x:v>
      </x:c>
      <x:c r="E222" s="100" t="n">
        <x:f>C222-D222</x:f>
        <x:v>0.026149194835675914</x:v>
      </x:c>
      <x:c r="F222" s="100" t="n">
        <x:f>E222-B222</x:f>
        <x:v>0.033463313266945294</x:v>
      </x:c>
      <x:c r="G222" s="100" t="n">
        <x:f>ABS(F222)</x:f>
        <x:v>0.033463313266945294</x:v>
      </x:c>
      <x:c r="H222" s="100" t="n">
        <x:f>'Raw Z'!N216</x:f>
        <x:v>0.7938862240585512</x:v>
      </x:c>
      <x:c r="I222" t="b">
        <x:f>'Raw Z'!O216</x:f>
        <x:v>1</x:v>
      </x:c>
      <x:c r="J222" s="100" t="n">
        <x:f>IF(I222,B222,"")</x:f>
        <x:v>-0.007314118431269376</x:v>
      </x:c>
      <x:c r="K222" s="100" t="n">
        <x:f>IF(I222,E222,"")</x:f>
        <x:v>0.026149194835675914</x:v>
      </x:c>
      <x:c r="L222" s="100" t="n">
        <x:f>IF(I222,G222,"")</x:f>
        <x:v>0.033463313266945294</x:v>
      </x:c>
      <x:c r="M222" s="100" t="n">
        <x:f>IF(I222,F222^2,"")</x:f>
        <x:v>0.001119793334801717</x:v>
      </x:c>
      <x:c r="N222" s="100" t="n">
        <x:f>IF(I222,F222,"")</x:f>
        <x:v>0.033463313266945294</x:v>
      </x:c>
      <x:c r="P222" t="n">
        <x:f>J222</x:f>
        <x:v>-0.007314118431269376</x:v>
      </x:c>
      <x:c r="Q222" t="n">
        <x:f>K222</x:f>
        <x:v>0.026149194835675914</x:v>
      </x:c>
    </x:row>
    <x:row r="223">
      <x:c r="A223" s="99" t="str">
        <x:f>'Raw Z'!B217</x:f>
        <x:v>00266</x:v>
      </x:c>
      <x:c r="B223" s="100" t="n">
        <x:f>INDEX('Raw Stations'!$D$2:$D$299,MATCH(A223,'Raw Stations'!$A$2:$A$299,0))</x:f>
        <x:v>0.004838514066448982</x:v>
      </x:c>
      <x:c r="C223" s="100" t="n">
        <x:f>'Raw Z'!L217</x:f>
        <x:v>0.01256390061086585</x:v>
      </x:c>
      <x:c r="D223" s="100" t="n">
        <x:f>$B$2</x:f>
        <x:v>-0.0009288398653362757</x:v>
      </x:c>
      <x:c r="E223" s="100" t="n">
        <x:f>C223-D223</x:f>
        <x:v>0.013492740476202126</x:v>
      </x:c>
      <x:c r="F223" s="100" t="n">
        <x:f>E223-B223</x:f>
        <x:v>0.008654226409753144</x:v>
      </x:c>
      <x:c r="G223" s="100" t="n">
        <x:f>ABS(F223)</x:f>
        <x:v>0.008654226409753144</x:v>
      </x:c>
      <x:c r="H223" s="100" t="n">
        <x:f>'Raw Z'!N217</x:f>
        <x:v>0.9295643503427424</x:v>
      </x:c>
      <x:c r="I223" t="b">
        <x:f>'Raw Z'!O217</x:f>
        <x:v>1</x:v>
      </x:c>
      <x:c r="J223" s="100" t="n">
        <x:f>IF(I223,B223,"")</x:f>
        <x:v>0.004838514066448982</x:v>
      </x:c>
      <x:c r="K223" s="100" t="n">
        <x:f>IF(I223,E223,"")</x:f>
        <x:v>0.013492740476202126</x:v>
      </x:c>
      <x:c r="L223" s="100" t="n">
        <x:f>IF(I223,G223,"")</x:f>
        <x:v>0.008654226409753144</x:v>
      </x:c>
      <x:c r="M223" s="100" t="n">
        <x:f>IF(I223,F223^2,"")</x:f>
        <x:v>0.00007489563475126879</x:v>
      </x:c>
      <x:c r="N223" s="100" t="n">
        <x:f>IF(I223,F223,"")</x:f>
        <x:v>0.008654226409753144</x:v>
      </x:c>
      <x:c r="P223" t="n">
        <x:f>J223</x:f>
        <x:v>0.004838514066448982</x:v>
      </x:c>
      <x:c r="Q223" t="n">
        <x:f>K223</x:f>
        <x:v>0.013492740476202126</x:v>
      </x:c>
    </x:row>
    <x:row r="224">
      <x:c r="A224" s="99" t="str">
        <x:f>'Raw Z'!B218</x:f>
        <x:v>00267</x:v>
      </x:c>
      <x:c r="B224" s="100" t="n">
        <x:f>INDEX('Raw Stations'!$D$2:$D$299,MATCH(A224,'Raw Stations'!$A$2:$A$299,0))</x:f>
        <x:v>0.005624526503978931</x:v>
      </x:c>
      <x:c r="C224" s="100" t="n">
        <x:f>'Raw Z'!L218</x:f>
        <x:v>-0.00470483404902669</x:v>
      </x:c>
      <x:c r="D224" s="100" t="n">
        <x:f>$B$2</x:f>
        <x:v>-0.0009288398653362757</x:v>
      </x:c>
      <x:c r="E224" s="100" t="n">
        <x:f>C224-D224</x:f>
        <x:v>-0.003775994183690414</x:v>
      </x:c>
      <x:c r="F224" s="100" t="n">
        <x:f>E224-B224</x:f>
        <x:v>-0.009400520687669344</x:v>
      </x:c>
      <x:c r="G224" s="100" t="n">
        <x:f>ABS(F224)</x:f>
        <x:v>0.009400520687669344</x:v>
      </x:c>
      <x:c r="H224" s="100" t="n">
        <x:f>'Raw Z'!N218</x:f>
        <x:v>0.9962820350863307</x:v>
      </x:c>
      <x:c r="I224" t="b">
        <x:f>'Raw Z'!O218</x:f>
        <x:v>1</x:v>
      </x:c>
      <x:c r="J224" s="100" t="n">
        <x:f>IF(I224,B224,"")</x:f>
        <x:v>0.005624526503978931</x:v>
      </x:c>
      <x:c r="K224" s="100" t="n">
        <x:f>IF(I224,E224,"")</x:f>
        <x:v>-0.003775994183690414</x:v>
      </x:c>
      <x:c r="L224" s="100" t="n">
        <x:f>IF(I224,G224,"")</x:f>
        <x:v>0.009400520687669344</x:v>
      </x:c>
      <x:c r="M224" s="100" t="n">
        <x:f>IF(I224,F224^2,"")</x:f>
        <x:v>0.00008836978919929932</x:v>
      </x:c>
      <x:c r="N224" s="100" t="n">
        <x:f>IF(I224,F224,"")</x:f>
        <x:v>-0.009400520687669344</x:v>
      </x:c>
      <x:c r="P224" t="n">
        <x:f>J224</x:f>
        <x:v>0.005624526503978931</x:v>
      </x:c>
      <x:c r="Q224" t="n">
        <x:f>K224</x:f>
        <x:v>-0.003775994183690414</x:v>
      </x:c>
    </x:row>
    <x:row r="225">
      <x:c r="A225" s="99" t="str">
        <x:f>'Raw Z'!B219</x:f>
        <x:v>00268</x:v>
      </x:c>
      <x:c r="B225" s="100" t="n">
        <x:f>INDEX('Raw Stations'!$D$2:$D$299,MATCH(A225,'Raw Stations'!$A$2:$A$299,0))</x:f>
        <x:v>0.007156186526945923</x:v>
      </x:c>
      <x:c r="C225" s="100" t="n">
        <x:f>'Raw Z'!L219</x:f>
        <x:v>0.04769065992855495</x:v>
      </x:c>
      <x:c r="D225" s="100" t="n">
        <x:f>$B$2</x:f>
        <x:v>-0.0009288398653362757</x:v>
      </x:c>
      <x:c r="E225" s="100" t="n">
        <x:f>C225-D225</x:f>
        <x:v>0.04861949979389123</x:v>
      </x:c>
      <x:c r="F225" s="100" t="n">
        <x:f>E225-B225</x:f>
        <x:v>0.0414633132669453</x:v>
      </x:c>
      <x:c r="G225" s="100" t="n">
        <x:f>ABS(F225)</x:f>
        <x:v>0.0414633132669453</x:v>
      </x:c>
      <x:c r="H225" s="100" t="n">
        <x:f>'Raw Z'!N219</x:f>
        <x:v>0.6126429224222639</x:v>
      </x:c>
      <x:c r="I225" t="b">
        <x:f>'Raw Z'!O219</x:f>
        <x:v>1</x:v>
      </x:c>
      <x:c r="J225" s="100" t="n">
        <x:f>IF(I225,B225,"")</x:f>
        <x:v>0.007156186526945923</x:v>
      </x:c>
      <x:c r="K225" s="100" t="n">
        <x:f>IF(I225,E225,"")</x:f>
        <x:v>0.04861949979389123</x:v>
      </x:c>
      <x:c r="L225" s="100" t="n">
        <x:f>IF(I225,G225,"")</x:f>
        <x:v>0.0414633132669453</x:v>
      </x:c>
      <x:c r="M225" s="100" t="n">
        <x:f>IF(I225,F225^2,"")</x:f>
        <x:v>0.0017192063470728423</x:v>
      </x:c>
      <x:c r="N225" s="100" t="n">
        <x:f>IF(I225,F225,"")</x:f>
        <x:v>0.0414633132669453</x:v>
      </x:c>
      <x:c r="P225" t="n">
        <x:f>J225</x:f>
        <x:v>0.007156186526945923</x:v>
      </x:c>
      <x:c r="Q225" t="n">
        <x:f>K225</x:f>
        <x:v>0.04861949979389123</x:v>
      </x:c>
    </x:row>
    <x:row r="226">
      <x:c r="A226" s="99" t="str">
        <x:f>'Raw Z'!B220</x:f>
        <x:v>00269</x:v>
      </x:c>
      <x:c r="B226" s="100" t="n">
        <x:f>INDEX('Raw Stations'!$D$2:$D$299,MATCH(A226,'Raw Stations'!$A$2:$A$299,0))</x:f>
        <x:v>0.001540874414542367</x:v>
      </x:c>
      <x:c r="C226" s="100" t="n">
        <x:f>'Raw Z'!L220</x:f>
        <x:v>0.04158593885942688</x:v>
      </x:c>
      <x:c r="D226" s="100" t="n">
        <x:f>$B$2</x:f>
        <x:v>-0.0009288398653362757</x:v>
      </x:c>
      <x:c r="E226" s="100" t="n">
        <x:f>C226-D226</x:f>
        <x:v>0.042514778724763155</x:v>
      </x:c>
      <x:c r="F226" s="100" t="n">
        <x:f>E226-B226</x:f>
        <x:v>0.040973904310220785</x:v>
      </x:c>
      <x:c r="G226" s="100" t="n">
        <x:f>ABS(F226)</x:f>
        <x:v>0.040973904310220785</x:v>
      </x:c>
      <x:c r="H226" s="100" t="n">
        <x:f>'Raw Z'!N220</x:f>
        <x:v>0.8375714927474288</x:v>
      </x:c>
      <x:c r="I226" t="b">
        <x:f>'Raw Z'!O220</x:f>
        <x:v>1</x:v>
      </x:c>
      <x:c r="J226" s="100" t="n">
        <x:f>IF(I226,B226,"")</x:f>
        <x:v>0.001540874414542367</x:v>
      </x:c>
      <x:c r="K226" s="100" t="n">
        <x:f>IF(I226,E226,"")</x:f>
        <x:v>0.042514778724763155</x:v>
      </x:c>
      <x:c r="L226" s="100" t="n">
        <x:f>IF(I226,G226,"")</x:f>
        <x:v>0.040973904310220785</x:v>
      </x:c>
      <x:c r="M226" s="100" t="n">
        <x:f>IF(I226,F226^2,"")</x:f>
        <x:v>0.0016788608344231295</x:v>
      </x:c>
      <x:c r="N226" s="100" t="n">
        <x:f>IF(I226,F226,"")</x:f>
        <x:v>0.040973904310220785</x:v>
      </x:c>
      <x:c r="P226" t="n">
        <x:f>J226</x:f>
        <x:v>0.001540874414542367</x:v>
      </x:c>
      <x:c r="Q226" t="n">
        <x:f>K226</x:f>
        <x:v>0.042514778724763155</x:v>
      </x:c>
    </x:row>
    <x:row r="227">
      <x:c r="A227" s="99" t="str">
        <x:f>'Raw Z'!B221</x:f>
        <x:v>00270</x:v>
      </x:c>
      <x:c r="B227" s="100" t="n">
        <x:f>INDEX('Raw Stations'!$D$2:$D$299,MATCH(A227,'Raw Stations'!$A$2:$A$299,0))</x:f>
        <x:v>-0.008267538828072438</x:v>
      </x:c>
      <x:c r="C227" s="100" t="n">
        <x:f>'Raw Z'!L221</x:f>
        <x:v>-0.02373306542646341</x:v>
      </x:c>
      <x:c r="D227" s="100" t="n">
        <x:f>$B$2</x:f>
        <x:v>-0.0009288398653362757</x:v>
      </x:c>
      <x:c r="E227" s="100" t="n">
        <x:f>C227-D227</x:f>
        <x:v>-0.022804225561127135</x:v>
      </x:c>
      <x:c r="F227" s="100" t="n">
        <x:f>E227-B227</x:f>
        <x:v>-0.014536686733054697</x:v>
      </x:c>
      <x:c r="G227" s="100" t="n">
        <x:f>ABS(F227)</x:f>
        <x:v>0.014536686733054697</x:v>
      </x:c>
      <x:c r="H227" s="100" t="n">
        <x:f>'Raw Z'!N221</x:f>
        <x:v>0.8744118984398292</x:v>
      </x:c>
      <x:c r="I227" t="b">
        <x:f>'Raw Z'!O221</x:f>
        <x:v>1</x:v>
      </x:c>
      <x:c r="J227" s="100" t="n">
        <x:f>IF(I227,B227,"")</x:f>
        <x:v>-0.008267538828072438</x:v>
      </x:c>
      <x:c r="K227" s="100" t="n">
        <x:f>IF(I227,E227,"")</x:f>
        <x:v>-0.022804225561127135</x:v>
      </x:c>
      <x:c r="L227" s="100" t="n">
        <x:f>IF(I227,G227,"")</x:f>
        <x:v>0.014536686733054697</x:v>
      </x:c>
      <x:c r="M227" s="100" t="n">
        <x:f>IF(I227,F227^2,"")</x:f>
        <x:v>0.00021131526117496843</x:v>
      </x:c>
      <x:c r="N227" s="100" t="n">
        <x:f>IF(I227,F227,"")</x:f>
        <x:v>-0.014536686733054697</x:v>
      </x:c>
      <x:c r="P227" t="n">
        <x:f>J227</x:f>
        <x:v>-0.008267538828072438</x:v>
      </x:c>
      <x:c r="Q227" t="n">
        <x:f>K227</x:f>
        <x:v>-0.022804225561127135</x:v>
      </x:c>
    </x:row>
    <x:row r="228">
      <x:c r="A228" s="99" t="str">
        <x:f>'Raw Z'!B222</x:f>
        <x:v>00271</x:v>
      </x:c>
      <x:c r="B228" s="100" t="n">
        <x:f>INDEX('Raw Stations'!$D$2:$D$299,MATCH(A228,'Raw Stations'!$A$2:$A$299,0))</x:f>
        <x:v>-0.001652562687817688</x:v>
      </x:c>
      <x:c r="C228" s="100" t="n">
        <x:f>'Raw Z'!L222</x:f>
        <x:v>-0.01640395916646938</x:v>
      </x:c>
      <x:c r="D228" s="100" t="n">
        <x:f>$B$2</x:f>
        <x:v>-0.0009288398653362757</x:v>
      </x:c>
      <x:c r="E228" s="100" t="n">
        <x:f>C228-D228</x:f>
        <x:v>-0.015475119301133104</x:v>
      </x:c>
      <x:c r="F228" s="100" t="n">
        <x:f>E228-B228</x:f>
        <x:v>-0.013822556613315416</x:v>
      </x:c>
      <x:c r="G228" s="100" t="n">
        <x:f>ABS(F228)</x:f>
        <x:v>0.013822556613315416</x:v>
      </x:c>
      <x:c r="H228" s="100" t="n">
        <x:f>'Raw Z'!N222</x:f>
        <x:v>0.8998715700279364</x:v>
      </x:c>
      <x:c r="I228" t="b">
        <x:f>'Raw Z'!O222</x:f>
        <x:v>1</x:v>
      </x:c>
      <x:c r="J228" s="100" t="n">
        <x:f>IF(I228,B228,"")</x:f>
        <x:v>-0.001652562687817688</x:v>
      </x:c>
      <x:c r="K228" s="100" t="n">
        <x:f>IF(I228,E228,"")</x:f>
        <x:v>-0.015475119301133104</x:v>
      </x:c>
      <x:c r="L228" s="100" t="n">
        <x:f>IF(I228,G228,"")</x:f>
        <x:v>0.013822556613315416</x:v>
      </x:c>
      <x:c r="M228" s="100" t="n">
        <x:f>IF(I228,F228^2,"")</x:f>
        <x:v>0.00019106307132830974</x:v>
      </x:c>
      <x:c r="N228" s="100" t="n">
        <x:f>IF(I228,F228,"")</x:f>
        <x:v>-0.013822556613315416</x:v>
      </x:c>
      <x:c r="P228" t="n">
        <x:f>J228</x:f>
        <x:v>-0.001652562687817688</x:v>
      </x:c>
      <x:c r="Q228" t="n">
        <x:f>K228</x:f>
        <x:v>-0.015475119301133104</x:v>
      </x:c>
    </x:row>
    <x:row r="229">
      <x:c r="A229" s="99" t="str">
        <x:f>'Raw Z'!B223</x:f>
        <x:v>00272</x:v>
      </x:c>
      <x:c r="B229" s="100" t="n">
        <x:f>INDEX('Raw Stations'!$D$2:$D$299,MATCH(A229,'Raw Stations'!$A$2:$A$299,0))</x:f>
        <x:v>-0.004471468804326518</x:v>
      </x:c>
      <x:c r="C229" s="100" t="n">
        <x:f>'Raw Z'!L223</x:f>
        <x:v>-0.04698181732986399</x:v>
      </x:c>
      <x:c r="D229" s="100" t="n">
        <x:f>$B$2</x:f>
        <x:v>-0.0009288398653362757</x:v>
      </x:c>
      <x:c r="E229" s="100" t="n">
        <x:f>C229-D229</x:f>
        <x:v>-0.04605297746452772</x:v>
      </x:c>
      <x:c r="F229" s="100" t="n">
        <x:f>E229-B229</x:f>
        <x:v>-0.0415815086602012</x:v>
      </x:c>
      <x:c r="G229" s="100" t="n">
        <x:f>ABS(F229)</x:f>
        <x:v>0.0415815086602012</x:v>
      </x:c>
      <x:c r="H229" s="100" t="n">
        <x:f>'Raw Z'!N223</x:f>
        <x:v>0.8478571614398847</x:v>
      </x:c>
      <x:c r="I229" t="b">
        <x:f>'Raw Z'!O223</x:f>
        <x:v>1</x:v>
      </x:c>
      <x:c r="J229" s="100" t="n">
        <x:f>IF(I229,B229,"")</x:f>
        <x:v>-0.004471468804326518</x:v>
      </x:c>
      <x:c r="K229" s="100" t="n">
        <x:f>IF(I229,E229,"")</x:f>
        <x:v>-0.04605297746452772</x:v>
      </x:c>
      <x:c r="L229" s="100" t="n">
        <x:f>IF(I229,G229,"")</x:f>
        <x:v>0.0415815086602012</x:v>
      </x:c>
      <x:c r="M229" s="100" t="n">
        <x:f>IF(I229,F229^2,"")</x:f>
        <x:v>0.0017290218624583875</x:v>
      </x:c>
      <x:c r="N229" s="100" t="n">
        <x:f>IF(I229,F229,"")</x:f>
        <x:v>-0.0415815086602012</x:v>
      </x:c>
      <x:c r="P229" t="n">
        <x:f>J229</x:f>
        <x:v>-0.004471468804326518</x:v>
      </x:c>
      <x:c r="Q229" t="n">
        <x:f>K229</x:f>
        <x:v>-0.04605297746452772</x:v>
      </x:c>
    </x:row>
    <x:row r="230">
      <x:c r="A230" s="99" t="str">
        <x:f>'Raw Z'!B224</x:f>
        <x:v>00273</x:v>
      </x:c>
      <x:c r="B230" s="100" t="n">
        <x:f>INDEX('Raw Stations'!$D$2:$D$299,MATCH(A230,'Raw Stations'!$A$2:$A$299,0))</x:f>
        <x:v>-0.00342057324194233</x:v>
      </x:c>
      <x:c r="C230" s="100" t="n">
        <x:f>'Raw Z'!L224</x:f>
        <x:v>-0.002714643207829853</x:v>
      </x:c>
      <x:c r="D230" s="100" t="n">
        <x:f>$B$2</x:f>
        <x:v>-0.0009288398653362757</x:v>
      </x:c>
      <x:c r="E230" s="100" t="n">
        <x:f>C230-D230</x:f>
        <x:v>-0.0017858033424935772</x:v>
      </x:c>
      <x:c r="F230" s="100" t="n">
        <x:f>E230-B230</x:f>
        <x:v>0.0016347698994487528</x:v>
      </x:c>
      <x:c r="G230" s="100" t="n">
        <x:f>ABS(F230)</x:f>
        <x:v>0.0016347698994487528</x:v>
      </x:c>
      <x:c r="H230" s="100" t="n">
        <x:f>'Raw Z'!N224</x:f>
        <x:v>0.9016262714509087</x:v>
      </x:c>
      <x:c r="I230" t="b">
        <x:f>'Raw Z'!O224</x:f>
        <x:v>1</x:v>
      </x:c>
      <x:c r="J230" s="100" t="n">
        <x:f>IF(I230,B230,"")</x:f>
        <x:v>-0.00342057324194233</x:v>
      </x:c>
      <x:c r="K230" s="100" t="n">
        <x:f>IF(I230,E230,"")</x:f>
        <x:v>-0.0017858033424935772</x:v>
      </x:c>
      <x:c r="L230" s="100" t="n">
        <x:f>IF(I230,G230,"")</x:f>
        <x:v>0.0016347698994487528</x:v>
      </x:c>
      <x:c r="M230" s="100" t="n">
        <x:f>IF(I230,F230^2,"")</x:f>
        <x:v>0.000002672472624143685</x:v>
      </x:c>
      <x:c r="N230" s="100" t="n">
        <x:f>IF(I230,F230,"")</x:f>
        <x:v>0.0016347698994487528</x:v>
      </x:c>
      <x:c r="P230" t="n">
        <x:f>J230</x:f>
        <x:v>-0.00342057324194233</x:v>
      </x:c>
      <x:c r="Q230" t="n">
        <x:f>K230</x:f>
        <x:v>-0.0017858033424935772</x:v>
      </x:c>
    </x:row>
    <x:row r="231">
      <x:c r="A231" s="99" t="str">
        <x:f>'Raw Z'!B225</x:f>
        <x:v>00274</x:v>
      </x:c>
      <x:c r="B231" s="100" t="n">
        <x:f>INDEX('Raw Stations'!$D$2:$D$299,MATCH(A231,'Raw Stations'!$A$2:$A$299,0))</x:f>
        <x:v>-0.002631698819795018</x:v>
      </x:c>
      <x:c r="C231" s="100" t="n">
        <x:f>'Raw Z'!L225</x:f>
        <x:v>0.002616904701553305</x:v>
      </x:c>
      <x:c r="D231" s="100" t="n">
        <x:f>$B$2</x:f>
        <x:v>-0.0009288398653362757</x:v>
      </x:c>
      <x:c r="E231" s="100" t="n">
        <x:f>C231-D231</x:f>
        <x:v>0.0035457445668895804</x:v>
      </x:c>
      <x:c r="F231" s="100" t="n">
        <x:f>E231-B231</x:f>
        <x:v>0.006177443386684599</x:v>
      </x:c>
      <x:c r="G231" s="100" t="n">
        <x:f>ABS(F231)</x:f>
        <x:v>0.006177443386684599</x:v>
      </x:c>
      <x:c r="H231" s="100" t="n">
        <x:f>'Raw Z'!N225</x:f>
        <x:v>0.8047427017017564</x:v>
      </x:c>
      <x:c r="I231" t="b">
        <x:f>'Raw Z'!O225</x:f>
        <x:v>1</x:v>
      </x:c>
      <x:c r="J231" s="100" t="n">
        <x:f>IF(I231,B231,"")</x:f>
        <x:v>-0.002631698819795018</x:v>
      </x:c>
      <x:c r="K231" s="100" t="n">
        <x:f>IF(I231,E231,"")</x:f>
        <x:v>0.0035457445668895804</x:v>
      </x:c>
      <x:c r="L231" s="100" t="n">
        <x:f>IF(I231,G231,"")</x:f>
        <x:v>0.006177443386684599</x:v>
      </x:c>
      <x:c r="M231" s="100" t="n">
        <x:f>IF(I231,F231^2,"")</x:f>
        <x:v>0.00003816080679569328</x:v>
      </x:c>
      <x:c r="N231" s="100" t="n">
        <x:f>IF(I231,F231,"")</x:f>
        <x:v>0.006177443386684599</x:v>
      </x:c>
      <x:c r="P231" t="n">
        <x:f>J231</x:f>
        <x:v>-0.002631698819795018</x:v>
      </x:c>
      <x:c r="Q231" t="n">
        <x:f>K231</x:f>
        <x:v>0.0035457445668895804</x:v>
      </x:c>
    </x:row>
    <x:row r="232">
      <x:c r="A232" s="99" t="str">
        <x:f>'Raw Z'!B226</x:f>
        <x:v>00275</x:v>
      </x:c>
      <x:c r="B232" s="100" t="n">
        <x:f>INDEX('Raw Stations'!$D$2:$D$299,MATCH(A232,'Raw Stations'!$A$2:$A$299,0))</x:f>
        <x:v>-0.01256790923355527</x:v>
      </x:c>
      <x:c r="C232" s="100" t="n">
        <x:f>'Raw Z'!L226</x:f>
        <x:v>0.002729163664500933</x:v>
      </x:c>
      <x:c r="D232" s="100" t="n">
        <x:f>$B$2</x:f>
        <x:v>-0.0009288398653362757</x:v>
      </x:c>
      <x:c r="E232" s="100" t="n">
        <x:f>C232-D232</x:f>
        <x:v>0.0036580035298372088</x:v>
      </x:c>
      <x:c r="F232" s="100" t="n">
        <x:f>E232-B232</x:f>
        <x:v>0.016225912763392476</x:v>
      </x:c>
      <x:c r="G232" s="100" t="n">
        <x:f>ABS(F232)</x:f>
        <x:v>0.016225912763392476</x:v>
      </x:c>
      <x:c r="H232" s="100" t="n">
        <x:f>'Raw Z'!N226</x:f>
        <x:v>0.7968433219275931</x:v>
      </x:c>
      <x:c r="I232" t="b">
        <x:f>'Raw Z'!O226</x:f>
        <x:v>1</x:v>
      </x:c>
      <x:c r="J232" s="100" t="n">
        <x:f>IF(I232,B232,"")</x:f>
        <x:v>-0.01256790923355527</x:v>
      </x:c>
      <x:c r="K232" s="100" t="n">
        <x:f>IF(I232,E232,"")</x:f>
        <x:v>0.0036580035298372088</x:v>
      </x:c>
      <x:c r="L232" s="100" t="n">
        <x:f>IF(I232,G232,"")</x:f>
        <x:v>0.016225912763392476</x:v>
      </x:c>
      <x:c r="M232" s="100" t="n">
        <x:f>IF(I232,F232^2,"")</x:f>
        <x:v>0.0002632802450052229</x:v>
      </x:c>
      <x:c r="N232" s="100" t="n">
        <x:f>IF(I232,F232,"")</x:f>
        <x:v>0.016225912763392476</x:v>
      </x:c>
      <x:c r="P232" t="n">
        <x:f>J232</x:f>
        <x:v>-0.01256790923355527</x:v>
      </x:c>
      <x:c r="Q232" t="n">
        <x:f>K232</x:f>
        <x:v>0.0036580035298372088</x:v>
      </x:c>
    </x:row>
    <x:row r="233">
      <x:c r="A233" s="99" t="str">
        <x:f>'Raw Z'!B227</x:f>
        <x:v>00276</x:v>
      </x:c>
      <x:c r="B233" s="100" t="n">
        <x:f>INDEX('Raw Stations'!$D$2:$D$299,MATCH(A233,'Raw Stations'!$A$2:$A$299,0))</x:f>
        <x:v>-0.006088901078824292</x:v>
      </x:c>
      <x:c r="C233" s="100" t="n">
        <x:f>'Raw Z'!L227</x:f>
        <x:v>-0.005646499721429277</x:v>
      </x:c>
      <x:c r="D233" s="100" t="n">
        <x:f>$B$2</x:f>
        <x:v>-0.0009288398653362757</x:v>
      </x:c>
      <x:c r="E233" s="100" t="n">
        <x:f>C233-D233</x:f>
        <x:v>-0.004717659856093001</x:v>
      </x:c>
      <x:c r="F233" s="100" t="n">
        <x:f>E233-B233</x:f>
        <x:v>0.0013712412227312905</x:v>
      </x:c>
      <x:c r="G233" s="100" t="n">
        <x:f>ABS(F233)</x:f>
        <x:v>0.0013712412227312905</x:v>
      </x:c>
      <x:c r="H233" s="100" t="n">
        <x:f>'Raw Z'!N227</x:f>
        <x:v>0.7958701011368823</x:v>
      </x:c>
      <x:c r="I233" t="b">
        <x:f>'Raw Z'!O227</x:f>
        <x:v>1</x:v>
      </x:c>
      <x:c r="J233" s="100" t="n">
        <x:f>IF(I233,B233,"")</x:f>
        <x:v>-0.006088901078824292</x:v>
      </x:c>
      <x:c r="K233" s="100" t="n">
        <x:f>IF(I233,E233,"")</x:f>
        <x:v>-0.004717659856093001</x:v>
      </x:c>
      <x:c r="L233" s="100" t="n">
        <x:f>IF(I233,G233,"")</x:f>
        <x:v>0.0013712412227312905</x:v>
      </x:c>
      <x:c r="M233" s="100" t="n">
        <x:f>IF(I233,F233^2,"")</x:f>
        <x:v>0.0000018803024909176045</x:v>
      </x:c>
      <x:c r="N233" s="100" t="n">
        <x:f>IF(I233,F233,"")</x:f>
        <x:v>0.0013712412227312905</x:v>
      </x:c>
      <x:c r="P233" t="n">
        <x:f>J233</x:f>
        <x:v>-0.006088901078824292</x:v>
      </x:c>
      <x:c r="Q233" t="n">
        <x:f>K233</x:f>
        <x:v>-0.004717659856093001</x:v>
      </x:c>
    </x:row>
    <x:row r="234">
      <x:c r="A234" s="99" t="str">
        <x:f>'Raw Z'!B228</x:f>
        <x:v>00277</x:v>
      </x:c>
      <x:c r="B234" s="100" t="n">
        <x:f>INDEX('Raw Stations'!$D$2:$D$299,MATCH(A234,'Raw Stations'!$A$2:$A$299,0))</x:f>
        <x:v>-0.01392700144312171</x:v>
      </x:c>
      <x:c r="C234" s="100" t="n">
        <x:f>'Raw Z'!L228</x:f>
        <x:v>0.0009006394745173507</x:v>
      </x:c>
      <x:c r="D234" s="100" t="n">
        <x:f>$B$2</x:f>
        <x:v>-0.0009288398653362757</x:v>
      </x:c>
      <x:c r="E234" s="100" t="n">
        <x:f>C234-D234</x:f>
        <x:v>0.0018294793398536263</x:v>
      </x:c>
      <x:c r="F234" s="100" t="n">
        <x:f>E234-B234</x:f>
        <x:v>0.015756480782975337</x:v>
      </x:c>
      <x:c r="G234" s="100" t="n">
        <x:f>ABS(F234)</x:f>
        <x:v>0.015756480782975337</x:v>
      </x:c>
      <x:c r="H234" s="100" t="n">
        <x:f>'Raw Z'!N228</x:f>
        <x:v>0.8683710011187311</x:v>
      </x:c>
      <x:c r="I234" t="b">
        <x:f>'Raw Z'!O228</x:f>
        <x:v>1</x:v>
      </x:c>
      <x:c r="J234" s="100" t="n">
        <x:f>IF(I234,B234,"")</x:f>
        <x:v>-0.01392700144312171</x:v>
      </x:c>
      <x:c r="K234" s="100" t="n">
        <x:f>IF(I234,E234,"")</x:f>
        <x:v>0.0018294793398536263</x:v>
      </x:c>
      <x:c r="L234" s="100" t="n">
        <x:f>IF(I234,G234,"")</x:f>
        <x:v>0.015756480782975337</x:v>
      </x:c>
      <x:c r="M234" s="100" t="n">
        <x:f>IF(I234,F234^2,"")</x:f>
        <x:v>0.0002482666866642711</x:v>
      </x:c>
      <x:c r="N234" s="100" t="n">
        <x:f>IF(I234,F234,"")</x:f>
        <x:v>0.015756480782975337</x:v>
      </x:c>
      <x:c r="P234" t="n">
        <x:f>J234</x:f>
        <x:v>-0.01392700144312171</x:v>
      </x:c>
      <x:c r="Q234" t="n">
        <x:f>K234</x:f>
        <x:v>0.0018294793398536263</x:v>
      </x:c>
    </x:row>
    <x:row r="235">
      <x:c r="A235" s="99" t="str">
        <x:f>'Raw Z'!B229</x:f>
        <x:v>00278</x:v>
      </x:c>
      <x:c r="B235" s="100" t="n">
        <x:f>INDEX('Raw Stations'!$D$2:$D$299,MATCH(A235,'Raw Stations'!$A$2:$A$299,0))</x:f>
        <x:v>-0.01647761243116913</x:v>
      </x:c>
      <x:c r="C235" s="100" t="n">
        <x:f>'Raw Z'!L229</x:f>
        <x:v>-0.004936156074509257</x:v>
      </x:c>
      <x:c r="D235" s="100" t="n">
        <x:f>$B$2</x:f>
        <x:v>-0.0009288398653362757</x:v>
      </x:c>
      <x:c r="E235" s="100" t="n">
        <x:f>C235-D235</x:f>
        <x:v>-0.004007316209172981</x:v>
      </x:c>
      <x:c r="F235" s="100" t="n">
        <x:f>E235-B235</x:f>
        <x:v>0.01247029622199615</x:v>
      </x:c>
      <x:c r="G235" s="100" t="n">
        <x:f>ABS(F235)</x:f>
        <x:v>0.01247029622199615</x:v>
      </x:c>
      <x:c r="H235" s="100" t="n">
        <x:f>'Raw Z'!N229</x:f>
        <x:v>0.9711502598919601</x:v>
      </x:c>
      <x:c r="I235" t="b">
        <x:f>'Raw Z'!O229</x:f>
        <x:v>1</x:v>
      </x:c>
      <x:c r="J235" s="100" t="n">
        <x:f>IF(I235,B235,"")</x:f>
        <x:v>-0.01647761243116913</x:v>
      </x:c>
      <x:c r="K235" s="100" t="n">
        <x:f>IF(I235,E235,"")</x:f>
        <x:v>-0.004007316209172981</x:v>
      </x:c>
      <x:c r="L235" s="100" t="n">
        <x:f>IF(I235,G235,"")</x:f>
        <x:v>0.01247029622199615</x:v>
      </x:c>
      <x:c r="M235" s="100" t="n">
        <x:f>IF(I235,F235^2,"")</x:f>
        <x:v>0.00015550828786433144</x:v>
      </x:c>
      <x:c r="N235" s="100" t="n">
        <x:f>IF(I235,F235,"")</x:f>
        <x:v>0.01247029622199615</x:v>
      </x:c>
      <x:c r="P235" t="n">
        <x:f>J235</x:f>
        <x:v>-0.01647761243116913</x:v>
      </x:c>
      <x:c r="Q235" t="n">
        <x:f>K235</x:f>
        <x:v>-0.004007316209172981</x:v>
      </x:c>
    </x:row>
    <x:row r="236">
      <x:c r="A236" s="99" t="str">
        <x:f>'Raw Z'!B230</x:f>
        <x:v>00279</x:v>
      </x:c>
      <x:c r="B236" s="100" t="n">
        <x:f>INDEX('Raw Stations'!$D$2:$D$299,MATCH(A236,'Raw Stations'!$A$2:$A$299,0))</x:f>
        <x:v>-0.01426499017635994</x:v>
      </x:c>
      <x:c r="C236" s="100" t="n">
        <x:f>'Raw Z'!L230</x:f>
        <x:v>-0.04221517915411931</x:v>
      </x:c>
      <x:c r="D236" s="100" t="n">
        <x:f>$B$2</x:f>
        <x:v>-0.0009288398653362757</x:v>
      </x:c>
      <x:c r="E236" s="100" t="n">
        <x:f>C236-D236</x:f>
        <x:v>-0.04128633928878304</x:v>
      </x:c>
      <x:c r="F236" s="100" t="n">
        <x:f>E236-B236</x:f>
        <x:v>-0.0270213491124231</x:v>
      </x:c>
      <x:c r="G236" s="100" t="n">
        <x:f>ABS(F236)</x:f>
        <x:v>0.0270213491124231</x:v>
      </x:c>
      <x:c r="H236" s="100" t="n">
        <x:f>'Raw Z'!N230</x:f>
        <x:v>0.5659958691207545</x:v>
      </x:c>
      <x:c r="I236" t="b">
        <x:f>'Raw Z'!O230</x:f>
        <x:v>0</x:v>
      </x:c>
      <x:c r="J236" s="100" t="str">
        <x:f>IF(I236,B236,"")</x:f>
      </x:c>
      <x:c r="K236" s="100" t="str">
        <x:f>IF(I236,E236,"")</x:f>
      </x:c>
      <x:c r="L236" s="100" t="str">
        <x:f>IF(I236,G236,"")</x:f>
      </x:c>
      <x:c r="M236" s="100" t="str">
        <x:f>IF(I236,F236^2,"")</x:f>
      </x:c>
      <x:c r="N236" s="100" t="str">
        <x:f>IF(I236,F236,"")</x:f>
      </x:c>
      <x:c r="P236" t="str">
        <x:f>J236</x:f>
      </x:c>
      <x:c r="Q236" t="str">
        <x:f>K236</x:f>
      </x:c>
    </x:row>
    <x:row r="237">
      <x:c r="A237" s="99" t="str">
        <x:f>'Raw Z'!B231</x:f>
        <x:v>00281</x:v>
      </x:c>
      <x:c r="B237" s="100" t="n">
        <x:f>INDEX('Raw Stations'!$D$2:$D$299,MATCH(A237,'Raw Stations'!$A$2:$A$299,0))</x:f>
        <x:v>0.00004699165116192963</x:v>
      </x:c>
      <x:c r="C237" s="100" t="n">
        <x:f>'Raw Z'!L231</x:f>
        <x:v>0.03265902820570404</x:v>
      </x:c>
      <x:c r="D237" s="100" t="n">
        <x:f>$B$2</x:f>
        <x:v>-0.0009288398653362757</x:v>
      </x:c>
      <x:c r="E237" s="100" t="n">
        <x:f>C237-D237</x:f>
        <x:v>0.03358786807104031</x:v>
      </x:c>
      <x:c r="F237" s="100" t="n">
        <x:f>E237-B237</x:f>
        <x:v>0.03354087641987838</x:v>
      </x:c>
      <x:c r="G237" s="100" t="n">
        <x:f>ABS(F237)</x:f>
        <x:v>0.03354087641987838</x:v>
      </x:c>
      <x:c r="H237" s="100" t="n">
        <x:f>'Raw Z'!N231</x:f>
        <x:v>0.7427341134929822</x:v>
      </x:c>
      <x:c r="I237" t="b">
        <x:f>'Raw Z'!O231</x:f>
        <x:v>1</x:v>
      </x:c>
      <x:c r="J237" s="100" t="n">
        <x:f>IF(I237,B237,"")</x:f>
        <x:v>0.00004699165116192963</x:v>
      </x:c>
      <x:c r="K237" s="100" t="n">
        <x:f>IF(I237,E237,"")</x:f>
        <x:v>0.03358786807104031</x:v>
      </x:c>
      <x:c r="L237" s="100" t="n">
        <x:f>IF(I237,G237,"")</x:f>
        <x:v>0.03354087641987838</x:v>
      </x:c>
      <x:c r="M237" s="100" t="n">
        <x:f>IF(I237,F237^2,"")</x:f>
        <x:v>0.0011249903910135535</x:v>
      </x:c>
      <x:c r="N237" s="100" t="n">
        <x:f>IF(I237,F237,"")</x:f>
        <x:v>0.03354087641987838</x:v>
      </x:c>
      <x:c r="P237" t="n">
        <x:f>J237</x:f>
        <x:v>0.00004699165116192963</x:v>
      </x:c>
      <x:c r="Q237" t="n">
        <x:f>K237</x:f>
        <x:v>0.03358786807104031</x:v>
      </x:c>
    </x:row>
    <x:row r="238">
      <x:c r="A238" s="99" t="str">
        <x:f>'Raw Z'!B232</x:f>
        <x:v>00282</x:v>
      </x:c>
      <x:c r="B238" s="100" t="n">
        <x:f>INDEX('Raw Stations'!$D$2:$D$299,MATCH(A238,'Raw Stations'!$A$2:$A$299,0))</x:f>
        <x:v>-0.00814072208722472</x:v>
      </x:c>
      <x:c r="C238" s="100" t="n">
        <x:f>'Raw Z'!L232</x:f>
        <x:v>0.0053489293872378</x:v>
      </x:c>
      <x:c r="D238" s="100" t="n">
        <x:f>$B$2</x:f>
        <x:v>-0.0009288398653362757</x:v>
      </x:c>
      <x:c r="E238" s="100" t="n">
        <x:f>C238-D238</x:f>
        <x:v>0.006277769252574075</x:v>
      </x:c>
      <x:c r="F238" s="100" t="n">
        <x:f>E238-B238</x:f>
        <x:v>0.014418491339798795</x:v>
      </x:c>
      <x:c r="G238" s="100" t="n">
        <x:f>ABS(F238)</x:f>
        <x:v>0.014418491339798795</x:v>
      </x:c>
      <x:c r="H238" s="100" t="n">
        <x:f>'Raw Z'!N232</x:f>
        <x:v>0.9761985045794573</x:v>
      </x:c>
      <x:c r="I238" t="b">
        <x:f>'Raw Z'!O232</x:f>
        <x:v>1</x:v>
      </x:c>
      <x:c r="J238" s="100" t="n">
        <x:f>IF(I238,B238,"")</x:f>
        <x:v>-0.00814072208722472</x:v>
      </x:c>
      <x:c r="K238" s="100" t="n">
        <x:f>IF(I238,E238,"")</x:f>
        <x:v>0.006277769252574075</x:v>
      </x:c>
      <x:c r="L238" s="100" t="n">
        <x:f>IF(I238,G238,"")</x:f>
        <x:v>0.014418491339798795</x:v>
      </x:c>
      <x:c r="M238" s="100" t="n">
        <x:f>IF(I238,F238^2,"")</x:f>
        <x:v>0.00020789289251585286</x:v>
      </x:c>
      <x:c r="N238" s="100" t="n">
        <x:f>IF(I238,F238,"")</x:f>
        <x:v>0.014418491339798795</x:v>
      </x:c>
      <x:c r="P238" t="n">
        <x:f>J238</x:f>
        <x:v>-0.00814072208722472</x:v>
      </x:c>
      <x:c r="Q238" t="n">
        <x:f>K238</x:f>
        <x:v>0.006277769252574075</x:v>
      </x:c>
    </x:row>
    <x:row r="239">
      <x:c r="A239" s="99" t="str">
        <x:f>'Raw Z'!B233</x:f>
        <x:v>00283</x:v>
      </x:c>
      <x:c r="B239" s="100" t="n">
        <x:f>INDEX('Raw Stations'!$D$2:$D$299,MATCH(A239,'Raw Stations'!$A$2:$A$299,0))</x:f>
        <x:v>-0.003707406804947969</x:v>
      </x:c>
      <x:c r="C239" s="100" t="n">
        <x:f>'Raw Z'!L233</x:f>
        <x:v>-0.009374118845204282</x:v>
      </x:c>
      <x:c r="D239" s="100" t="n">
        <x:f>$B$2</x:f>
        <x:v>-0.0009288398653362757</x:v>
      </x:c>
      <x:c r="E239" s="100" t="n">
        <x:f>C239-D239</x:f>
        <x:v>-0.008445278979868007</x:v>
      </x:c>
      <x:c r="F239" s="100" t="n">
        <x:f>E239-B239</x:f>
        <x:v>-0.004737872174920037</x:v>
      </x:c>
      <x:c r="G239" s="100" t="n">
        <x:f>ABS(F239)</x:f>
        <x:v>0.004737872174920037</x:v>
      </x:c>
      <x:c r="H239" s="100" t="n">
        <x:f>'Raw Z'!N233</x:f>
        <x:v>0.9427142352326829</x:v>
      </x:c>
      <x:c r="I239" t="b">
        <x:f>'Raw Z'!O233</x:f>
        <x:v>1</x:v>
      </x:c>
      <x:c r="J239" s="100" t="n">
        <x:f>IF(I239,B239,"")</x:f>
        <x:v>-0.003707406804947969</x:v>
      </x:c>
      <x:c r="K239" s="100" t="n">
        <x:f>IF(I239,E239,"")</x:f>
        <x:v>-0.008445278979868007</x:v>
      </x:c>
      <x:c r="L239" s="100" t="n">
        <x:f>IF(I239,G239,"")</x:f>
        <x:v>0.004737872174920037</x:v>
      </x:c>
      <x:c r="M239" s="100" t="n">
        <x:f>IF(I239,F239^2,"")</x:f>
        <x:v>0.000022447432745881525</x:v>
      </x:c>
      <x:c r="N239" s="100" t="n">
        <x:f>IF(I239,F239,"")</x:f>
        <x:v>-0.004737872174920037</x:v>
      </x:c>
      <x:c r="P239" t="n">
        <x:f>J239</x:f>
        <x:v>-0.003707406804947969</x:v>
      </x:c>
      <x:c r="Q239" t="n">
        <x:f>K239</x:f>
        <x:v>-0.008445278979868007</x:v>
      </x:c>
    </x:row>
    <x:row r="240">
      <x:c r="A240" s="99" t="str">
        <x:f>'Raw Z'!B234</x:f>
        <x:v>00284</x:v>
      </x:c>
      <x:c r="B240" s="100" t="n">
        <x:f>INDEX('Raw Stations'!$D$2:$D$299,MATCH(A240,'Raw Stations'!$A$2:$A$299,0))</x:f>
        <x:v>0.001340458546016551</x:v>
      </x:c>
      <x:c r="C240" s="100" t="n">
        <x:f>'Raw Z'!L234</x:f>
        <x:v>0.03150020988563121</x:v>
      </x:c>
      <x:c r="D240" s="100" t="n">
        <x:f>$B$2</x:f>
        <x:v>-0.0009288398653362757</x:v>
      </x:c>
      <x:c r="E240" s="100" t="n">
        <x:f>C240-D240</x:f>
        <x:v>0.032429049750967484</x:v>
      </x:c>
      <x:c r="F240" s="100" t="n">
        <x:f>E240-B240</x:f>
        <x:v>0.031088591204950933</x:v>
      </x:c>
      <x:c r="G240" s="100" t="n">
        <x:f>ABS(F240)</x:f>
        <x:v>0.031088591204950933</x:v>
      </x:c>
      <x:c r="H240" s="100" t="n">
        <x:f>'Raw Z'!N234</x:f>
        <x:v>0.7797042893252258</x:v>
      </x:c>
      <x:c r="I240" t="b">
        <x:f>'Raw Z'!O234</x:f>
        <x:v>1</x:v>
      </x:c>
      <x:c r="J240" s="100" t="n">
        <x:f>IF(I240,B240,"")</x:f>
        <x:v>0.001340458546016551</x:v>
      </x:c>
      <x:c r="K240" s="100" t="n">
        <x:f>IF(I240,E240,"")</x:f>
        <x:v>0.032429049750967484</x:v>
      </x:c>
      <x:c r="L240" s="100" t="n">
        <x:f>IF(I240,G240,"")</x:f>
        <x:v>0.031088591204950933</x:v>
      </x:c>
      <x:c r="M240" s="100" t="n">
        <x:f>IF(I240,F240^2,"")</x:f>
        <x:v>0.0009665005031085526</x:v>
      </x:c>
      <x:c r="N240" s="100" t="n">
        <x:f>IF(I240,F240,"")</x:f>
        <x:v>0.031088591204950933</x:v>
      </x:c>
      <x:c r="P240" t="n">
        <x:f>J240</x:f>
        <x:v>0.001340458546016551</x:v>
      </x:c>
      <x:c r="Q240" t="n">
        <x:f>K240</x:f>
        <x:v>0.032429049750967484</x:v>
      </x:c>
    </x:row>
    <x:row r="241">
      <x:c r="A241" s="99" t="str">
        <x:f>'Raw Z'!B235</x:f>
        <x:v>00285</x:v>
      </x:c>
      <x:c r="B241" s="100" t="n">
        <x:f>INDEX('Raw Stations'!$D$2:$D$299,MATCH(A241,'Raw Stations'!$A$2:$A$299,0))</x:f>
        <x:v>-0.007966422086094768</x:v>
      </x:c>
      <x:c r="C241" s="100" t="n">
        <x:f>'Raw Z'!L235</x:f>
        <x:v>0.02653811812310972</x:v>
      </x:c>
      <x:c r="D241" s="100" t="n">
        <x:f>$B$2</x:f>
        <x:v>-0.0009288398653362757</x:v>
      </x:c>
      <x:c r="E241" s="100" t="n">
        <x:f>C241-D241</x:f>
        <x:v>0.027466957988445995</x:v>
      </x:c>
      <x:c r="F241" s="100" t="n">
        <x:f>E241-B241</x:f>
        <x:v>0.03543338007454076</x:v>
      </x:c>
      <x:c r="G241" s="100" t="n">
        <x:f>ABS(F241)</x:f>
        <x:v>0.03543338007454076</x:v>
      </x:c>
      <x:c r="H241" s="100" t="n">
        <x:f>'Raw Z'!N235</x:f>
        <x:v>0.7545389595164856</x:v>
      </x:c>
      <x:c r="I241" t="b">
        <x:f>'Raw Z'!O235</x:f>
        <x:v>1</x:v>
      </x:c>
      <x:c r="J241" s="100" t="n">
        <x:f>IF(I241,B241,"")</x:f>
        <x:v>-0.007966422086094768</x:v>
      </x:c>
      <x:c r="K241" s="100" t="n">
        <x:f>IF(I241,E241,"")</x:f>
        <x:v>0.027466957988445995</x:v>
      </x:c>
      <x:c r="L241" s="100" t="n">
        <x:f>IF(I241,G241,"")</x:f>
        <x:v>0.03543338007454076</x:v>
      </x:c>
      <x:c r="M241" s="100" t="n">
        <x:f>IF(I241,F241^2,"")</x:f>
        <x:v>0.0012555244235068624</x:v>
      </x:c>
      <x:c r="N241" s="100" t="n">
        <x:f>IF(I241,F241,"")</x:f>
        <x:v>0.03543338007454076</x:v>
      </x:c>
      <x:c r="P241" t="n">
        <x:f>J241</x:f>
        <x:v>-0.007966422086094768</x:v>
      </x:c>
      <x:c r="Q241" t="n">
        <x:f>K241</x:f>
        <x:v>0.027466957988445995</x:v>
      </x:c>
    </x:row>
    <x:row r="242">
      <x:c r="A242" s="99" t="str">
        <x:f>'Raw Z'!B236</x:f>
        <x:v>00286</x:v>
      </x:c>
      <x:c r="B242" s="100" t="n">
        <x:f>INDEX('Raw Stations'!$D$2:$D$299,MATCH(A242,'Raw Stations'!$A$2:$A$299,0))</x:f>
        <x:v>-0.009715889694658128</x:v>
      </x:c>
      <x:c r="C242" s="100" t="n">
        <x:f>'Raw Z'!L236</x:f>
        <x:v>0.02446057439629346</x:v>
      </x:c>
      <x:c r="D242" s="100" t="n">
        <x:f>$B$2</x:f>
        <x:v>-0.0009288398653362757</x:v>
      </x:c>
      <x:c r="E242" s="100" t="n">
        <x:f>C242-D242</x:f>
        <x:v>0.025389414261629734</x:v>
      </x:c>
      <x:c r="F242" s="100" t="n">
        <x:f>E242-B242</x:f>
        <x:v>0.03510530395628786</x:v>
      </x:c>
      <x:c r="G242" s="100" t="n">
        <x:f>ABS(F242)</x:f>
        <x:v>0.03510530395628786</x:v>
      </x:c>
      <x:c r="H242" s="100" t="n">
        <x:f>'Raw Z'!N236</x:f>
        <x:v>0.5091533704211293</x:v>
      </x:c>
      <x:c r="I242" t="b">
        <x:f>'Raw Z'!O236</x:f>
        <x:v>0</x:v>
      </x:c>
      <x:c r="J242" s="100" t="str">
        <x:f>IF(I242,B242,"")</x:f>
      </x:c>
      <x:c r="K242" s="100" t="str">
        <x:f>IF(I242,E242,"")</x:f>
      </x:c>
      <x:c r="L242" s="100" t="str">
        <x:f>IF(I242,G242,"")</x:f>
      </x:c>
      <x:c r="M242" s="100" t="str">
        <x:f>IF(I242,F242^2,"")</x:f>
      </x:c>
      <x:c r="N242" s="100" t="str">
        <x:f>IF(I242,F242,"")</x:f>
      </x:c>
      <x:c r="P242" t="str">
        <x:f>J242</x:f>
      </x:c>
      <x:c r="Q242" t="str">
        <x:f>K242</x:f>
      </x:c>
    </x:row>
    <x:row r="243">
      <x:c r="A243" s="99" t="str">
        <x:f>'Raw Z'!B237</x:f>
        <x:v>00287</x:v>
      </x:c>
      <x:c r="B243" s="100" t="n">
        <x:f>INDEX('Raw Stations'!$D$2:$D$299,MATCH(A243,'Raw Stations'!$A$2:$A$299,0))</x:f>
        <x:v>-0.004012688778721529</x:v>
      </x:c>
      <x:c r="C243" s="100" t="n">
        <x:f>'Raw Z'!L237</x:f>
        <x:v>-0.01265516260981867</x:v>
      </x:c>
      <x:c r="D243" s="100" t="n">
        <x:f>$B$2</x:f>
        <x:v>-0.0009288398653362757</x:v>
      </x:c>
      <x:c r="E243" s="100" t="n">
        <x:f>C243-D243</x:f>
        <x:v>-0.011726322744482395</x:v>
      </x:c>
      <x:c r="F243" s="100" t="n">
        <x:f>E243-B243</x:f>
        <x:v>-0.007713633965760866</x:v>
      </x:c>
      <x:c r="G243" s="100" t="n">
        <x:f>ABS(F243)</x:f>
        <x:v>0.007713633965760866</x:v>
      </x:c>
      <x:c r="H243" s="100" t="n">
        <x:f>'Raw Z'!N237</x:f>
        <x:v>0.9115949866679197</x:v>
      </x:c>
      <x:c r="I243" t="b">
        <x:f>'Raw Z'!O237</x:f>
        <x:v>1</x:v>
      </x:c>
      <x:c r="J243" s="100" t="n">
        <x:f>IF(I243,B243,"")</x:f>
        <x:v>-0.004012688778721529</x:v>
      </x:c>
      <x:c r="K243" s="100" t="n">
        <x:f>IF(I243,E243,"")</x:f>
        <x:v>-0.011726322744482395</x:v>
      </x:c>
      <x:c r="L243" s="100" t="n">
        <x:f>IF(I243,G243,"")</x:f>
        <x:v>0.007713633965760866</x:v>
      </x:c>
      <x:c r="M243" s="100" t="n">
        <x:f>IF(I243,F243^2,"")</x:f>
        <x:v>0.00005950014895773971</x:v>
      </x:c>
      <x:c r="N243" s="100" t="n">
        <x:f>IF(I243,F243,"")</x:f>
        <x:v>-0.007713633965760866</x:v>
      </x:c>
      <x:c r="P243" t="n">
        <x:f>J243</x:f>
        <x:v>-0.004012688778721529</x:v>
      </x:c>
      <x:c r="Q243" t="n">
        <x:f>K243</x:f>
        <x:v>-0.011726322744482395</x:v>
      </x:c>
    </x:row>
    <x:row r="244">
      <x:c r="A244" s="99" t="str">
        <x:f>'Raw Z'!B238</x:f>
        <x:v>00288</x:v>
      </x:c>
      <x:c r="B244" s="100" t="n">
        <x:f>INDEX('Raw Stations'!$D$2:$D$299,MATCH(A244,'Raw Stations'!$A$2:$A$299,0))</x:f>
        <x:v>-0.006373200045938721</x:v>
      </x:c>
      <x:c r="C244" s="100" t="n">
        <x:f>'Raw Z'!L238</x:f>
        <x:v>-0.007538616579680565</x:v>
      </x:c>
      <x:c r="D244" s="100" t="n">
        <x:f>$B$2</x:f>
        <x:v>-0.0009288398653362757</x:v>
      </x:c>
      <x:c r="E244" s="100" t="n">
        <x:f>C244-D244</x:f>
        <x:v>-0.00660977671434429</x:v>
      </x:c>
      <x:c r="F244" s="100" t="n">
        <x:f>E244-B244</x:f>
        <x:v>-0.00023657666840556923</x:v>
      </x:c>
      <x:c r="G244" s="100" t="n">
        <x:f>ABS(F244)</x:f>
        <x:v>0.00023657666840556923</x:v>
      </x:c>
      <x:c r="H244" s="100" t="n">
        <x:f>'Raw Z'!N238</x:f>
        <x:v>0.9608258452577015</x:v>
      </x:c>
      <x:c r="I244" t="b">
        <x:f>'Raw Z'!O238</x:f>
        <x:v>1</x:v>
      </x:c>
      <x:c r="J244" s="100" t="n">
        <x:f>IF(I244,B244,"")</x:f>
        <x:v>-0.006373200045938721</x:v>
      </x:c>
      <x:c r="K244" s="100" t="n">
        <x:f>IF(I244,E244,"")</x:f>
        <x:v>-0.00660977671434429</x:v>
      </x:c>
      <x:c r="L244" s="100" t="n">
        <x:f>IF(I244,G244,"")</x:f>
        <x:v>0.00023657666840556923</x:v>
      </x:c>
      <x:c r="M244" s="100" t="n">
        <x:f>IF(I244,F244^2,"")</x:f>
        <x:v>5.596852003387866e-8</x:v>
      </x:c>
      <x:c r="N244" s="100" t="n">
        <x:f>IF(I244,F244,"")</x:f>
        <x:v>-0.00023657666840556923</x:v>
      </x:c>
      <x:c r="P244" t="n">
        <x:f>J244</x:f>
        <x:v>-0.006373200045938721</x:v>
      </x:c>
      <x:c r="Q244" t="n">
        <x:f>K244</x:f>
        <x:v>-0.00660977671434429</x:v>
      </x:c>
    </x:row>
    <x:row r="245">
      <x:c r="A245" s="99" t="str">
        <x:f>'Raw Z'!B239</x:f>
        <x:v>00289</x:v>
      </x:c>
      <x:c r="B245" s="100" t="n">
        <x:f>INDEX('Raw Stations'!$D$2:$D$299,MATCH(A245,'Raw Stations'!$A$2:$A$299,0))</x:f>
        <x:v>-0.005992811469059424</x:v>
      </x:c>
      <x:c r="C245" s="100" t="n">
        <x:f>'Raw Z'!L239</x:f>
        <x:v>-0.005855631315030085</x:v>
      </x:c>
      <x:c r="D245" s="100" t="n">
        <x:f>$B$2</x:f>
        <x:v>-0.0009288398653362757</x:v>
      </x:c>
      <x:c r="E245" s="100" t="n">
        <x:f>C245-D245</x:f>
        <x:v>-0.00492679144969381</x:v>
      </x:c>
      <x:c r="F245" s="100" t="n">
        <x:f>E245-B245</x:f>
        <x:v>0.0010660200193656141</x:v>
      </x:c>
      <x:c r="G245" s="100" t="n">
        <x:f>ABS(F245)</x:f>
        <x:v>0.0010660200193656141</x:v>
      </x:c>
      <x:c r="H245" s="100" t="n">
        <x:f>'Raw Z'!N239</x:f>
        <x:v>0.8682296611494974</x:v>
      </x:c>
      <x:c r="I245" t="b">
        <x:f>'Raw Z'!O239</x:f>
        <x:v>1</x:v>
      </x:c>
      <x:c r="J245" s="100" t="n">
        <x:f>IF(I245,B245,"")</x:f>
        <x:v>-0.005992811469059424</x:v>
      </x:c>
      <x:c r="K245" s="100" t="n">
        <x:f>IF(I245,E245,"")</x:f>
        <x:v>-0.00492679144969381</x:v>
      </x:c>
      <x:c r="L245" s="100" t="n">
        <x:f>IF(I245,G245,"")</x:f>
        <x:v>0.0010660200193656141</x:v>
      </x:c>
      <x:c r="M245" s="100" t="n">
        <x:f>IF(I245,F245^2,"")</x:f>
        <x:v>0.0000011363986816882643</x:v>
      </x:c>
      <x:c r="N245" s="100" t="n">
        <x:f>IF(I245,F245,"")</x:f>
        <x:v>0.0010660200193656141</x:v>
      </x:c>
      <x:c r="P245" t="n">
        <x:f>J245</x:f>
        <x:v>-0.005992811469059424</x:v>
      </x:c>
      <x:c r="Q245" t="n">
        <x:f>K245</x:f>
        <x:v>-0.00492679144969381</x:v>
      </x:c>
    </x:row>
    <x:row r="246">
      <x:c r="A246" s="99" t="str">
        <x:f>'Raw Z'!B240</x:f>
        <x:v>00290</x:v>
      </x:c>
      <x:c r="B246" s="100" t="n">
        <x:f>INDEX('Raw Stations'!$D$2:$D$299,MATCH(A246,'Raw Stations'!$A$2:$A$299,0))</x:f>
        <x:v>-0.006175214028578201</x:v>
      </x:c>
      <x:c r="C246" s="100" t="n">
        <x:f>'Raw Z'!L240</x:f>
        <x:v>0.007314437445884336</x:v>
      </x:c>
      <x:c r="D246" s="100" t="n">
        <x:f>$B$2</x:f>
        <x:v>-0.0009288398653362757</x:v>
      </x:c>
      <x:c r="E246" s="100" t="n">
        <x:f>C246-D246</x:f>
        <x:v>0.008243277311220612</x:v>
      </x:c>
      <x:c r="F246" s="100" t="n">
        <x:f>E246-B246</x:f>
        <x:v>0.014418491339798813</x:v>
      </x:c>
      <x:c r="G246" s="100" t="n">
        <x:f>ABS(F246)</x:f>
        <x:v>0.014418491339798813</x:v>
      </x:c>
      <x:c r="H246" s="100" t="n">
        <x:f>'Raw Z'!N240</x:f>
        <x:v>0.791818265584092</x:v>
      </x:c>
      <x:c r="I246" t="b">
        <x:f>'Raw Z'!O240</x:f>
        <x:v>1</x:v>
      </x:c>
      <x:c r="J246" s="100" t="n">
        <x:f>IF(I246,B246,"")</x:f>
        <x:v>-0.006175214028578201</x:v>
      </x:c>
      <x:c r="K246" s="100" t="n">
        <x:f>IF(I246,E246,"")</x:f>
        <x:v>0.008243277311220612</x:v>
      </x:c>
      <x:c r="L246" s="100" t="n">
        <x:f>IF(I246,G246,"")</x:f>
        <x:v>0.014418491339798813</x:v>
      </x:c>
      <x:c r="M246" s="100" t="n">
        <x:f>IF(I246,F246^2,"")</x:f>
        <x:v>0.00020789289251585337</x:v>
      </x:c>
      <x:c r="N246" s="100" t="n">
        <x:f>IF(I246,F246,"")</x:f>
        <x:v>0.014418491339798813</x:v>
      </x:c>
      <x:c r="P246" t="n">
        <x:f>J246</x:f>
        <x:v>-0.006175214028578201</x:v>
      </x:c>
      <x:c r="Q246" t="n">
        <x:f>K246</x:f>
        <x:v>0.008243277311220612</x:v>
      </x:c>
    </x:row>
    <x:row r="247">
      <x:c r="A247" s="99" t="str">
        <x:f>'Raw Z'!B241</x:f>
        <x:v>00291</x:v>
      </x:c>
      <x:c r="B247" s="100" t="n">
        <x:f>INDEX('Raw Stations'!$D$2:$D$299,MATCH(A247,'Raw Stations'!$A$2:$A$299,0))</x:f>
        <x:v>-0.003687200490893747</x:v>
      </x:c>
      <x:c r="C247" s="100" t="n">
        <x:f>'Raw Z'!L241</x:f>
        <x:v>0.01048926360005784</x:v>
      </x:c>
      <x:c r="D247" s="100" t="n">
        <x:f>$B$2</x:f>
        <x:v>-0.0009288398653362757</x:v>
      </x:c>
      <x:c r="E247" s="100" t="n">
        <x:f>C247-D247</x:f>
        <x:v>0.011418103465394116</x:v>
      </x:c>
      <x:c r="F247" s="100" t="n">
        <x:f>E247-B247</x:f>
        <x:v>0.015105303956287864</x:v>
      </x:c>
      <x:c r="G247" s="100" t="n">
        <x:f>ABS(F247)</x:f>
        <x:v>0.015105303956287864</x:v>
      </x:c>
      <x:c r="H247" s="100" t="n">
        <x:f>'Raw Z'!N241</x:f>
        <x:v>0.830410412603064</x:v>
      </x:c>
      <x:c r="I247" t="b">
        <x:f>'Raw Z'!O241</x:f>
        <x:v>1</x:v>
      </x:c>
      <x:c r="J247" s="100" t="n">
        <x:f>IF(I247,B247,"")</x:f>
        <x:v>-0.003687200490893747</x:v>
      </x:c>
      <x:c r="K247" s="100" t="n">
        <x:f>IF(I247,E247,"")</x:f>
        <x:v>0.011418103465394116</x:v>
      </x:c>
      <x:c r="L247" s="100" t="n">
        <x:f>IF(I247,G247,"")</x:f>
        <x:v>0.015105303956287864</x:v>
      </x:c>
      <x:c r="M247" s="100" t="n">
        <x:f>IF(I247,F247^2,"")</x:f>
        <x:v>0.0002281702076118458</x:v>
      </x:c>
      <x:c r="N247" s="100" t="n">
        <x:f>IF(I247,F247,"")</x:f>
        <x:v>0.015105303956287864</x:v>
      </x:c>
      <x:c r="P247" t="n">
        <x:f>J247</x:f>
        <x:v>-0.003687200490893747</x:v>
      </x:c>
      <x:c r="Q247" t="n">
        <x:f>K247</x:f>
        <x:v>0.011418103465394116</x:v>
      </x:c>
    </x:row>
    <x:row r="248">
      <x:c r="A248" s="99" t="str">
        <x:f>'Raw Z'!B242</x:f>
        <x:v>00292</x:v>
      </x:c>
      <x:c r="B248" s="100" t="n">
        <x:f>INDEX('Raw Stations'!$D$2:$D$299,MATCH(A248,'Raw Stations'!$A$2:$A$299,0))</x:f>
        <x:v>-0.003888602536974522</x:v>
      </x:c>
      <x:c r="C248" s="100" t="n">
        <x:f>'Raw Z'!L242</x:f>
        <x:v>0.03200183095709025</x:v>
      </x:c>
      <x:c r="D248" s="100" t="n">
        <x:f>$B$2</x:f>
        <x:v>-0.0009288398653362757</x:v>
      </x:c>
      <x:c r="E248" s="100" t="n">
        <x:f>C248-D248</x:f>
        <x:v>0.032930670822426525</x:v>
      </x:c>
      <x:c r="F248" s="100" t="n">
        <x:f>E248-B248</x:f>
        <x:v>0.03681927335940105</x:v>
      </x:c>
      <x:c r="G248" s="100" t="n">
        <x:f>ABS(F248)</x:f>
        <x:v>0.03681927335940105</x:v>
      </x:c>
      <x:c r="H248" s="100" t="n">
        <x:f>'Raw Z'!N242</x:f>
        <x:v>0.5074868634647298</x:v>
      </x:c>
      <x:c r="I248" t="b">
        <x:f>'Raw Z'!O242</x:f>
        <x:v>0</x:v>
      </x:c>
      <x:c r="J248" s="100" t="str">
        <x:f>IF(I248,B248,"")</x:f>
      </x:c>
      <x:c r="K248" s="100" t="str">
        <x:f>IF(I248,E248,"")</x:f>
      </x:c>
      <x:c r="L248" s="100" t="str">
        <x:f>IF(I248,G248,"")</x:f>
      </x:c>
      <x:c r="M248" s="100" t="str">
        <x:f>IF(I248,F248^2,"")</x:f>
      </x:c>
      <x:c r="N248" s="100" t="str">
        <x:f>IF(I248,F248,"")</x:f>
      </x:c>
      <x:c r="P248" t="str">
        <x:f>J248</x:f>
      </x:c>
      <x:c r="Q248" t="str">
        <x:f>K248</x:f>
      </x:c>
    </x:row>
    <x:row r="249">
      <x:c r="A249" s="99" t="str">
        <x:f>'Raw Z'!B243</x:f>
        <x:v>00293</x:v>
      </x:c>
      <x:c r="B249" s="100" t="n">
        <x:f>INDEX('Raw Stations'!$D$2:$D$299,MATCH(A249,'Raw Stations'!$A$2:$A$299,0))</x:f>
        <x:v>-0.01975739844222951</x:v>
      </x:c>
      <x:c r="C249" s="100" t="n">
        <x:f>'Raw Z'!L243</x:f>
        <x:v>0.002394263349527609</x:v>
      </x:c>
      <x:c r="D249" s="100" t="n">
        <x:f>$B$2</x:f>
        <x:v>-0.0009288398653362757</x:v>
      </x:c>
      <x:c r="E249" s="100" t="n">
        <x:f>C249-D249</x:f>
        <x:v>0.0033231032148638845</x:v>
      </x:c>
      <x:c r="F249" s="100" t="n">
        <x:f>E249-B249</x:f>
        <x:v>0.023080501657093393</x:v>
      </x:c>
      <x:c r="G249" s="100" t="n">
        <x:f>ABS(F249)</x:f>
        <x:v>0.023080501657093393</x:v>
      </x:c>
      <x:c r="H249" s="100" t="n">
        <x:f>'Raw Z'!N243</x:f>
        <x:v>0.7957846259407482</x:v>
      </x:c>
      <x:c r="I249" t="b">
        <x:f>'Raw Z'!O243</x:f>
        <x:v>1</x:v>
      </x:c>
      <x:c r="J249" s="100" t="n">
        <x:f>IF(I249,B249,"")</x:f>
        <x:v>-0.01975739844222951</x:v>
      </x:c>
      <x:c r="K249" s="100" t="n">
        <x:f>IF(I249,E249,"")</x:f>
        <x:v>0.0033231032148638845</x:v>
      </x:c>
      <x:c r="L249" s="100" t="n">
        <x:f>IF(I249,G249,"")</x:f>
        <x:v>0.023080501657093393</x:v>
      </x:c>
      <x:c r="M249" s="100" t="n">
        <x:f>IF(I249,F249^2,"")</x:f>
        <x:v>0.0005327095567430909</x:v>
      </x:c>
      <x:c r="N249" s="100" t="n">
        <x:f>IF(I249,F249,"")</x:f>
        <x:v>0.023080501657093393</x:v>
      </x:c>
      <x:c r="P249" t="n">
        <x:f>J249</x:f>
        <x:v>-0.01975739844222951</x:v>
      </x:c>
      <x:c r="Q249" t="n">
        <x:f>K249</x:f>
        <x:v>0.0033231032148638845</x:v>
      </x:c>
    </x:row>
    <x:row r="250">
      <x:c r="A250" s="99" t="str">
        <x:f>'Raw Z'!B244</x:f>
        <x:v>00294</x:v>
      </x:c>
      <x:c r="B250" s="100" t="n">
        <x:f>INDEX('Raw Stations'!$D$2:$D$299,MATCH(A250,'Raw Stations'!$A$2:$A$299,0))</x:f>
        <x:v>-0.01263527026872942</x:v>
      </x:c>
      <x:c r="C250" s="100" t="n">
        <x:f>'Raw Z'!L244</x:f>
        <x:v>-0.021491062365561</x:v>
      </x:c>
      <x:c r="D250" s="100" t="n">
        <x:f>$B$2</x:f>
        <x:v>-0.0009288398653362757</x:v>
      </x:c>
      <x:c r="E250" s="100" t="n">
        <x:f>C250-D250</x:f>
        <x:v>-0.020562222500224724</x:v>
      </x:c>
      <x:c r="F250" s="100" t="n">
        <x:f>E250-B250</x:f>
        <x:v>-0.007926952231495305</x:v>
      </x:c>
      <x:c r="G250" s="100" t="n">
        <x:f>ABS(F250)</x:f>
        <x:v>0.007926952231495305</x:v>
      </x:c>
      <x:c r="H250" s="100" t="n">
        <x:f>'Raw Z'!N244</x:f>
        <x:v>0.8397777287945756</x:v>
      </x:c>
      <x:c r="I250" t="b">
        <x:f>'Raw Z'!O244</x:f>
        <x:v>1</x:v>
      </x:c>
      <x:c r="J250" s="100" t="n">
        <x:f>IF(I250,B250,"")</x:f>
        <x:v>-0.01263527026872942</x:v>
      </x:c>
      <x:c r="K250" s="100" t="n">
        <x:f>IF(I250,E250,"")</x:f>
        <x:v>-0.020562222500224724</x:v>
      </x:c>
      <x:c r="L250" s="100" t="n">
        <x:f>IF(I250,G250,"")</x:f>
        <x:v>0.007926952231495305</x:v>
      </x:c>
      <x:c r="M250" s="100" t="n">
        <x:f>IF(I250,F250^2,"")</x:f>
        <x:v>0.0000628365716804084</x:v>
      </x:c>
      <x:c r="N250" s="100" t="n">
        <x:f>IF(I250,F250,"")</x:f>
        <x:v>-0.007926952231495305</x:v>
      </x:c>
      <x:c r="P250" t="n">
        <x:f>J250</x:f>
        <x:v>-0.01263527026872942</x:v>
      </x:c>
      <x:c r="Q250" t="n">
        <x:f>K250</x:f>
        <x:v>-0.020562222500224724</x:v>
      </x:c>
    </x:row>
    <x:row r="251">
      <x:c r="A251" s="99" t="str">
        <x:f>'Raw Z'!B245</x:f>
        <x:v>00295</x:v>
      </x:c>
      <x:c r="B251" s="100" t="n">
        <x:f>INDEX('Raw Stations'!$D$2:$D$299,MATCH(A251,'Raw Stations'!$A$2:$A$299,0))</x:f>
        <x:v>-0.006169767968636438</x:v>
      </x:c>
      <x:c r="C251" s="100" t="n">
        <x:f>'Raw Z'!L245</x:f>
        <x:v>-0.04799330387768486</x:v>
      </x:c>
      <x:c r="D251" s="100" t="n">
        <x:f>$B$2</x:f>
        <x:v>-0.0009288398653362757</x:v>
      </x:c>
      <x:c r="E251" s="100" t="n">
        <x:f>C251-D251</x:f>
        <x:v>-0.04706446401234859</x:v>
      </x:c>
      <x:c r="F251" s="100" t="n">
        <x:f>E251-B251</x:f>
        <x:v>-0.04089469604371215</x:v>
      </x:c>
      <x:c r="G251" s="100" t="n">
        <x:f>ABS(F251)</x:f>
        <x:v>0.04089469604371215</x:v>
      </x:c>
      <x:c r="H251" s="100" t="n">
        <x:f>'Raw Z'!N245</x:f>
        <x:v>0.7939683630689457</x:v>
      </x:c>
      <x:c r="I251" t="b">
        <x:f>'Raw Z'!O245</x:f>
        <x:v>1</x:v>
      </x:c>
      <x:c r="J251" s="100" t="n">
        <x:f>IF(I251,B251,"")</x:f>
        <x:v>-0.006169767968636438</x:v>
      </x:c>
      <x:c r="K251" s="100" t="n">
        <x:f>IF(I251,E251,"")</x:f>
        <x:v>-0.04706446401234859</x:v>
      </x:c>
      <x:c r="L251" s="100" t="n">
        <x:f>IF(I251,G251,"")</x:f>
        <x:v>0.04089469604371215</x:v>
      </x:c>
      <x:c r="M251" s="100" t="n">
        <x:f>IF(I251,F251^2,"")</x:f>
        <x:v>0.0016723761645076065</x:v>
      </x:c>
      <x:c r="N251" s="100" t="n">
        <x:f>IF(I251,F251,"")</x:f>
        <x:v>-0.04089469604371215</x:v>
      </x:c>
      <x:c r="P251" t="n">
        <x:f>J251</x:f>
        <x:v>-0.006169767968636438</x:v>
      </x:c>
      <x:c r="Q251" t="n">
        <x:f>K251</x:f>
        <x:v>-0.04706446401234859</x:v>
      </x:c>
    </x:row>
    <x:row r="252">
      <x:c r="A252" s="99" t="str">
        <x:f>'Raw Z'!B246</x:f>
        <x:v>00297</x:v>
      </x:c>
      <x:c r="B252" s="100" t="n">
        <x:f>INDEX('Raw Stations'!$D$2:$D$299,MATCH(A252,'Raw Stations'!$A$2:$A$299,0))</x:f>
        <x:v>-0.01038514493235143</x:v>
      </x:c>
      <x:c r="C252" s="100" t="n">
        <x:f>'Raw Z'!L246</x:f>
        <x:v>-0.001136541411003111</x:v>
      </x:c>
      <x:c r="D252" s="100" t="n">
        <x:f>$B$2</x:f>
        <x:v>-0.0009288398653362757</x:v>
      </x:c>
      <x:c r="E252" s="100" t="n">
        <x:f>C252-D252</x:f>
        <x:v>-0.0002077015456668352</x:v>
      </x:c>
      <x:c r="F252" s="100" t="n">
        <x:f>E252-B252</x:f>
        <x:v>0.010177443386684594</x:v>
      </x:c>
      <x:c r="G252" s="100" t="n">
        <x:f>ABS(F252)</x:f>
        <x:v>0.010177443386684594</x:v>
      </x:c>
      <x:c r="H252" s="100" t="n">
        <x:f>'Raw Z'!N246</x:f>
        <x:v>0.9071491865132193</x:v>
      </x:c>
      <x:c r="I252" t="b">
        <x:f>'Raw Z'!O246</x:f>
        <x:v>1</x:v>
      </x:c>
      <x:c r="J252" s="100" t="n">
        <x:f>IF(I252,B252,"")</x:f>
        <x:v>-0.01038514493235143</x:v>
      </x:c>
      <x:c r="K252" s="100" t="n">
        <x:f>IF(I252,E252,"")</x:f>
        <x:v>-0.0002077015456668352</x:v>
      </x:c>
      <x:c r="L252" s="100" t="n">
        <x:f>IF(I252,G252,"")</x:f>
        <x:v>0.010177443386684594</x:v>
      </x:c>
      <x:c r="M252" s="100" t="n">
        <x:f>IF(I252,F252^2,"")</x:f>
        <x:v>0.00010358035388916997</x:v>
      </x:c>
      <x:c r="N252" s="100" t="n">
        <x:f>IF(I252,F252,"")</x:f>
        <x:v>0.010177443386684594</x:v>
      </x:c>
      <x:c r="P252" t="n">
        <x:f>J252</x:f>
        <x:v>-0.01038514493235143</x:v>
      </x:c>
      <x:c r="Q252" t="n">
        <x:f>K252</x:f>
        <x:v>-0.0002077015456668352</x:v>
      </x:c>
    </x:row>
    <x:row r="253">
      <x:c r="A253" s="99" t="str">
        <x:f>'Raw Z'!B247</x:f>
        <x:v>00298</x:v>
      </x:c>
      <x:c r="B253" s="100" t="n">
        <x:f>INDEX('Raw Stations'!$D$2:$D$299,MATCH(A253,'Raw Stations'!$A$2:$A$299,0))</x:f>
        <x:v>-0.00823790525783667</x:v>
      </x:c>
      <x:c r="C253" s="100" t="n">
        <x:f>'Raw Z'!L247</x:f>
        <x:v>0.005261053710955893</x:v>
      </x:c>
      <x:c r="D253" s="100" t="n">
        <x:f>$B$2</x:f>
        <x:v>-0.0009288398653362757</x:v>
      </x:c>
      <x:c r="E253" s="100" t="n">
        <x:f>C253-D253</x:f>
        <x:v>0.006189893576292169</x:v>
      </x:c>
      <x:c r="F253" s="100" t="n">
        <x:f>E253-B253</x:f>
        <x:v>0.01442779883412884</x:v>
      </x:c>
      <x:c r="G253" s="100" t="n">
        <x:f>ABS(F253)</x:f>
        <x:v>0.01442779883412884</x:v>
      </x:c>
      <x:c r="H253" s="100" t="n">
        <x:f>'Raw Z'!N247</x:f>
        <x:v>0.9175238029835171</x:v>
      </x:c>
      <x:c r="I253" t="b">
        <x:f>'Raw Z'!O247</x:f>
        <x:v>1</x:v>
      </x:c>
      <x:c r="J253" s="100" t="n">
        <x:f>IF(I253,B253,"")</x:f>
        <x:v>-0.00823790525783667</x:v>
      </x:c>
      <x:c r="K253" s="100" t="n">
        <x:f>IF(I253,E253,"")</x:f>
        <x:v>0.006189893576292169</x:v>
      </x:c>
      <x:c r="L253" s="100" t="n">
        <x:f>IF(I253,G253,"")</x:f>
        <x:v>0.01442779883412884</x:v>
      </x:c>
      <x:c r="M253" s="100" t="n">
        <x:f>IF(I253,F253^2,"")</x:f>
        <x:v>0.0002081613791980895</x:v>
      </x:c>
      <x:c r="N253" s="100" t="n">
        <x:f>IF(I253,F253,"")</x:f>
        <x:v>0.01442779883412884</x:v>
      </x:c>
      <x:c r="P253" t="n">
        <x:f>J253</x:f>
        <x:v>-0.00823790525783667</x:v>
      </x:c>
      <x:c r="Q253" t="n">
        <x:f>K253</x:f>
        <x:v>0.006189893576292169</x:v>
      </x:c>
    </x:row>
    <x:row r="254">
      <x:c r="A254" s="99" t="str">
        <x:f>'Raw Z'!B248</x:f>
        <x:v>00299</x:v>
      </x:c>
      <x:c r="B254" s="100" t="n">
        <x:f>INDEX('Raw Stations'!$D$2:$D$299,MATCH(A254,'Raw Stations'!$A$2:$A$299,0))</x:f>
        <x:v>-0.01252757638063776</x:v>
      </x:c>
      <x:c r="C254" s="100" t="n">
        <x:f>'Raw Z'!L248</x:f>
        <x:v>-0.00235111228968618</x:v>
      </x:c>
      <x:c r="D254" s="100" t="n">
        <x:f>$B$2</x:f>
        <x:v>-0.0009288398653362757</x:v>
      </x:c>
      <x:c r="E254" s="100" t="n">
        <x:f>C254-D254</x:f>
        <x:v>-0.0014222724243499042</x:v>
      </x:c>
      <x:c r="F254" s="100" t="n">
        <x:f>E254-B254</x:f>
        <x:v>0.011105303956287855</x:v>
      </x:c>
      <x:c r="G254" s="100" t="n">
        <x:f>ABS(F254)</x:f>
        <x:v>0.011105303956287855</x:v>
      </x:c>
      <x:c r="H254" s="100" t="n">
        <x:f>'Raw Z'!N248</x:f>
        <x:v>0.9219806517581498</x:v>
      </x:c>
      <x:c r="I254" t="b">
        <x:f>'Raw Z'!O248</x:f>
        <x:v>1</x:v>
      </x:c>
      <x:c r="J254" s="100" t="n">
        <x:f>IF(I254,B254,"")</x:f>
        <x:v>-0.01252757638063776</x:v>
      </x:c>
      <x:c r="K254" s="100" t="n">
        <x:f>IF(I254,E254,"")</x:f>
        <x:v>-0.0014222724243499042</x:v>
      </x:c>
      <x:c r="L254" s="100" t="n">
        <x:f>IF(I254,G254,"")</x:f>
        <x:v>0.011105303956287855</x:v>
      </x:c>
      <x:c r="M254" s="100" t="n">
        <x:f>IF(I254,F254^2,"")</x:f>
        <x:v>0.0001233277759615427</x:v>
      </x:c>
      <x:c r="N254" s="100" t="n">
        <x:f>IF(I254,F254,"")</x:f>
        <x:v>0.011105303956287855</x:v>
      </x:c>
      <x:c r="P254" t="n">
        <x:f>J254</x:f>
        <x:v>-0.01252757638063776</x:v>
      </x:c>
      <x:c r="Q254" t="n">
        <x:f>K254</x:f>
        <x:v>-0.0014222724243499042</x:v>
      </x:c>
    </x:row>
    <x:row r="255">
      <x:c r="A255" s="99" t="str">
        <x:f>'Raw Z'!B249</x:f>
        <x:v>00300</x:v>
      </x:c>
      <x:c r="B255" s="100" t="n">
        <x:f>INDEX('Raw Stations'!$D$2:$D$299,MATCH(A255,'Raw Stations'!$A$2:$A$299,0))</x:f>
        <x:v>-0.01129132602284214</x:v>
      </x:c>
      <x:c r="C255" s="100" t="n">
        <x:f>'Raw Z'!L249</x:f>
        <x:v>0.02546150583967877</x:v>
      </x:c>
      <x:c r="D255" s="100" t="n">
        <x:f>$B$2</x:f>
        <x:v>-0.0009288398653362757</x:v>
      </x:c>
      <x:c r="E255" s="100" t="n">
        <x:f>C255-D255</x:f>
        <x:v>0.026390345705015045</x:v>
      </x:c>
      <x:c r="F255" s="100" t="n">
        <x:f>E255-B255</x:f>
        <x:v>0.037681671727857184</x:v>
      </x:c>
      <x:c r="G255" s="100" t="n">
        <x:f>ABS(F255)</x:f>
        <x:v>0.037681671727857184</x:v>
      </x:c>
      <x:c r="H255" s="100" t="n">
        <x:f>'Raw Z'!N249</x:f>
        <x:v>0.6827686634616686</x:v>
      </x:c>
      <x:c r="I255" t="b">
        <x:f>'Raw Z'!O249</x:f>
        <x:v>1</x:v>
      </x:c>
      <x:c r="J255" s="100" t="n">
        <x:f>IF(I255,B255,"")</x:f>
        <x:v>-0.01129132602284214</x:v>
      </x:c>
      <x:c r="K255" s="100" t="n">
        <x:f>IF(I255,E255,"")</x:f>
        <x:v>0.026390345705015045</x:v>
      </x:c>
      <x:c r="L255" s="100" t="n">
        <x:f>IF(I255,G255,"")</x:f>
        <x:v>0.037681671727857184</x:v>
      </x:c>
      <x:c r="M255" s="100" t="n">
        <x:f>IF(I255,F255^2,"")</x:f>
        <x:v>0.0014199083842059913</x:v>
      </x:c>
      <x:c r="N255" s="100" t="n">
        <x:f>IF(I255,F255,"")</x:f>
        <x:v>0.037681671727857184</x:v>
      </x:c>
      <x:c r="P255" t="n">
        <x:f>J255</x:f>
        <x:v>-0.01129132602284214</x:v>
      </x:c>
      <x:c r="Q255" t="n">
        <x:f>K255</x:f>
        <x:v>0.026390345705015045</x:v>
      </x:c>
    </x:row>
    <x:row r="256">
      <x:c r="A256" s="99" t="str">
        <x:f>'Raw Z'!B250</x:f>
        <x:v>00301</x:v>
      </x:c>
      <x:c r="B256" s="100" t="n">
        <x:f>INDEX('Raw Stations'!$D$2:$D$299,MATCH(A256,'Raw Stations'!$A$2:$A$299,0))</x:f>
        <x:v>-0.01427540765869766</x:v>
      </x:c>
      <x:c r="C256" s="100" t="n">
        <x:f>'Raw Z'!L250</x:f>
        <x:v>0.01025906574291136</x:v>
      </x:c>
      <x:c r="D256" s="100" t="n">
        <x:f>$B$2</x:f>
        <x:v>-0.0009288398653362757</x:v>
      </x:c>
      <x:c r="E256" s="100" t="n">
        <x:f>C256-D256</x:f>
        <x:v>0.011187905608247636</x:v>
      </x:c>
      <x:c r="F256" s="100" t="n">
        <x:f>E256-B256</x:f>
        <x:v>0.025463313266945294</x:v>
      </x:c>
      <x:c r="G256" s="100" t="n">
        <x:f>ABS(F256)</x:f>
        <x:v>0.025463313266945294</x:v>
      </x:c>
      <x:c r="H256" s="100" t="n">
        <x:f>'Raw Z'!N250</x:f>
        <x:v>0.5364904743389852</x:v>
      </x:c>
      <x:c r="I256" t="b">
        <x:f>'Raw Z'!O250</x:f>
        <x:v>0</x:v>
      </x:c>
      <x:c r="J256" s="100" t="str">
        <x:f>IF(I256,B256,"")</x:f>
      </x:c>
      <x:c r="K256" s="100" t="str">
        <x:f>IF(I256,E256,"")</x:f>
      </x:c>
      <x:c r="L256" s="100" t="str">
        <x:f>IF(I256,G256,"")</x:f>
      </x:c>
      <x:c r="M256" s="100" t="str">
        <x:f>IF(I256,F256^2,"")</x:f>
      </x:c>
      <x:c r="N256" s="100" t="str">
        <x:f>IF(I256,F256,"")</x:f>
      </x:c>
      <x:c r="P256" t="str">
        <x:f>J256</x:f>
      </x:c>
      <x:c r="Q256" t="str">
        <x:f>K256</x:f>
      </x:c>
    </x:row>
    <x:row r="257">
      <x:c r="A257" s="99" t="str">
        <x:f>'Raw Z'!B251</x:f>
        <x:v>00302</x:v>
      </x:c>
      <x:c r="B257" s="100" t="n">
        <x:f>INDEX('Raw Stations'!$D$2:$D$299,MATCH(A257,'Raw Stations'!$A$2:$A$299,0))</x:f>
        <x:v>-0.007632152572161066</x:v>
      </x:c>
      <x:c r="C257" s="100" t="n">
        <x:f>'Raw Z'!L251</x:f>
        <x:v>-0.02844173880697207</x:v>
      </x:c>
      <x:c r="D257" s="100" t="n">
        <x:f>$B$2</x:f>
        <x:v>-0.0009288398653362757</x:v>
      </x:c>
      <x:c r="E257" s="100" t="n">
        <x:f>C257-D257</x:f>
        <x:v>-0.027512898941635795</x:v>
      </x:c>
      <x:c r="F257" s="100" t="n">
        <x:f>E257-B257</x:f>
        <x:v>-0.01988074636947473</x:v>
      </x:c>
      <x:c r="G257" s="100" t="n">
        <x:f>ABS(F257)</x:f>
        <x:v>0.01988074636947473</x:v>
      </x:c>
      <x:c r="H257" s="100" t="n">
        <x:f>'Raw Z'!N251</x:f>
        <x:v>0.7341016557509211</x:v>
      </x:c>
      <x:c r="I257" t="b">
        <x:f>'Raw Z'!O251</x:f>
        <x:v>1</x:v>
      </x:c>
      <x:c r="J257" s="100" t="n">
        <x:f>IF(I257,B257,"")</x:f>
        <x:v>-0.007632152572161066</x:v>
      </x:c>
      <x:c r="K257" s="100" t="n">
        <x:f>IF(I257,E257,"")</x:f>
        <x:v>-0.027512898941635795</x:v>
      </x:c>
      <x:c r="L257" s="100" t="n">
        <x:f>IF(I257,G257,"")</x:f>
        <x:v>0.01988074636947473</x:v>
      </x:c>
      <x:c r="M257" s="100" t="n">
        <x:f>IF(I257,F257^2,"")</x:f>
        <x:v>0.00039524407620738263</x:v>
      </x:c>
      <x:c r="N257" s="100" t="n">
        <x:f>IF(I257,F257,"")</x:f>
        <x:v>-0.01988074636947473</x:v>
      </x:c>
      <x:c r="P257" t="n">
        <x:f>J257</x:f>
        <x:v>-0.007632152572161066</x:v>
      </x:c>
      <x:c r="Q257" t="n">
        <x:f>K257</x:f>
        <x:v>-0.027512898941635795</x:v>
      </x:c>
    </x:row>
    <x:row r="258">
      <x:c r="A258" s="99" t="str">
        <x:f>'Raw Z'!B252</x:f>
        <x:v>00304</x:v>
      </x:c>
      <x:c r="B258" s="100" t="n">
        <x:f>INDEX('Raw Stations'!$D$2:$D$299,MATCH(A258,'Raw Stations'!$A$2:$A$299,0))</x:f>
        <x:v>-0.009227897213839063</x:v>
      </x:c>
      <x:c r="C258" s="100" t="n">
        <x:f>'Raw Z'!L252</x:f>
        <x:v>-0.01274289205374768</x:v>
      </x:c>
      <x:c r="D258" s="100" t="n">
        <x:f>$B$2</x:f>
        <x:v>-0.0009288398653362757</x:v>
      </x:c>
      <x:c r="E258" s="100" t="n">
        <x:f>C258-D258</x:f>
        <x:v>-0.011814052188411405</x:v>
      </x:c>
      <x:c r="F258" s="100" t="n">
        <x:f>E258-B258</x:f>
        <x:v>-0.0025861549745723415</x:v>
      </x:c>
      <x:c r="G258" s="100" t="n">
        <x:f>ABS(F258)</x:f>
        <x:v>0.0025861549745723415</x:v>
      </x:c>
      <x:c r="H258" s="100" t="n">
        <x:f>'Raw Z'!N252</x:f>
        <x:v>0.9402444507198183</x:v>
      </x:c>
      <x:c r="I258" t="b">
        <x:f>'Raw Z'!O252</x:f>
        <x:v>1</x:v>
      </x:c>
      <x:c r="J258" s="100" t="n">
        <x:f>IF(I258,B258,"")</x:f>
        <x:v>-0.009227897213839063</x:v>
      </x:c>
      <x:c r="K258" s="100" t="n">
        <x:f>IF(I258,E258,"")</x:f>
        <x:v>-0.011814052188411405</x:v>
      </x:c>
      <x:c r="L258" s="100" t="n">
        <x:f>IF(I258,G258,"")</x:f>
        <x:v>0.0025861549745723415</x:v>
      </x:c>
      <x:c r="M258" s="100" t="n">
        <x:f>IF(I258,F258^2,"")</x:f>
        <x:v>0.000006688197552505268</x:v>
      </x:c>
      <x:c r="N258" s="100" t="n">
        <x:f>IF(I258,F258,"")</x:f>
        <x:v>-0.0025861549745723415</x:v>
      </x:c>
      <x:c r="P258" t="n">
        <x:f>J258</x:f>
        <x:v>-0.009227897213839063</x:v>
      </x:c>
      <x:c r="Q258" t="n">
        <x:f>K258</x:f>
        <x:v>-0.011814052188411405</x:v>
      </x:c>
    </x:row>
    <x:row r="259">
      <x:c r="A259" s="99" t="str">
        <x:f>'Raw Z'!B253</x:f>
        <x:v>00305</x:v>
      </x:c>
      <x:c r="B259" s="100" t="n">
        <x:f>INDEX('Raw Stations'!$D$2:$D$299,MATCH(A259,'Raw Stations'!$A$2:$A$299,0))</x:f>
        <x:v>-0.007286080607572465</x:v>
      </x:c>
      <x:c r="C259" s="100" t="n">
        <x:f>'Raw Z'!L253</x:f>
        <x:v>-0.02041347854407072</x:v>
      </x:c>
      <x:c r="D259" s="100" t="n">
        <x:f>$B$2</x:f>
        <x:v>-0.0009288398653362757</x:v>
      </x:c>
      <x:c r="E259" s="100" t="n">
        <x:f>C259-D259</x:f>
        <x:v>-0.019484638678734446</x:v>
      </x:c>
      <x:c r="F259" s="100" t="n">
        <x:f>E259-B259</x:f>
        <x:v>-0.01219855807116198</x:v>
      </x:c>
      <x:c r="G259" s="100" t="n">
        <x:f>ABS(F259)</x:f>
        <x:v>0.01219855807116198</x:v>
      </x:c>
      <x:c r="H259" s="100" t="n">
        <x:f>'Raw Z'!N253</x:f>
        <x:v>0.8591088211085061</x:v>
      </x:c>
      <x:c r="I259" t="b">
        <x:f>'Raw Z'!O253</x:f>
        <x:v>1</x:v>
      </x:c>
      <x:c r="J259" s="100" t="n">
        <x:f>IF(I259,B259,"")</x:f>
        <x:v>-0.007286080607572465</x:v>
      </x:c>
      <x:c r="K259" s="100" t="n">
        <x:f>IF(I259,E259,"")</x:f>
        <x:v>-0.019484638678734446</x:v>
      </x:c>
      <x:c r="L259" s="100" t="n">
        <x:f>IF(I259,G259,"")</x:f>
        <x:v>0.01219855807116198</x:v>
      </x:c>
      <x:c r="M259" s="100" t="n">
        <x:f>IF(I259,F259^2,"")</x:f>
        <x:v>0.0001488048190155111</x:v>
      </x:c>
      <x:c r="N259" s="100" t="n">
        <x:f>IF(I259,F259,"")</x:f>
        <x:v>-0.01219855807116198</x:v>
      </x:c>
      <x:c r="P259" t="n">
        <x:f>J259</x:f>
        <x:v>-0.007286080607572465</x:v>
      </x:c>
      <x:c r="Q259" t="n">
        <x:f>K259</x:f>
        <x:v>-0.019484638678734446</x:v>
      </x:c>
    </x:row>
    <x:row r="260">
      <x:c r="A260" s="99" t="str">
        <x:f>'Raw Z'!B254</x:f>
        <x:v>00306</x:v>
      </x:c>
      <x:c r="B260" s="100" t="n">
        <x:f>INDEX('Raw Stations'!$D$2:$D$299,MATCH(A260,'Raw Stations'!$A$2:$A$299,0))</x:f>
        <x:v>-0.005222604197269581</x:v>
      </x:c>
      <x:c r="C260" s="100" t="n">
        <x:f>'Raw Z'!L254</x:f>
        <x:v>-0.007551964750275225</x:v>
      </x:c>
      <x:c r="D260" s="100" t="n">
        <x:f>$B$2</x:f>
        <x:v>-0.0009288398653362757</x:v>
      </x:c>
      <x:c r="E260" s="100" t="n">
        <x:f>C260-D260</x:f>
        <x:v>-0.00662312488493895</x:v>
      </x:c>
      <x:c r="F260" s="100" t="n">
        <x:f>E260-B260</x:f>
        <x:v>-0.0014005206876693682</x:v>
      </x:c>
      <x:c r="G260" s="100" t="n">
        <x:f>ABS(F260)</x:f>
        <x:v>0.0014005206876693682</x:v>
      </x:c>
      <x:c r="H260" s="100" t="n">
        <x:f>'Raw Z'!N254</x:f>
        <x:v>0.933104580366695</x:v>
      </x:c>
      <x:c r="I260" t="b">
        <x:f>'Raw Z'!O254</x:f>
        <x:v>1</x:v>
      </x:c>
      <x:c r="J260" s="100" t="n">
        <x:f>IF(I260,B260,"")</x:f>
        <x:v>-0.005222604197269581</x:v>
      </x:c>
      <x:c r="K260" s="100" t="n">
        <x:f>IF(I260,E260,"")</x:f>
        <x:v>-0.00662312488493895</x:v>
      </x:c>
      <x:c r="L260" s="100" t="n">
        <x:f>IF(I260,G260,"")</x:f>
        <x:v>0.0014005206876693682</x:v>
      </x:c>
      <x:c r="M260" s="100" t="n">
        <x:f>IF(I260,F260^2,"")</x:f>
        <x:v>0.00000196145819658988</x:v>
      </x:c>
      <x:c r="N260" s="100" t="n">
        <x:f>IF(I260,F260,"")</x:f>
        <x:v>-0.0014005206876693682</x:v>
      </x:c>
      <x:c r="P260" t="n">
        <x:f>J260</x:f>
        <x:v>-0.005222604197269581</x:v>
      </x:c>
      <x:c r="Q260" t="n">
        <x:f>K260</x:f>
        <x:v>-0.00662312488493895</x:v>
      </x:c>
    </x:row>
    <x:row r="261">
      <x:c r="A261" s="99" t="str">
        <x:f>'Raw Z'!B255</x:f>
        <x:v>00307</x:v>
      </x:c>
      <x:c r="B261" s="100" t="n">
        <x:f>INDEX('Raw Stations'!$D$2:$D$299,MATCH(A261,'Raw Stations'!$A$2:$A$299,0))</x:f>
        <x:v>-0.006391860789787349</x:v>
      </x:c>
      <x:c r="C261" s="100" t="n">
        <x:f>'Raw Z'!L255</x:f>
        <x:v>0.003941427169956352</x:v>
      </x:c>
      <x:c r="D261" s="100" t="n">
        <x:f>$B$2</x:f>
        <x:v>-0.0009288398653362757</x:v>
      </x:c>
      <x:c r="E261" s="100" t="n">
        <x:f>C261-D261</x:f>
        <x:v>0.0048702670352926275</x:v>
      </x:c>
      <x:c r="F261" s="100" t="n">
        <x:f>E261-B261</x:f>
        <x:v>0.011262127825079977</x:v>
      </x:c>
      <x:c r="G261" s="100" t="n">
        <x:f>ABS(F261)</x:f>
        <x:v>0.011262127825079977</x:v>
      </x:c>
      <x:c r="H261" s="100" t="n">
        <x:f>'Raw Z'!N255</x:f>
        <x:v>0.8916612438244469</x:v>
      </x:c>
      <x:c r="I261" t="b">
        <x:f>'Raw Z'!O255</x:f>
        <x:v>1</x:v>
      </x:c>
      <x:c r="J261" s="100" t="n">
        <x:f>IF(I261,B261,"")</x:f>
        <x:v>-0.006391860789787349</x:v>
      </x:c>
      <x:c r="K261" s="100" t="n">
        <x:f>IF(I261,E261,"")</x:f>
        <x:v>0.0048702670352926275</x:v>
      </x:c>
      <x:c r="L261" s="100" t="n">
        <x:f>IF(I261,G261,"")</x:f>
        <x:v>0.011262127825079977</x:v>
      </x:c>
      <x:c r="M261" s="100" t="n">
        <x:f>IF(I261,F261^2,"")</x:f>
        <x:v>0.00012683552314844064</x:v>
      </x:c>
      <x:c r="N261" s="100" t="n">
        <x:f>IF(I261,F261,"")</x:f>
        <x:v>0.011262127825079977</x:v>
      </x:c>
      <x:c r="P261" t="n">
        <x:f>J261</x:f>
        <x:v>-0.006391860789787349</x:v>
      </x:c>
      <x:c r="Q261" t="n">
        <x:f>K261</x:f>
        <x:v>0.0048702670352926275</x:v>
      </x:c>
    </x:row>
    <x:row r="262">
      <x:c r="A262" s="99" t="str">
        <x:f>'Raw Z'!B256</x:f>
        <x:v>00308</x:v>
      </x:c>
      <x:c r="B262" s="100" t="n">
        <x:f>INDEX('Raw Stations'!$D$2:$D$299,MATCH(A262,'Raw Stations'!$A$2:$A$299,0))</x:f>
        <x:v>-0.008879709383879948</x:v>
      </x:c>
      <x:c r="C262" s="100" t="n">
        <x:f>'Raw Z'!L256</x:f>
        <x:v>0.01260994209058258</x:v>
      </x:c>
      <x:c r="D262" s="100" t="n">
        <x:f>$B$2</x:f>
        <x:v>-0.0009288398653362757</x:v>
      </x:c>
      <x:c r="E262" s="100" t="n">
        <x:f>C262-D262</x:f>
        <x:v>0.013538781955918856</x:v>
      </x:c>
      <x:c r="F262" s="100" t="n">
        <x:f>E262-B262</x:f>
        <x:v>0.022418491339798806</x:v>
      </x:c>
      <x:c r="G262" s="100" t="n">
        <x:f>ABS(F262)</x:f>
        <x:v>0.022418491339798806</x:v>
      </x:c>
      <x:c r="H262" s="100" t="n">
        <x:f>'Raw Z'!N256</x:f>
        <x:v>0.7911417139194211</x:v>
      </x:c>
      <x:c r="I262" t="b">
        <x:f>'Raw Z'!O256</x:f>
        <x:v>1</x:v>
      </x:c>
      <x:c r="J262" s="100" t="n">
        <x:f>IF(I262,B262,"")</x:f>
        <x:v>-0.008879709383879948</x:v>
      </x:c>
      <x:c r="K262" s="100" t="n">
        <x:f>IF(I262,E262,"")</x:f>
        <x:v>0.013538781955918856</x:v>
      </x:c>
      <x:c r="L262" s="100" t="n">
        <x:f>IF(I262,G262,"")</x:f>
        <x:v>0.022418491339798806</x:v>
      </x:c>
      <x:c r="M262" s="100" t="n">
        <x:f>IF(I262,F262^2,"")</x:f>
        <x:v>0.000502588753952634</x:v>
      </x:c>
      <x:c r="N262" s="100" t="n">
        <x:f>IF(I262,F262,"")</x:f>
        <x:v>0.022418491339798806</x:v>
      </x:c>
      <x:c r="P262" t="n">
        <x:f>J262</x:f>
        <x:v>-0.008879709383879948</x:v>
      </x:c>
      <x:c r="Q262" t="n">
        <x:f>K262</x:f>
        <x:v>0.013538781955918856</x:v>
      </x:c>
    </x:row>
    <x:row r="263">
      <x:c r="A263" s="99" t="str">
        <x:f>'Raw Z'!B257</x:f>
        <x:v>00309</x:v>
      </x:c>
      <x:c r="B263" s="100" t="n">
        <x:f>INDEX('Raw Stations'!$D$2:$D$299,MATCH(A263,'Raw Stations'!$A$2:$A$299,0))</x:f>
        <x:v>-0.01297163802101553</x:v>
      </x:c>
      <x:c r="C263" s="100" t="n">
        <x:f>'Raw Z'!L257</x:f>
        <x:v>-0.03621880615849463</x:v>
      </x:c>
      <x:c r="D263" s="100" t="n">
        <x:f>$B$2</x:f>
        <x:v>-0.0009288398653362757</x:v>
      </x:c>
      <x:c r="E263" s="100" t="n">
        <x:f>C263-D263</x:f>
        <x:v>-0.03528996629315836</x:v>
      </x:c>
      <x:c r="F263" s="100" t="n">
        <x:f>E263-B263</x:f>
        <x:v>-0.022318328272142827</x:v>
      </x:c>
      <x:c r="G263" s="100" t="n">
        <x:f>ABS(F263)</x:f>
        <x:v>0.022318328272142827</x:v>
      </x:c>
      <x:c r="H263" s="100" t="n">
        <x:f>'Raw Z'!N257</x:f>
        <x:v>0.6524591241342852</x:v>
      </x:c>
      <x:c r="I263" t="b">
        <x:f>'Raw Z'!O257</x:f>
        <x:v>1</x:v>
      </x:c>
      <x:c r="J263" s="100" t="n">
        <x:f>IF(I263,B263,"")</x:f>
        <x:v>-0.01297163802101553</x:v>
      </x:c>
      <x:c r="K263" s="100" t="n">
        <x:f>IF(I263,E263,"")</x:f>
        <x:v>-0.03528996629315836</x:v>
      </x:c>
      <x:c r="L263" s="100" t="n">
        <x:f>IF(I263,G263,"")</x:f>
        <x:v>0.022318328272142827</x:v>
      </x:c>
      <x:c r="M263" s="100" t="n">
        <x:f>IF(I263,F263^2,"")</x:f>
        <x:v>0.0004981077768631298</x:v>
      </x:c>
      <x:c r="N263" s="100" t="n">
        <x:f>IF(I263,F263,"")</x:f>
        <x:v>-0.022318328272142827</x:v>
      </x:c>
      <x:c r="P263" t="n">
        <x:f>J263</x:f>
        <x:v>-0.01297163802101553</x:v>
      </x:c>
      <x:c r="Q263" t="n">
        <x:f>K263</x:f>
        <x:v>-0.03528996629315836</x:v>
      </x:c>
    </x:row>
    <x:row r="264">
      <x:c r="A264" s="99" t="str">
        <x:f>'Raw Z'!B258</x:f>
        <x:v>00310</x:v>
      </x:c>
      <x:c r="B264" s="100" t="n">
        <x:f>INDEX('Raw Stations'!$D$2:$D$299,MATCH(A264,'Raw Stations'!$A$2:$A$299,0))</x:f>
        <x:v>-0.01048909489834837</x:v>
      </x:c>
      <x:c r="C264" s="100" t="n">
        <x:f>'Raw Z'!L258</x:f>
        <x:v>-0.04766145398070931</x:v>
      </x:c>
      <x:c r="D264" s="100" t="n">
        <x:f>$B$2</x:f>
        <x:v>-0.0009288398653362757</x:v>
      </x:c>
      <x:c r="E264" s="100" t="n">
        <x:f>C264-D264</x:f>
        <x:v>-0.046732614115373036</x:v>
      </x:c>
      <x:c r="F264" s="100" t="n">
        <x:f>E264-B264</x:f>
        <x:v>-0.036243519217024664</x:v>
      </x:c>
      <x:c r="G264" s="100" t="n">
        <x:f>ABS(F264)</x:f>
        <x:v>0.036243519217024664</x:v>
      </x:c>
      <x:c r="H264" s="100" t="n">
        <x:f>'Raw Z'!N258</x:f>
        <x:v>0.9262838675937144</x:v>
      </x:c>
      <x:c r="I264" t="b">
        <x:f>'Raw Z'!O258</x:f>
        <x:v>1</x:v>
      </x:c>
      <x:c r="J264" s="100" t="n">
        <x:f>IF(I264,B264,"")</x:f>
        <x:v>-0.01048909489834837</x:v>
      </x:c>
      <x:c r="K264" s="100" t="n">
        <x:f>IF(I264,E264,"")</x:f>
        <x:v>-0.046732614115373036</x:v>
      </x:c>
      <x:c r="L264" s="100" t="n">
        <x:f>IF(I264,G264,"")</x:f>
        <x:v>0.036243519217024664</x:v>
      </x:c>
      <x:c r="M264" s="100" t="n">
        <x:f>IF(I264,F264^2,"")</x:f>
        <x:v>0.001313592685234836</x:v>
      </x:c>
      <x:c r="N264" s="100" t="n">
        <x:f>IF(I264,F264,"")</x:f>
        <x:v>-0.036243519217024664</x:v>
      </x:c>
      <x:c r="P264" t="n">
        <x:f>J264</x:f>
        <x:v>-0.01048909489834837</x:v>
      </x:c>
      <x:c r="Q264" t="n">
        <x:f>K264</x:f>
        <x:v>-0.046732614115373036</x:v>
      </x:c>
    </x:row>
    <x:row r="265">
      <x:c r="A265" s="99" t="str">
        <x:f>'Raw Z'!B259</x:f>
        <x:v>00311</x:v>
      </x:c>
      <x:c r="B265" s="100" t="n">
        <x:f>INDEX('Raw Stations'!$D$2:$D$299,MATCH(A265,'Raw Stations'!$A$2:$A$299,0))</x:f>
        <x:v>-0.01217582325691082</x:v>
      </x:c>
      <x:c r="C265" s="100" t="n">
        <x:f>'Raw Z'!L259</x:f>
        <x:v>-0.04118504824496153</x:v>
      </x:c>
      <x:c r="D265" s="100" t="n">
        <x:f>$B$2</x:f>
        <x:v>-0.0009288398653362757</x:v>
      </x:c>
      <x:c r="E265" s="100" t="n">
        <x:f>C265-D265</x:f>
        <x:v>-0.040256208379625256</x:v>
      </x:c>
      <x:c r="F265" s="100" t="n">
        <x:f>E265-B265</x:f>
        <x:v>-0.028080385122714435</x:v>
      </x:c>
      <x:c r="G265" s="100" t="n">
        <x:f>ABS(F265)</x:f>
        <x:v>0.028080385122714435</x:v>
      </x:c>
      <x:c r="H265" s="100" t="n">
        <x:f>'Raw Z'!N259</x:f>
        <x:v>0.754063567500556</x:v>
      </x:c>
      <x:c r="I265" t="b">
        <x:f>'Raw Z'!O259</x:f>
        <x:v>1</x:v>
      </x:c>
      <x:c r="J265" s="100" t="n">
        <x:f>IF(I265,B265,"")</x:f>
        <x:v>-0.01217582325691082</x:v>
      </x:c>
      <x:c r="K265" s="100" t="n">
        <x:f>IF(I265,E265,"")</x:f>
        <x:v>-0.040256208379625256</x:v>
      </x:c>
      <x:c r="L265" s="100" t="n">
        <x:f>IF(I265,G265,"")</x:f>
        <x:v>0.028080385122714435</x:v>
      </x:c>
      <x:c r="M265" s="100" t="n">
        <x:f>IF(I265,F265^2,"")</x:f>
        <x:v>0.0007885080286399622</x:v>
      </x:c>
      <x:c r="N265" s="100" t="n">
        <x:f>IF(I265,F265,"")</x:f>
        <x:v>-0.028080385122714435</x:v>
      </x:c>
      <x:c r="P265" t="n">
        <x:f>J265</x:f>
        <x:v>-0.01217582325691082</x:v>
      </x:c>
      <x:c r="Q265" t="n">
        <x:f>K265</x:f>
        <x:v>-0.040256208379625256</x:v>
      </x:c>
    </x:row>
    <x:row r="266">
      <x:c r="A266" s="99" t="str">
        <x:f>'Raw Z'!B260</x:f>
        <x:v>00313</x:v>
      </x:c>
      <x:c r="B266" s="100" t="n">
        <x:f>INDEX('Raw Stations'!$D$2:$D$299,MATCH(A266,'Raw Stations'!$A$2:$A$299,0))</x:f>
        <x:v>-0.01162155019804093</x:v>
      </x:c>
      <x:c r="C266" s="100" t="n">
        <x:f>'Raw Z'!L260</x:f>
        <x:v>-0.01486871833552</x:v>
      </x:c>
      <x:c r="D266" s="100" t="n">
        <x:f>$B$2</x:f>
        <x:v>-0.0009288398653362757</x:v>
      </x:c>
      <x:c r="E266" s="100" t="n">
        <x:f>C266-D266</x:f>
        <x:v>-0.013939878470183725</x:v>
      </x:c>
      <x:c r="F266" s="100" t="n">
        <x:f>E266-B266</x:f>
        <x:v>-0.002318328272142794</x:v>
      </x:c>
      <x:c r="G266" s="100" t="n">
        <x:f>ABS(F266)</x:f>
        <x:v>0.002318328272142794</x:v>
      </x:c>
      <x:c r="H266" s="100" t="n">
        <x:f>'Raw Z'!N260</x:f>
        <x:v>0.767874505528594</x:v>
      </x:c>
      <x:c r="I266" t="b">
        <x:f>'Raw Z'!O260</x:f>
        <x:v>1</x:v>
      </x:c>
      <x:c r="J266" s="100" t="n">
        <x:f>IF(I266,B266,"")</x:f>
        <x:v>-0.01162155019804093</x:v>
      </x:c>
      <x:c r="K266" s="100" t="n">
        <x:f>IF(I266,E266,"")</x:f>
        <x:v>-0.013939878470183725</x:v>
      </x:c>
      <x:c r="L266" s="100" t="n">
        <x:f>IF(I266,G266,"")</x:f>
        <x:v>0.002318328272142794</x:v>
      </x:c>
      <x:c r="M266" s="100" t="n">
        <x:f>IF(I266,F266^2,"")</x:f>
        <x:v>0.000005374645977416593</x:v>
      </x:c>
      <x:c r="N266" s="100" t="n">
        <x:f>IF(I266,F266,"")</x:f>
        <x:v>-0.002318328272142794</x:v>
      </x:c>
      <x:c r="P266" t="n">
        <x:f>J266</x:f>
        <x:v>-0.01162155019804093</x:v>
      </x:c>
      <x:c r="Q266" t="n">
        <x:f>K266</x:f>
        <x:v>-0.013939878470183725</x:v>
      </x:c>
    </x:row>
    <x:row r="267">
      <x:c r="A267" s="99" t="str">
        <x:f>'Raw Z'!B261</x:f>
        <x:v>00314</x:v>
      </x:c>
      <x:c r="B267" s="100" t="n">
        <x:f>INDEX('Raw Stations'!$D$2:$D$299,MATCH(A267,'Raw Stations'!$A$2:$A$299,0))</x:f>
        <x:v>-0.01232253564984412</x:v>
      </x:c>
      <x:c r="C267" s="100" t="n">
        <x:f>'Raw Z'!L261</x:f>
        <x:v>-0.002146071558892543</x:v>
      </x:c>
      <x:c r="D267" s="100" t="n">
        <x:f>$B$2</x:f>
        <x:v>-0.0009288398653362757</x:v>
      </x:c>
      <x:c r="E267" s="100" t="n">
        <x:f>C267-D267</x:f>
        <x:v>-0.0012172316935562676</x:v>
      </x:c>
      <x:c r="F267" s="100" t="n">
        <x:f>E267-B267</x:f>
        <x:v>0.011105303956287853</x:v>
      </x:c>
      <x:c r="G267" s="100" t="n">
        <x:f>ABS(F267)</x:f>
        <x:v>0.011105303956287853</x:v>
      </x:c>
      <x:c r="H267" s="100" t="n">
        <x:f>'Raw Z'!N261</x:f>
        <x:v>0.8526888358987954</x:v>
      </x:c>
      <x:c r="I267" t="b">
        <x:f>'Raw Z'!O261</x:f>
        <x:v>1</x:v>
      </x:c>
      <x:c r="J267" s="100" t="n">
        <x:f>IF(I267,B267,"")</x:f>
        <x:v>-0.01232253564984412</x:v>
      </x:c>
      <x:c r="K267" s="100" t="n">
        <x:f>IF(I267,E267,"")</x:f>
        <x:v>-0.0012172316935562676</x:v>
      </x:c>
      <x:c r="L267" s="100" t="n">
        <x:f>IF(I267,G267,"")</x:f>
        <x:v>0.011105303956287853</x:v>
      </x:c>
      <x:c r="M267" s="100" t="n">
        <x:f>IF(I267,F267^2,"")</x:f>
        <x:v>0.00012332777596154264</x:v>
      </x:c>
      <x:c r="N267" s="100" t="n">
        <x:f>IF(I267,F267,"")</x:f>
        <x:v>0.011105303956287853</x:v>
      </x:c>
      <x:c r="P267" t="n">
        <x:f>J267</x:f>
        <x:v>-0.01232253564984412</x:v>
      </x:c>
      <x:c r="Q267" t="n">
        <x:f>K267</x:f>
        <x:v>-0.0012172316935562676</x:v>
      </x:c>
    </x:row>
    <x:row r="268">
      <x:c r="A268" s="99" t="str">
        <x:f>'Raw Z'!B262</x:f>
        <x:v>00315</x:v>
      </x:c>
      <x:c r="B268" s="100" t="n">
        <x:f>INDEX('Raw Stations'!$D$2:$D$299,MATCH(A268,'Raw Stations'!$A$2:$A$299,0))</x:f>
        <x:v>-0.0150380115223602</x:v>
      </x:c>
      <x:c r="C268" s="100" t="n">
        <x:f>'Raw Z'!L262</x:f>
        <x:v>-0.002285179659839293</x:v>
      </x:c>
      <x:c r="D268" s="100" t="n">
        <x:f>$B$2</x:f>
        <x:v>-0.0009288398653362757</x:v>
      </x:c>
      <x:c r="E268" s="100" t="n">
        <x:f>C268-D268</x:f>
        <x:v>-0.0013563397945030174</x:v>
      </x:c>
      <x:c r="F268" s="100" t="n">
        <x:f>E268-B268</x:f>
        <x:v>0.013681671727857184</x:v>
      </x:c>
      <x:c r="G268" s="100" t="n">
        <x:f>ABS(F268)</x:f>
        <x:v>0.013681671727857184</x:v>
      </x:c>
      <x:c r="H268" s="100" t="n">
        <x:f>'Raw Z'!N262</x:f>
        <x:v>0.9042973203068864</x:v>
      </x:c>
      <x:c r="I268" t="b">
        <x:f>'Raw Z'!O262</x:f>
        <x:v>1</x:v>
      </x:c>
      <x:c r="J268" s="100" t="n">
        <x:f>IF(I268,B268,"")</x:f>
        <x:v>-0.0150380115223602</x:v>
      </x:c>
      <x:c r="K268" s="100" t="n">
        <x:f>IF(I268,E268,"")</x:f>
        <x:v>-0.0013563397945030174</x:v>
      </x:c>
      <x:c r="L268" s="100" t="n">
        <x:f>IF(I268,G268,"")</x:f>
        <x:v>0.013681671727857184</x:v>
      </x:c>
      <x:c r="M268" s="100" t="n">
        <x:f>IF(I268,F268^2,"")</x:f>
        <x:v>0.00018718814126884658</x:v>
      </x:c>
      <x:c r="N268" s="100" t="n">
        <x:f>IF(I268,F268,"")</x:f>
        <x:v>0.013681671727857184</x:v>
      </x:c>
      <x:c r="P268" t="n">
        <x:f>J268</x:f>
        <x:v>-0.0150380115223602</x:v>
      </x:c>
      <x:c r="Q268" t="n">
        <x:f>K268</x:f>
        <x:v>-0.0013563397945030174</x:v>
      </x:c>
    </x:row>
    <x:row r="269">
      <x:c r="A269" s="99" t="str">
        <x:f>'Raw Z'!B263</x:f>
        <x:v>00316</x:v>
      </x:c>
      <x:c r="B269" s="100" t="n">
        <x:f>INDEX('Raw Stations'!$D$2:$D$299,MATCH(A269,'Raw Stations'!$A$2:$A$299,0))</x:f>
        <x:v>-0.01388372554994194</x:v>
      </x:c>
      <x:c r="C269" s="100" t="n">
        <x:f>'Raw Z'!L263</x:f>
        <x:v>0.01086910631257898</x:v>
      </x:c>
      <x:c r="D269" s="100" t="n">
        <x:f>$B$2</x:f>
        <x:v>-0.0009288398653362757</x:v>
      </x:c>
      <x:c r="E269" s="100" t="n">
        <x:f>C269-D269</x:f>
        <x:v>0.011797946177915256</x:v>
      </x:c>
      <x:c r="F269" s="100" t="n">
        <x:f>E269-B269</x:f>
        <x:v>0.025681671727857194</x:v>
      </x:c>
      <x:c r="G269" s="100" t="n">
        <x:f>ABS(F269)</x:f>
        <x:v>0.025681671727857194</x:v>
      </x:c>
      <x:c r="H269" s="100" t="n">
        <x:f>'Raw Z'!N263</x:f>
        <x:v>0.6014590402736137</x:v>
      </x:c>
      <x:c r="I269" t="b">
        <x:f>'Raw Z'!O263</x:f>
        <x:v>1</x:v>
      </x:c>
      <x:c r="J269" s="100" t="n">
        <x:f>IF(I269,B269,"")</x:f>
        <x:v>-0.01388372554994194</x:v>
      </x:c>
      <x:c r="K269" s="100" t="n">
        <x:f>IF(I269,E269,"")</x:f>
        <x:v>0.011797946177915256</x:v>
      </x:c>
      <x:c r="L269" s="100" t="n">
        <x:f>IF(I269,G269,"")</x:f>
        <x:v>0.025681671727857194</x:v>
      </x:c>
      <x:c r="M269" s="100" t="n">
        <x:f>IF(I269,F269^2,"")</x:f>
        <x:v>0.0006595482627374195</x:v>
      </x:c>
      <x:c r="N269" s="100" t="n">
        <x:f>IF(I269,F269,"")</x:f>
        <x:v>0.025681671727857194</x:v>
      </x:c>
      <x:c r="P269" t="n">
        <x:f>J269</x:f>
        <x:v>-0.01388372554994194</x:v>
      </x:c>
      <x:c r="Q269" t="n">
        <x:f>K269</x:f>
        <x:v>0.011797946177915256</x:v>
      </x:c>
    </x:row>
    <x:row r="270">
      <x:c r="A270" s="99" t="str">
        <x:f>'Raw Z'!B264</x:f>
        <x:v>00317</x:v>
      </x:c>
      <x:c r="B270" s="100" t="n">
        <x:f>INDEX('Raw Stations'!$D$2:$D$299,MATCH(A270,'Raw Stations'!$A$2:$A$299,0))</x:f>
        <x:v>-0.01623471446340402</x:v>
      </x:c>
      <x:c r="C270" s="100" t="n">
        <x:f>'Raw Z'!L264</x:f>
        <x:v>-0.02298611094205569</x:v>
      </x:c>
      <x:c r="D270" s="100" t="n">
        <x:f>$B$2</x:f>
        <x:v>-0.0009288398653362757</x:v>
      </x:c>
      <x:c r="E270" s="100" t="n">
        <x:f>C270-D270</x:f>
        <x:v>-0.022057271076719415</x:v>
      </x:c>
      <x:c r="F270" s="100" t="n">
        <x:f>E270-B270</x:f>
        <x:v>-0.0058225566133153946</x:v>
      </x:c>
      <x:c r="G270" s="100" t="n">
        <x:f>ABS(F270)</x:f>
        <x:v>0.0058225566133153946</x:v>
      </x:c>
      <x:c r="H270" s="100" t="n">
        <x:f>'Raw Z'!N264</x:f>
        <x:v>0.7073133427556084</x:v>
      </x:c>
      <x:c r="I270" t="b">
        <x:f>'Raw Z'!O264</x:f>
        <x:v>1</x:v>
      </x:c>
      <x:c r="J270" s="100" t="n">
        <x:f>IF(I270,B270,"")</x:f>
        <x:v>-0.01623471446340402</x:v>
      </x:c>
      <x:c r="K270" s="100" t="n">
        <x:f>IF(I270,E270,"")</x:f>
        <x:v>-0.022057271076719415</x:v>
      </x:c>
      <x:c r="L270" s="100" t="n">
        <x:f>IF(I270,G270,"")</x:f>
        <x:v>0.0058225566133153946</x:v>
      </x:c>
      <x:c r="M270" s="100" t="n">
        <x:f>IF(I270,F270^2,"")</x:f>
        <x:v>0.00003390216551526284</x:v>
      </x:c>
      <x:c r="N270" s="100" t="n">
        <x:f>IF(I270,F270,"")</x:f>
        <x:v>-0.0058225566133153946</x:v>
      </x:c>
      <x:c r="P270" t="n">
        <x:f>J270</x:f>
        <x:v>-0.01623471446340402</x:v>
      </x:c>
      <x:c r="Q270" t="n">
        <x:f>K270</x:f>
        <x:v>-0.022057271076719415</x:v>
      </x:c>
    </x:row>
    <x:row r="271">
      <x:c r="A271" s="99" t="str">
        <x:f>'Raw Z'!B265</x:f>
        <x:v>00318</x:v>
      </x:c>
      <x:c r="B271" s="100" t="n">
        <x:f>INDEX('Raw Stations'!$D$2:$D$299,MATCH(A271,'Raw Stations'!$A$2:$A$299,0))</x:f>
        <x:v>-0.006664318881921125</x:v>
      </x:c>
      <x:c r="C271" s="100" t="n">
        <x:f>'Raw Z'!L265</x:f>
        <x:v>-0.0037536982211758</x:v>
      </x:c>
      <x:c r="D271" s="100" t="n">
        <x:f>$B$2</x:f>
        <x:v>-0.0009288398653362757</x:v>
      </x:c>
      <x:c r="E271" s="100" t="n">
        <x:f>C271-D271</x:f>
        <x:v>-0.0028248583558395245</x:v>
      </x:c>
      <x:c r="F271" s="100" t="n">
        <x:f>E271-B271</x:f>
        <x:v>0.003839460526081601</x:v>
      </x:c>
      <x:c r="G271" s="100" t="n">
        <x:f>ABS(F271)</x:f>
        <x:v>0.003839460526081601</x:v>
      </x:c>
      <x:c r="H271" s="100" t="n">
        <x:f>'Raw Z'!N265</x:f>
        <x:v>0.6926195766978881</x:v>
      </x:c>
      <x:c r="I271" t="b">
        <x:f>'Raw Z'!O265</x:f>
        <x:v>1</x:v>
      </x:c>
      <x:c r="J271" s="100" t="n">
        <x:f>IF(I271,B271,"")</x:f>
        <x:v>-0.006664318881921125</x:v>
      </x:c>
      <x:c r="K271" s="100" t="n">
        <x:f>IF(I271,E271,"")</x:f>
        <x:v>-0.0028248583558395245</x:v>
      </x:c>
      <x:c r="L271" s="100" t="n">
        <x:f>IF(I271,G271,"")</x:f>
        <x:v>0.003839460526081601</x:v>
      </x:c>
      <x:c r="M271" s="100" t="n">
        <x:f>IF(I271,F271^2,"")</x:f>
        <x:v>0.000014741457131338803</x:v>
      </x:c>
      <x:c r="N271" s="100" t="n">
        <x:f>IF(I271,F271,"")</x:f>
        <x:v>0.003839460526081601</x:v>
      </x:c>
      <x:c r="P271" t="n">
        <x:f>J271</x:f>
        <x:v>-0.006664318881921125</x:v>
      </x:c>
      <x:c r="Q271" t="n">
        <x:f>K271</x:f>
        <x:v>-0.0028248583558395245</x:v>
      </x:c>
    </x:row>
    <x:row r="272">
      <x:c r="A272" s="99" t="str">
        <x:f>'Raw Z'!B266</x:f>
        <x:v>00319</x:v>
      </x:c>
      <x:c r="B272" s="100" t="n">
        <x:f>INDEX('Raw Stations'!$D$2:$D$299,MATCH(A272,'Raw Stations'!$A$2:$A$299,0))</x:f>
        <x:v>0.01280611520055321</x:v>
      </x:c>
      <x:c r="C272" s="100" t="n">
        <x:f>'Raw Z'!L266</x:f>
        <x:v>-0.02365242844278692</x:v>
      </x:c>
      <x:c r="D272" s="100" t="n">
        <x:f>$B$2</x:f>
        <x:v>-0.0009288398653362757</x:v>
      </x:c>
      <x:c r="E272" s="100" t="n">
        <x:f>C272-D272</x:f>
        <x:v>-0.022723588577450646</x:v>
      </x:c>
      <x:c r="F272" s="100" t="n">
        <x:f>E272-B272</x:f>
        <x:v>-0.03552970377800385</x:v>
      </x:c>
      <x:c r="G272" s="100" t="n">
        <x:f>ABS(F272)</x:f>
        <x:v>0.03552970377800385</x:v>
      </x:c>
      <x:c r="H272" s="100" t="n">
        <x:f>'Raw Z'!N266</x:f>
        <x:v>0.9364895099095405</x:v>
      </x:c>
      <x:c r="I272" t="b">
        <x:f>'Raw Z'!O266</x:f>
        <x:v>1</x:v>
      </x:c>
      <x:c r="J272" s="100" t="n">
        <x:f>IF(I272,B272,"")</x:f>
        <x:v>0.01280611520055321</x:v>
      </x:c>
      <x:c r="K272" s="100" t="n">
        <x:f>IF(I272,E272,"")</x:f>
        <x:v>-0.022723588577450646</x:v>
      </x:c>
      <x:c r="L272" s="100" t="n">
        <x:f>IF(I272,G272,"")</x:f>
        <x:v>0.03552970377800385</x:v>
      </x:c>
      <x:c r="M272" s="100" t="n">
        <x:f>IF(I272,F272^2,"")</x:f>
        <x:v>0.0012623598505527012</x:v>
      </x:c>
      <x:c r="N272" s="100" t="n">
        <x:f>IF(I272,F272,"")</x:f>
        <x:v>-0.03552970377800385</x:v>
      </x:c>
      <x:c r="P272" t="n">
        <x:f>J272</x:f>
        <x:v>0.01280611520055321</x:v>
      </x:c>
      <x:c r="Q272" t="n">
        <x:f>K272</x:f>
        <x:v>-0.022723588577450646</x:v>
      </x:c>
    </x:row>
    <x:row r="273">
      <x:c r="A273" s="99" t="str">
        <x:f>'Raw Z'!B267</x:f>
        <x:v>00320</x:v>
      </x:c>
      <x:c r="B273" s="100" t="n">
        <x:f>INDEX('Raw Stations'!$D$2:$D$299,MATCH(A273,'Raw Stations'!$A$2:$A$299,0))</x:f>
        <x:v>0.01875491672152585</x:v>
      </x:c>
      <x:c r="C273" s="100" t="n">
        <x:f>'Raw Z'!L267</x:f>
        <x:v>-0.030410499812216</x:v>
      </x:c>
      <x:c r="D273" s="100" t="n">
        <x:f>$B$2</x:f>
        <x:v>-0.0009288398653362757</x:v>
      </x:c>
      <x:c r="E273" s="100" t="n">
        <x:f>C273-D273</x:f>
        <x:v>-0.029481659946879724</x:v>
      </x:c>
      <x:c r="F273" s="100" t="n">
        <x:f>E273-B273</x:f>
        <x:v>-0.04823657666840557</x:v>
      </x:c>
      <x:c r="G273" s="100" t="n">
        <x:f>ABS(F273)</x:f>
        <x:v>0.04823657666840557</x:v>
      </x:c>
      <x:c r="H273" s="100" t="n">
        <x:f>'Raw Z'!N267</x:f>
        <x:v>0.8770290291189685</x:v>
      </x:c>
      <x:c r="I273" t="b">
        <x:f>'Raw Z'!O267</x:f>
        <x:v>1</x:v>
      </x:c>
      <x:c r="J273" s="100" t="n">
        <x:f>IF(I273,B273,"")</x:f>
        <x:v>0.01875491672152585</x:v>
      </x:c>
      <x:c r="K273" s="100" t="n">
        <x:f>IF(I273,E273,"")</x:f>
        <x:v>-0.029481659946879724</x:v>
      </x:c>
      <x:c r="L273" s="100" t="n">
        <x:f>IF(I273,G273,"")</x:f>
        <x:v>0.04823657666840557</x:v>
      </x:c>
      <x:c r="M273" s="100" t="n">
        <x:f>IF(I273,F273^2,"")</x:f>
        <x:v>0.0023267673286869687</x:v>
      </x:c>
      <x:c r="N273" s="100" t="n">
        <x:f>IF(I273,F273,"")</x:f>
        <x:v>-0.04823657666840557</x:v>
      </x:c>
      <x:c r="P273" t="n">
        <x:f>J273</x:f>
        <x:v>0.01875491672152585</x:v>
      </x:c>
      <x:c r="Q273" t="n">
        <x:f>K273</x:f>
        <x:v>-0.029481659946879724</x:v>
      </x:c>
    </x:row>
    <x:row r="274">
      <x:c r="A274" s="99" t="str">
        <x:f>'Raw Z'!B268</x:f>
        <x:v>00321</x:v>
      </x:c>
      <x:c r="B274" s="100" t="n">
        <x:f>INDEX('Raw Stations'!$D$2:$D$299,MATCH(A274,'Raw Stations'!$A$2:$A$299,0))</x:f>
        <x:v>0.01576642139596362</x:v>
      </x:c>
      <x:c r="C274" s="100" t="n">
        <x:f>'Raw Z'!L268</x:f>
        <x:v>-0.02274392712957388</x:v>
      </x:c>
      <x:c r="D274" s="100" t="n">
        <x:f>$B$2</x:f>
        <x:v>-0.0009288398653362757</x:v>
      </x:c>
      <x:c r="E274" s="100" t="n">
        <x:f>C274-D274</x:f>
        <x:v>-0.021815087264237604</x:v>
      </x:c>
      <x:c r="F274" s="100" t="n">
        <x:f>E274-B274</x:f>
        <x:v>-0.03758150866020123</x:v>
      </x:c>
      <x:c r="G274" s="100" t="n">
        <x:f>ABS(F274)</x:f>
        <x:v>0.03758150866020123</x:v>
      </x:c>
      <x:c r="H274" s="100" t="n">
        <x:f>'Raw Z'!N268</x:f>
        <x:v>0.8424396228386689</x:v>
      </x:c>
      <x:c r="I274" t="b">
        <x:f>'Raw Z'!O268</x:f>
        <x:v>1</x:v>
      </x:c>
      <x:c r="J274" s="100" t="n">
        <x:f>IF(I274,B274,"")</x:f>
        <x:v>0.01576642139596362</x:v>
      </x:c>
      <x:c r="K274" s="100" t="n">
        <x:f>IF(I274,E274,"")</x:f>
        <x:v>-0.021815087264237604</x:v>
      </x:c>
      <x:c r="L274" s="100" t="n">
        <x:f>IF(I274,G274,"")</x:f>
        <x:v>0.03758150866020123</x:v>
      </x:c>
      <x:c r="M274" s="100" t="n">
        <x:f>IF(I274,F274^2,"")</x:f>
        <x:v>0.0014123697931767798</x:v>
      </x:c>
      <x:c r="N274" s="100" t="n">
        <x:f>IF(I274,F274,"")</x:f>
        <x:v>-0.03758150866020123</x:v>
      </x:c>
      <x:c r="P274" t="n">
        <x:f>J274</x:f>
        <x:v>0.01576642139596362</x:v>
      </x:c>
      <x:c r="Q274" t="n">
        <x:f>K274</x:f>
        <x:v>-0.021815087264237604</x:v>
      </x:c>
    </x:row>
    <x:row r="275">
      <x:c r="A275" s="99" t="str">
        <x:f>'Raw Z'!B269</x:f>
        <x:v>00322</x:v>
      </x:c>
      <x:c r="B275" s="100" t="n">
        <x:f>INDEX('Raw Stations'!$D$2:$D$299,MATCH(A275,'Raw Stations'!$A$2:$A$299,0))</x:f>
        <x:v>-0.0006372080181001293</x:v>
      </x:c>
      <x:c r="C275" s="100" t="n">
        <x:f>'Raw Z'!L269</x:f>
        <x:v>-0.02251034852553749</x:v>
      </x:c>
      <x:c r="D275" s="100" t="n">
        <x:f>$B$2</x:f>
        <x:v>-0.0009288398653362757</x:v>
      </x:c>
      <x:c r="E275" s="100" t="n">
        <x:f>C275-D275</x:f>
        <x:v>-0.021581508660201216</x:v>
      </x:c>
      <x:c r="F275" s="100" t="n">
        <x:f>E275-B275</x:f>
        <x:v>-0.020944300642101087</x:v>
      </x:c>
      <x:c r="G275" s="100" t="n">
        <x:f>ABS(F275)</x:f>
        <x:v>0.020944300642101087</x:v>
      </x:c>
      <x:c r="H275" s="100" t="n">
        <x:f>'Raw Z'!N269</x:f>
        <x:v>0.9029042497407145</x:v>
      </x:c>
      <x:c r="I275" t="b">
        <x:f>'Raw Z'!O269</x:f>
        <x:v>1</x:v>
      </x:c>
      <x:c r="J275" s="100" t="n">
        <x:f>IF(I275,B275,"")</x:f>
        <x:v>-0.0006372080181001293</x:v>
      </x:c>
      <x:c r="K275" s="100" t="n">
        <x:f>IF(I275,E275,"")</x:f>
        <x:v>-0.021581508660201216</x:v>
      </x:c>
      <x:c r="L275" s="100" t="n">
        <x:f>IF(I275,G275,"")</x:f>
        <x:v>0.020944300642101087</x:v>
      </x:c>
      <x:c r="M275" s="100" t="n">
        <x:f>IF(I275,F275^2,"")</x:f>
        <x:v>0.000438663729386716</x:v>
      </x:c>
      <x:c r="N275" s="100" t="n">
        <x:f>IF(I275,F275,"")</x:f>
        <x:v>-0.020944300642101087</x:v>
      </x:c>
      <x:c r="P275" t="n">
        <x:f>J275</x:f>
        <x:v>-0.0006372080181001293</x:v>
      </x:c>
      <x:c r="Q275" t="n">
        <x:f>K275</x:f>
        <x:v>-0.021581508660201216</x:v>
      </x:c>
    </x:row>
    <x:row r="276">
      <x:c r="A276" s="99" t="str">
        <x:f>'Raw Z'!B270</x:f>
        <x:v>00323</x:v>
      </x:c>
      <x:c r="B276" s="100" t="n">
        <x:f>INDEX('Raw Stations'!$D$2:$D$299,MATCH(A276,'Raw Stations'!$A$2:$A$299,0))</x:f>
        <x:v>-0.01034861347295235</x:v>
      </x:c>
      <x:c r="C276" s="100" t="n">
        <x:f>'Raw Z'!L270</x:f>
        <x:v>0.0003402710956919575</x:v>
      </x:c>
      <x:c r="D276" s="100" t="n">
        <x:f>$B$2</x:f>
        <x:v>-0.0009288398653362757</x:v>
      </x:c>
      <x:c r="E276" s="100" t="n">
        <x:f>C276-D276</x:f>
        <x:v>0.0012691109610282333</x:v>
      </x:c>
      <x:c r="F276" s="100" t="n">
        <x:f>E276-B276</x:f>
        <x:v>0.011617724433980584</x:v>
      </x:c>
      <x:c r="G276" s="100" t="n">
        <x:f>ABS(F276)</x:f>
        <x:v>0.011617724433980584</x:v>
      </x:c>
      <x:c r="H276" s="100" t="n">
        <x:f>'Raw Z'!N270</x:f>
        <x:v>0.9244417489059712</x:v>
      </x:c>
      <x:c r="I276" t="b">
        <x:f>'Raw Z'!O270</x:f>
        <x:v>1</x:v>
      </x:c>
      <x:c r="J276" s="100" t="n">
        <x:f>IF(I276,B276,"")</x:f>
        <x:v>-0.01034861347295235</x:v>
      </x:c>
      <x:c r="K276" s="100" t="n">
        <x:f>IF(I276,E276,"")</x:f>
        <x:v>0.0012691109610282333</x:v>
      </x:c>
      <x:c r="L276" s="100" t="n">
        <x:f>IF(I276,G276,"")</x:f>
        <x:v>0.011617724433980584</x:v>
      </x:c>
      <x:c r="M276" s="100" t="n">
        <x:f>IF(I276,F276^2,"")</x:f>
        <x:v>0.00013497152102390946</x:v>
      </x:c>
      <x:c r="N276" s="100" t="n">
        <x:f>IF(I276,F276,"")</x:f>
        <x:v>0.011617724433980584</x:v>
      </x:c>
      <x:c r="P276" t="n">
        <x:f>J276</x:f>
        <x:v>-0.01034861347295235</x:v>
      </x:c>
      <x:c r="Q276" t="n">
        <x:f>K276</x:f>
        <x:v>0.0012691109610282333</x:v>
      </x:c>
    </x:row>
    <x:row r="277">
      <x:c r="A277" s="99" t="str">
        <x:f>'Raw Z'!B271</x:f>
        <x:v>00324</x:v>
      </x:c>
      <x:c r="B277" s="100" t="n">
        <x:f>INDEX('Raw Stations'!$D$2:$D$299,MATCH(A277,'Raw Stations'!$A$2:$A$299,0))</x:f>
        <x:v>-0.01445806259092991</x:v>
      </x:c>
      <x:c r="C277" s="100" t="n">
        <x:f>'Raw Z'!L271</x:f>
        <x:v>-0.0003312030983672609</x:v>
      </x:c>
      <x:c r="D277" s="100" t="n">
        <x:f>$B$2</x:f>
        <x:v>-0.0009288398653362757</x:v>
      </x:c>
      <x:c r="E277" s="100" t="n">
        <x:f>C277-D277</x:f>
        <x:v>0.0005976367669690148</x:v>
      </x:c>
      <x:c r="F277" s="100" t="n">
        <x:f>E277-B277</x:f>
        <x:v>0.015055699357898925</x:v>
      </x:c>
      <x:c r="G277" s="100" t="n">
        <x:f>ABS(F277)</x:f>
        <x:v>0.015055699357898925</x:v>
      </x:c>
      <x:c r="H277" s="100" t="n">
        <x:f>'Raw Z'!N271</x:f>
        <x:v>0.9038243956751775</x:v>
      </x:c>
      <x:c r="I277" t="b">
        <x:f>'Raw Z'!O271</x:f>
        <x:v>1</x:v>
      </x:c>
      <x:c r="J277" s="100" t="n">
        <x:f>IF(I277,B277,"")</x:f>
        <x:v>-0.01445806259092991</x:v>
      </x:c>
      <x:c r="K277" s="100" t="n">
        <x:f>IF(I277,E277,"")</x:f>
        <x:v>0.0005976367669690148</x:v>
      </x:c>
      <x:c r="L277" s="100" t="n">
        <x:f>IF(I277,G277,"")</x:f>
        <x:v>0.015055699357898925</x:v>
      </x:c>
      <x:c r="M277" s="100" t="n">
        <x:f>IF(I277,F277^2,"")</x:f>
        <x:v>0.00022667408315543808</x:v>
      </x:c>
      <x:c r="N277" s="100" t="n">
        <x:f>IF(I277,F277,"")</x:f>
        <x:v>0.015055699357898925</x:v>
      </x:c>
      <x:c r="P277" t="n">
        <x:f>J277</x:f>
        <x:v>-0.01445806259092991</x:v>
      </x:c>
      <x:c r="Q277" t="n">
        <x:f>K277</x:f>
        <x:v>0.0005976367669690148</x:v>
      </x:c>
    </x:row>
    <x:row r="278">
      <x:c r="A278" s="99" t="str">
        <x:f>'Raw Z'!B272</x:f>
        <x:v>00325</x:v>
      </x:c>
      <x:c r="B278" s="100" t="n">
        <x:f>INDEX('Raw Stations'!$D$2:$D$299,MATCH(A278,'Raw Stations'!$A$2:$A$299,0))</x:f>
        <x:v>-0.01907000131197036</x:v>
      </x:c>
      <x:c r="C278" s="100" t="n">
        <x:f>'Raw Z'!L272</x:f>
        <x:v>0.005464472089638656</x:v>
      </x:c>
      <x:c r="D278" s="100" t="n">
        <x:f>$B$2</x:f>
        <x:v>-0.0009288398653362757</x:v>
      </x:c>
      <x:c r="E278" s="100" t="n">
        <x:f>C278-D278</x:f>
        <x:v>0.006393311954974931</x:v>
      </x:c>
      <x:c r="F278" s="100" t="n">
        <x:f>E278-B278</x:f>
        <x:v>0.02546331326694529</x:v>
      </x:c>
      <x:c r="G278" s="100" t="n">
        <x:f>ABS(F278)</x:f>
        <x:v>0.02546331326694529</x:v>
      </x:c>
      <x:c r="H278" s="100" t="n">
        <x:f>'Raw Z'!N272</x:f>
        <x:v>0.530450375295334</x:v>
      </x:c>
      <x:c r="I278" t="b">
        <x:f>'Raw Z'!O272</x:f>
        <x:v>0</x:v>
      </x:c>
      <x:c r="J278" s="100" t="str">
        <x:f>IF(I278,B278,"")</x:f>
      </x:c>
      <x:c r="K278" s="100" t="str">
        <x:f>IF(I278,E278,"")</x:f>
      </x:c>
      <x:c r="L278" s="100" t="str">
        <x:f>IF(I278,G278,"")</x:f>
      </x:c>
      <x:c r="M278" s="100" t="str">
        <x:f>IF(I278,F278^2,"")</x:f>
      </x:c>
      <x:c r="N278" s="100" t="str">
        <x:f>IF(I278,F278,"")</x:f>
      </x:c>
      <x:c r="P278" t="str">
        <x:f>J278</x:f>
      </x:c>
      <x:c r="Q278" t="str">
        <x:f>K278</x:f>
      </x:c>
    </x:row>
    <x:row r="279">
      <x:c r="A279" s="99" t="str">
        <x:f>'Raw Z'!B273</x:f>
        <x:v>00326</x:v>
      </x:c>
      <x:c r="B279" s="100" t="n">
        <x:f>INDEX('Raw Stations'!$D$2:$D$299,MATCH(A279,'Raw Stations'!$A$2:$A$299,0))</x:f>
        <x:v>-0.01950310810635052</x:v>
      </x:c>
      <x:c r="C279" s="100" t="n">
        <x:f>'Raw Z'!L273</x:f>
        <x:v>-0.006968634704741489</x:v>
      </x:c>
      <x:c r="D279" s="100" t="n">
        <x:f>$B$2</x:f>
        <x:v>-0.0009288398653362757</x:v>
      </x:c>
      <x:c r="E279" s="100" t="n">
        <x:f>C279-D279</x:f>
        <x:v>-0.006039794839405213</x:v>
      </x:c>
      <x:c r="F279" s="100" t="n">
        <x:f>E279-B279</x:f>
        <x:v>0.013463313266945307</x:v>
      </x:c>
      <x:c r="G279" s="100" t="n">
        <x:f>ABS(F279)</x:f>
        <x:v>0.013463313266945307</x:v>
      </x:c>
      <x:c r="H279" s="100" t="n">
        <x:f>'Raw Z'!N273</x:f>
        <x:v>0.8824134174468856</x:v>
      </x:c>
      <x:c r="I279" t="b">
        <x:f>'Raw Z'!O273</x:f>
        <x:v>1</x:v>
      </x:c>
      <x:c r="J279" s="100" t="n">
        <x:f>IF(I279,B279,"")</x:f>
        <x:v>-0.01950310810635052</x:v>
      </x:c>
      <x:c r="K279" s="100" t="n">
        <x:f>IF(I279,E279,"")</x:f>
        <x:v>-0.006039794839405213</x:v>
      </x:c>
      <x:c r="L279" s="100" t="n">
        <x:f>IF(I279,G279,"")</x:f>
        <x:v>0.013463313266945307</x:v>
      </x:c>
      <x:c r="M279" s="100" t="n">
        <x:f>IF(I279,F279^2,"")</x:f>
        <x:v>0.00018126080412390552</x:v>
      </x:c>
      <x:c r="N279" s="100" t="n">
        <x:f>IF(I279,F279,"")</x:f>
        <x:v>0.013463313266945307</x:v>
      </x:c>
      <x:c r="P279" t="n">
        <x:f>J279</x:f>
        <x:v>-0.01950310810635052</x:v>
      </x:c>
      <x:c r="Q279" t="n">
        <x:f>K279</x:f>
        <x:v>-0.006039794839405213</x:v>
      </x:c>
    </x:row>
    <x:row r="280">
      <x:c r="A280" s="99" t="str">
        <x:f>'Raw Z'!B274</x:f>
        <x:v>00327</x:v>
      </x:c>
      <x:c r="B280" s="100" t="n">
        <x:f>INDEX('Raw Stations'!$D$2:$D$299,MATCH(A280,'Raw Stations'!$A$2:$A$299,0))</x:f>
        <x:v>-0.01476917863632569</x:v>
      </x:c>
      <x:c r="C280" s="100" t="n">
        <x:f>'Raw Z'!L274</x:f>
        <x:v>-0.0188787451422609</x:v>
      </x:c>
      <x:c r="D280" s="100" t="n">
        <x:f>$B$2</x:f>
        <x:v>-0.0009288398653362757</x:v>
      </x:c>
      <x:c r="E280" s="100" t="n">
        <x:f>C280-D280</x:f>
        <x:v>-0.017949905276924624</x:v>
      </x:c>
      <x:c r="F280" s="100" t="n">
        <x:f>E280-B280</x:f>
        <x:v>-0.003180726640598935</x:v>
      </x:c>
      <x:c r="G280" s="100" t="n">
        <x:f>ABS(F280)</x:f>
        <x:v>0.003180726640598935</x:v>
      </x:c>
      <x:c r="H280" s="100" t="n">
        <x:f>'Raw Z'!N274</x:f>
        <x:v>0.9887827783336018</x:v>
      </x:c>
      <x:c r="I280" t="b">
        <x:f>'Raw Z'!O274</x:f>
        <x:v>1</x:v>
      </x:c>
      <x:c r="J280" s="100" t="n">
        <x:f>IF(I280,B280,"")</x:f>
        <x:v>-0.01476917863632569</x:v>
      </x:c>
      <x:c r="K280" s="100" t="n">
        <x:f>IF(I280,E280,"")</x:f>
        <x:v>-0.017949905276924624</x:v>
      </x:c>
      <x:c r="L280" s="100" t="n">
        <x:f>IF(I280,G280,"")</x:f>
        <x:v>0.003180726640598935</x:v>
      </x:c>
      <x:c r="M280" s="100" t="n">
        <x:f>IF(I280,F280^2,"")</x:f>
        <x:v>0.000010117021962215786</x:v>
      </x:c>
      <x:c r="N280" s="100" t="n">
        <x:f>IF(I280,F280,"")</x:f>
        <x:v>-0.003180726640598935</x:v>
      </x:c>
      <x:c r="P280" t="n">
        <x:f>J280</x:f>
        <x:v>-0.01476917863632569</x:v>
      </x:c>
      <x:c r="Q280" t="n">
        <x:f>K280</x:f>
        <x:v>-0.017949905276924624</x:v>
      </x:c>
    </x:row>
    <x:row r="281">
      <x:c r="A281" s="99" t="str">
        <x:f>'Raw Z'!B275</x:f>
        <x:v>00328</x:v>
      </x:c>
      <x:c r="B281" s="100" t="n">
        <x:f>INDEX('Raw Stations'!$D$2:$D$299,MATCH(A281,'Raw Stations'!$A$2:$A$299,0))</x:f>
        <x:v>-0.01066612394828562</x:v>
      </x:c>
      <x:c r="C281" s="100" t="n">
        <x:f>'Raw Z'!L275</x:f>
        <x:v>-0.04191329208576472</x:v>
      </x:c>
      <x:c r="D281" s="100" t="n">
        <x:f>$B$2</x:f>
        <x:v>-0.0009288398653362757</x:v>
      </x:c>
      <x:c r="E281" s="100" t="n">
        <x:f>C281-D281</x:f>
        <x:v>-0.040984452220428444</x:v>
      </x:c>
      <x:c r="F281" s="100" t="n">
        <x:f>E281-B281</x:f>
        <x:v>-0.030318328272142824</x:v>
      </x:c>
      <x:c r="G281" s="100" t="n">
        <x:f>ABS(F281)</x:f>
        <x:v>0.030318328272142824</x:v>
      </x:c>
      <x:c r="H281" s="100" t="n">
        <x:f>'Raw Z'!N275</x:f>
        <x:v>0.6368785558179795</x:v>
      </x:c>
      <x:c r="I281" t="b">
        <x:f>'Raw Z'!O275</x:f>
        <x:v>1</x:v>
      </x:c>
      <x:c r="J281" s="100" t="n">
        <x:f>IF(I281,B281,"")</x:f>
        <x:v>-0.01066612394828562</x:v>
      </x:c>
      <x:c r="K281" s="100" t="n">
        <x:f>IF(I281,E281,"")</x:f>
        <x:v>-0.040984452220428444</x:v>
      </x:c>
      <x:c r="L281" s="100" t="n">
        <x:f>IF(I281,G281,"")</x:f>
        <x:v>0.030318328272142824</x:v>
      </x:c>
      <x:c r="M281" s="100" t="n">
        <x:f>IF(I281,F281^2,"")</x:f>
        <x:v>0.0009192010292174149</x:v>
      </x:c>
      <x:c r="N281" s="100" t="n">
        <x:f>IF(I281,F281,"")</x:f>
        <x:v>-0.030318328272142824</x:v>
      </x:c>
      <x:c r="P281" t="n">
        <x:f>J281</x:f>
        <x:v>-0.01066612394828562</x:v>
      </x:c>
      <x:c r="Q281" t="n">
        <x:f>K281</x:f>
        <x:v>-0.040984452220428444</x:v>
      </x:c>
    </x:row>
    <x:row r="282">
      <x:c r="A282" s="99" t="str">
        <x:f>'Raw Z'!B276</x:f>
        <x:v>00329</x:v>
      </x:c>
      <x:c r="B282" s="100" t="n">
        <x:f>INDEX('Raw Stations'!$D$2:$D$299,MATCH(A282,'Raw Stations'!$A$2:$A$299,0))</x:f>
        <x:v>-0.01773332950701884</x:v>
      </x:c>
      <x:c r="C282" s="100" t="n">
        <x:f>'Raw Z'!L276</x:f>
        <x:v>0.008426421832595787</x:v>
      </x:c>
      <x:c r="D282" s="100" t="n">
        <x:f>$B$2</x:f>
        <x:v>-0.0009288398653362757</x:v>
      </x:c>
      <x:c r="E282" s="100" t="n">
        <x:f>C282-D282</x:f>
        <x:v>0.009355261697932063</x:v>
      </x:c>
      <x:c r="F282" s="100" t="n">
        <x:f>E282-B282</x:f>
        <x:v>0.027088591204950902</x:v>
      </x:c>
      <x:c r="G282" s="100" t="n">
        <x:f>ABS(F282)</x:f>
        <x:v>0.027088591204950902</x:v>
      </x:c>
      <x:c r="H282" s="100" t="n">
        <x:f>'Raw Z'!N276</x:f>
        <x:v>0.5817793607999009</x:v>
      </x:c>
      <x:c r="I282" t="b">
        <x:f>'Raw Z'!O276</x:f>
        <x:v>0</x:v>
      </x:c>
      <x:c r="J282" s="100" t="str">
        <x:f>IF(I282,B282,"")</x:f>
      </x:c>
      <x:c r="K282" s="100" t="str">
        <x:f>IF(I282,E282,"")</x:f>
      </x:c>
      <x:c r="L282" s="100" t="str">
        <x:f>IF(I282,G282,"")</x:f>
      </x:c>
      <x:c r="M282" s="100" t="str">
        <x:f>IF(I282,F282^2,"")</x:f>
      </x:c>
      <x:c r="N282" s="100" t="str">
        <x:f>IF(I282,F282,"")</x:f>
      </x:c>
      <x:c r="P282" t="str">
        <x:f>J282</x:f>
      </x:c>
      <x:c r="Q282" t="str">
        <x:f>K282</x:f>
      </x:c>
    </x:row>
    <x:row r="283">
      <x:c r="A283" s="99" t="str">
        <x:f>'Raw Z'!B277</x:f>
        <x:v>00330</x:v>
      </x:c>
      <x:c r="B283" s="100" t="n">
        <x:f>INDEX('Raw Stations'!$D$2:$D$299,MATCH(A283,'Raw Stations'!$A$2:$A$299,0))</x:f>
        <x:v>-0.01004028401482076</x:v>
      </x:c>
      <x:c r="C283" s="100" t="n">
        <x:f>'Raw Z'!L277</x:f>
        <x:v>-0.0007916804934724464</x:v>
      </x:c>
      <x:c r="D283" s="100" t="n">
        <x:f>$B$2</x:f>
        <x:v>-0.0009288398653362757</x:v>
      </x:c>
      <x:c r="E283" s="100" t="n">
        <x:f>C283-D283</x:f>
        <x:v>0.0001371593718638293</x:v>
      </x:c>
      <x:c r="F283" s="100" t="n">
        <x:f>E283-B283</x:f>
        <x:v>0.010177443386684588</x:v>
      </x:c>
      <x:c r="G283" s="100" t="n">
        <x:f>ABS(F283)</x:f>
        <x:v>0.010177443386684588</x:v>
      </x:c>
      <x:c r="H283" s="100" t="n">
        <x:f>'Raw Z'!N277</x:f>
        <x:v>0.7098164529181149</x:v>
      </x:c>
      <x:c r="I283" t="b">
        <x:f>'Raw Z'!O277</x:f>
        <x:v>1</x:v>
      </x:c>
      <x:c r="J283" s="100" t="n">
        <x:f>IF(I283,B283,"")</x:f>
        <x:v>-0.01004028401482076</x:v>
      </x:c>
      <x:c r="K283" s="100" t="n">
        <x:f>IF(I283,E283,"")</x:f>
        <x:v>0.0001371593718638293</x:v>
      </x:c>
      <x:c r="L283" s="100" t="n">
        <x:f>IF(I283,G283,"")</x:f>
        <x:v>0.010177443386684588</x:v>
      </x:c>
      <x:c r="M283" s="100" t="n">
        <x:f>IF(I283,F283^2,"")</x:f>
        <x:v>0.00010358035388916986</x:v>
      </x:c>
      <x:c r="N283" s="100" t="n">
        <x:f>IF(I283,F283,"")</x:f>
        <x:v>0.010177443386684588</x:v>
      </x:c>
      <x:c r="P283" t="n">
        <x:f>J283</x:f>
        <x:v>-0.01004028401482076</x:v>
      </x:c>
      <x:c r="Q283" t="n">
        <x:f>K283</x:f>
        <x:v>0.0001371593718638293</x:v>
      </x:c>
    </x:row>
    <x:row r="284">
      <x:c r="A284" s="99" t="str">
        <x:f>'Raw Z'!B278</x:f>
        <x:v>00332</x:v>
      </x:c>
      <x:c r="B284" s="100" t="n">
        <x:f>INDEX('Raw Stations'!$D$2:$D$299,MATCH(A284,'Raw Stations'!$A$2:$A$299,0))</x:f>
        <x:v>-0.01415398331025103</x:v>
      </x:c>
      <x:c r="C284" s="100" t="n">
        <x:f>'Raw Z'!L278</x:f>
        <x:v>0.003094620211097299</x:v>
      </x:c>
      <x:c r="D284" s="100" t="n">
        <x:f>$B$2</x:f>
        <x:v>-0.0009288398653362757</x:v>
      </x:c>
      <x:c r="E284" s="100" t="n">
        <x:f>C284-D284</x:f>
        <x:v>0.004023460076433575</x:v>
      </x:c>
      <x:c r="F284" s="100" t="n">
        <x:f>E284-B284</x:f>
        <x:v>0.018177443386684606</x:v>
      </x:c>
      <x:c r="G284" s="100" t="n">
        <x:f>ABS(F284)</x:f>
        <x:v>0.018177443386684606</x:v>
      </x:c>
      <x:c r="H284" s="100" t="n">
        <x:f>'Raw Z'!N278</x:f>
        <x:v>0.7340917198221784</x:v>
      </x:c>
      <x:c r="I284" t="b">
        <x:f>'Raw Z'!O278</x:f>
        <x:v>1</x:v>
      </x:c>
      <x:c r="J284" s="100" t="n">
        <x:f>IF(I284,B284,"")</x:f>
        <x:v>-0.01415398331025103</x:v>
      </x:c>
      <x:c r="K284" s="100" t="n">
        <x:f>IF(I284,E284,"")</x:f>
        <x:v>0.004023460076433575</x:v>
      </x:c>
      <x:c r="L284" s="100" t="n">
        <x:f>IF(I284,G284,"")</x:f>
        <x:v>0.018177443386684606</x:v>
      </x:c>
      <x:c r="M284" s="100" t="n">
        <x:f>IF(I284,F284^2,"")</x:f>
        <x:v>0.00033041944807612393</x:v>
      </x:c>
      <x:c r="N284" s="100" t="n">
        <x:f>IF(I284,F284,"")</x:f>
        <x:v>0.018177443386684606</x:v>
      </x:c>
      <x:c r="P284" t="n">
        <x:f>J284</x:f>
        <x:v>-0.01415398331025103</x:v>
      </x:c>
      <x:c r="Q284" t="n">
        <x:f>K284</x:f>
        <x:v>0.004023460076433575</x:v>
      </x:c>
    </x:row>
    <x:row r="285">
      <x:c r="A285" s="99" t="str">
        <x:f>'Raw Z'!B279</x:f>
        <x:v>00333</x:v>
      </x:c>
      <x:c r="B285" s="100" t="n">
        <x:f>INDEX('Raw Stations'!$D$2:$D$299,MATCH(A285,'Raw Stations'!$A$2:$A$299,0))</x:f>
        <x:v>-0.01646721276301886</x:v>
      </x:c>
      <x:c r="C285" s="100" t="n">
        <x:f>'Raw Z'!L279</x:f>
        <x:v>0.0050224387114437</x:v>
      </x:c>
      <x:c r="D285" s="100" t="n">
        <x:f>$B$2</x:f>
        <x:v>-0.0009288398653362757</x:v>
      </x:c>
      <x:c r="E285" s="100" t="n">
        <x:f>C285-D285</x:f>
        <x:v>0.005951278576779975</x:v>
      </x:c>
      <x:c r="F285" s="100" t="n">
        <x:f>E285-B285</x:f>
        <x:v>0.022418491339798834</x:v>
      </x:c>
      <x:c r="G285" s="100" t="n">
        <x:f>ABS(F285)</x:f>
        <x:v>0.022418491339798834</x:v>
      </x:c>
      <x:c r="H285" s="100" t="n">
        <x:f>'Raw Z'!N279</x:f>
        <x:v>0.6478080934933702</x:v>
      </x:c>
      <x:c r="I285" t="b">
        <x:f>'Raw Z'!O279</x:f>
        <x:v>1</x:v>
      </x:c>
      <x:c r="J285" s="100" t="n">
        <x:f>IF(I285,B285,"")</x:f>
        <x:v>-0.01646721276301886</x:v>
      </x:c>
      <x:c r="K285" s="100" t="n">
        <x:f>IF(I285,E285,"")</x:f>
        <x:v>0.005951278576779975</x:v>
      </x:c>
      <x:c r="L285" s="100" t="n">
        <x:f>IF(I285,G285,"")</x:f>
        <x:v>0.022418491339798834</x:v>
      </x:c>
      <x:c r="M285" s="100" t="n">
        <x:f>IF(I285,F285^2,"")</x:f>
        <x:v>0.0005025887539526353</x:v>
      </x:c>
      <x:c r="N285" s="100" t="n">
        <x:f>IF(I285,F285,"")</x:f>
        <x:v>0.022418491339798834</x:v>
      </x:c>
      <x:c r="P285" t="n">
        <x:f>J285</x:f>
        <x:v>-0.01646721276301886</x:v>
      </x:c>
      <x:c r="Q285" t="n">
        <x:f>K285</x:f>
        <x:v>0.005951278576779975</x:v>
      </x:c>
    </x:row>
  </x:sheetData>
  <x:mergeCells>
    <x:mergeCell ref="A1:I1"/>
    <x:mergeCell ref="A5:I5"/>
  </x:mergeCells>
  <x:conditionalFormatting sqref="G8:G28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bead3bf2ee6a4d43"/>
  <x:tableParts count="1">
    <x:tablePart xmlns:r="http://schemas.openxmlformats.org/officeDocument/2006/relationships" r:id="R275ee0f78f024e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6" hidden="0" customWidth="1"/>
    <x:col min="5" max="5" width="20" hidden="0" customWidth="1"/>
    <x:col min="6" max="6" width="9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8" hidden="0" customWidth="1"/>
    <x:col min="12" max="12" width="22" hidden="0" customWidth="1"/>
    <x:col min="13" max="13" width="12" hidden="0" customWidth="1"/>
    <x:col min="14" max="14" width="16" hidden="0" customWidth="1"/>
    <x:col min="15" max="15" width="17" hidden="0" customWidth="1"/>
    <x:col min="16" max="16" width="55" hidden="0" customWidth="1"/>
  </x:cols>
  <x:sheetData>
    <x:row r="1" ht="30" customHeight="1">
      <x:c r="A1" s="14" t="str">
        <x:v>event_id</x:v>
      </x:c>
      <x:c r="B1" s="15" t="str">
        <x:v>station</x:v>
      </x:c>
      <x:c r="C1" s="15" t="str">
        <x:v>component</x:v>
      </x:c>
      <x:c r="D1" s="15" t="str">
        <x:v>catalog_shift_component</x:v>
      </x:c>
      <x:c r="E1" s="15" t="str">
        <x:v>catalog_time_shift_column</x:v>
      </x:c>
      <x:c r="F1" s="15" t="str">
        <x:v>phase</x:v>
      </x:c>
      <x:c r="G1" s="15" t="str">
        <x:v>frequency_min_hz</x:v>
      </x:c>
      <x:c r="H1" s="15" t="str">
        <x:v>frequency_max_hz</x:v>
      </x:c>
      <x:c r="I1" s="15" t="str">
        <x:v>sample_rate_hz</x:v>
      </x:c>
      <x:c r="J1" s="15" t="str">
        <x:v>measured_shift_seconds</x:v>
      </x:c>
      <x:c r="K1" s="15" t="str">
        <x:v>predicted_shift_seconds</x:v>
      </x:c>
      <x:c r="L1" s="15" t="str">
        <x:v>shift_relative_to_predicted_seconds</x:v>
      </x:c>
      <x:c r="M1" s="15" t="str">
        <x:v>lag_samples</x:v>
      </x:c>
      <x:c r="N1" s="15" t="str">
        <x:v>station_correlation</x:v>
      </x:c>
      <x:c r="O1" s="15" t="str">
        <x:v>passed_window_correlation</x:v>
      </x:c>
      <x:c r="P1" s="16" t="str">
        <x:v>source_output_dir</x:v>
      </x:c>
    </x:row>
    <x:row r="2">
      <x:c r="A2" t="str">
        <x:v>CI_40353552</x:v>
      </x:c>
      <x:c r="B2" s="99" t="str">
        <x:v>00036</x:v>
      </x:c>
      <x:c r="C2" t="str">
        <x:v>R</x:v>
      </x:c>
      <x:c r="D2" t="str">
        <x:v>R</x:v>
      </x:c>
      <x:c r="E2" t="str">
        <x:v>time shift</x:v>
      </x:c>
      <x:c r="F2" t="str">
        <x:v>S</x:v>
      </x:c>
      <x:c r="G2" s="100" t="n">
        <x:v>3</x:v>
      </x:c>
      <x:c r="H2" s="100" t="n">
        <x:v>10</x:v>
      </x:c>
      <x:c r="I2" s="100" t="n">
        <x:v>250</x:v>
      </x:c>
      <x:c r="J2" s="100" t="n">
        <x:v>-0.272</x:v>
      </x:c>
      <x:c r="K2" s="100" t="n">
        <x:v>-0.2547664721342109</x:v>
      </x:c>
      <x:c r="L2" s="100" t="n">
        <x:v>-0.01723352786578913</x:v>
      </x:c>
      <x:c r="M2" s="100" t="n">
        <x:v>-68</x:v>
      </x:c>
      <x:c r="N2" s="100" t="n">
        <x:v>0.9448306595993629</x:v>
      </x:c>
      <x:c r="O2" s="101" t="b">
        <x:v>1</x:v>
      </x:c>
      <x:c r="P2" t="str">
        <x:v>/Users/jvidale/Documents/Research/FaultScanR/output/20260722_181326_2487/CI_40353552</x:v>
      </x:c>
    </x:row>
    <x:row r="3">
      <x:c r="A3" t="str">
        <x:v>CI_40353552</x:v>
      </x:c>
      <x:c r="B3" s="99" t="str">
        <x:v>00037</x:v>
      </x:c>
      <x:c r="C3" t="str">
        <x:v>R</x:v>
      </x:c>
      <x:c r="D3" t="str">
        <x:v>R</x:v>
      </x:c>
      <x:c r="E3" t="str">
        <x:v>time shift</x:v>
      </x:c>
      <x:c r="F3" t="str">
        <x:v>S</x:v>
      </x:c>
      <x:c r="G3" s="100" t="n">
        <x:v>3</x:v>
      </x:c>
      <x:c r="H3" s="100" t="n">
        <x:v>10</x:v>
      </x:c>
      <x:c r="I3" s="100" t="n">
        <x:v>250</x:v>
      </x:c>
      <x:c r="J3" s="100" t="n">
        <x:v>-0.256</x:v>
      </x:c>
      <x:c r="K3" s="100" t="n">
        <x:v>-0.2468390462355803</x:v>
      </x:c>
      <x:c r="L3" s="100" t="n">
        <x:v>-0.009160953764419721</x:v>
      </x:c>
      <x:c r="M3" s="100" t="n">
        <x:v>-64</x:v>
      </x:c>
      <x:c r="N3" s="100" t="n">
        <x:v>0.9846487196798428</x:v>
      </x:c>
      <x:c r="O3" s="101" t="b">
        <x:v>1</x:v>
      </x:c>
      <x:c r="P3" t="str">
        <x:v>/Users/jvidale/Documents/Research/FaultScanR/output/20260722_181326_2487/CI_40353552</x:v>
      </x:c>
    </x:row>
    <x:row r="4">
      <x:c r="A4" t="str">
        <x:v>CI_40353552</x:v>
      </x:c>
      <x:c r="B4" s="99" t="str">
        <x:v>00038</x:v>
      </x:c>
      <x:c r="C4" t="str">
        <x:v>R</x:v>
      </x:c>
      <x:c r="D4" t="str">
        <x:v>R</x:v>
      </x:c>
      <x:c r="E4" t="str">
        <x:v>time shift</x:v>
      </x:c>
      <x:c r="F4" t="str">
        <x:v>S</x:v>
      </x:c>
      <x:c r="G4" s="100" t="n">
        <x:v>3</x:v>
      </x:c>
      <x:c r="H4" s="100" t="n">
        <x:v>10</x:v>
      </x:c>
      <x:c r="I4" s="100" t="n">
        <x:v>250</x:v>
      </x:c>
      <x:c r="J4" s="100" t="n">
        <x:v>-0.252</x:v>
      </x:c>
      <x:c r="K4" s="100" t="n">
        <x:v>-0.2390363949647361</x:v>
      </x:c>
      <x:c r="L4" s="100" t="n">
        <x:v>-0.01296360503526395</x:v>
      </x:c>
      <x:c r="M4" s="100" t="n">
        <x:v>-63</x:v>
      </x:c>
      <x:c r="N4" s="100" t="n">
        <x:v>0.9885476060249726</x:v>
      </x:c>
      <x:c r="O4" s="101" t="b">
        <x:v>1</x:v>
      </x:c>
      <x:c r="P4" t="str">
        <x:v>/Users/jvidale/Documents/Research/FaultScanR/output/20260722_181326_2487/CI_40353552</x:v>
      </x:c>
    </x:row>
    <x:row r="5">
      <x:c r="A5" t="str">
        <x:v>CI_40353552</x:v>
      </x:c>
      <x:c r="B5" s="99" t="str">
        <x:v>00039</x:v>
      </x:c>
      <x:c r="C5" t="str">
        <x:v>R</x:v>
      </x:c>
      <x:c r="D5" t="str">
        <x:v>R</x:v>
      </x:c>
      <x:c r="E5" t="str">
        <x:v>time shift</x:v>
      </x:c>
      <x:c r="F5" t="str">
        <x:v>S</x:v>
      </x:c>
      <x:c r="G5" s="100" t="n">
        <x:v>3</x:v>
      </x:c>
      <x:c r="H5" s="100" t="n">
        <x:v>10</x:v>
      </x:c>
      <x:c r="I5" s="100" t="n">
        <x:v>250</x:v>
      </x:c>
      <x:c r="J5" s="100" t="n">
        <x:v>-0.248</x:v>
      </x:c>
      <x:c r="K5" s="100" t="n">
        <x:v>-0.2323917735429593</x:v>
      </x:c>
      <x:c r="L5" s="100" t="n">
        <x:v>-0.01560822645704074</x:v>
      </x:c>
      <x:c r="M5" s="100" t="n">
        <x:v>-62</x:v>
      </x:c>
      <x:c r="N5" s="100" t="n">
        <x:v>0.9567589168506458</x:v>
      </x:c>
      <x:c r="O5" s="101" t="b">
        <x:v>1</x:v>
      </x:c>
      <x:c r="P5" t="str">
        <x:v>/Users/jvidale/Documents/Research/FaultScanR/output/20260722_181326_2487/CI_40353552</x:v>
      </x:c>
    </x:row>
    <x:row r="6">
      <x:c r="A6" t="str">
        <x:v>CI_40353552</x:v>
      </x:c>
      <x:c r="B6" s="99" t="str">
        <x:v>00040</x:v>
      </x:c>
      <x:c r="C6" t="str">
        <x:v>R</x:v>
      </x:c>
      <x:c r="D6" t="str">
        <x:v>R</x:v>
      </x:c>
      <x:c r="E6" t="str">
        <x:v>time shift</x:v>
      </x:c>
      <x:c r="F6" t="str">
        <x:v>S</x:v>
      </x:c>
      <x:c r="G6" s="100" t="n">
        <x:v>3</x:v>
      </x:c>
      <x:c r="H6" s="100" t="n">
        <x:v>10</x:v>
      </x:c>
      <x:c r="I6" s="100" t="n">
        <x:v>250</x:v>
      </x:c>
      <x:c r="J6" s="100" t="n">
        <x:v>-0.24</x:v>
      </x:c>
      <x:c r="K6" s="100" t="n">
        <x:v>-0.2226258271537462</x:v>
      </x:c>
      <x:c r="L6" s="100" t="n">
        <x:v>-0.01737417284625375</x:v>
      </x:c>
      <x:c r="M6" s="100" t="n">
        <x:v>-60</x:v>
      </x:c>
      <x:c r="N6" s="100" t="n">
        <x:v>0.9655547373907961</x:v>
      </x:c>
      <x:c r="O6" s="101" t="b">
        <x:v>1</x:v>
      </x:c>
      <x:c r="P6" t="str">
        <x:v>/Users/jvidale/Documents/Research/FaultScanR/output/20260722_181326_2487/CI_40353552</x:v>
      </x:c>
    </x:row>
    <x:row r="7">
      <x:c r="A7" t="str">
        <x:v>CI_40353552</x:v>
      </x:c>
      <x:c r="B7" s="99" t="str">
        <x:v>00041</x:v>
      </x:c>
      <x:c r="C7" t="str">
        <x:v>R</x:v>
      </x:c>
      <x:c r="D7" t="str">
        <x:v>R</x:v>
      </x:c>
      <x:c r="E7" t="str">
        <x:v>time shift</x:v>
      </x:c>
      <x:c r="F7" t="str">
        <x:v>S</x:v>
      </x:c>
      <x:c r="G7" s="100" t="n">
        <x:v>3</x:v>
      </x:c>
      <x:c r="H7" s="100" t="n">
        <x:v>10</x:v>
      </x:c>
      <x:c r="I7" s="100" t="n">
        <x:v>250</x:v>
      </x:c>
      <x:c r="J7" s="100" t="n">
        <x:v>-0.228</x:v>
      </x:c>
      <x:c r="K7" s="100" t="n">
        <x:v>-0.2145710447839084</x:v>
      </x:c>
      <x:c r="L7" s="100" t="n">
        <x:v>-0.01342895521609158</x:v>
      </x:c>
      <x:c r="M7" s="100" t="n">
        <x:v>-57</x:v>
      </x:c>
      <x:c r="N7" s="100" t="n">
        <x:v>0.9467278011918031</x:v>
      </x:c>
      <x:c r="O7" s="101" t="b">
        <x:v>1</x:v>
      </x:c>
      <x:c r="P7" t="str">
        <x:v>/Users/jvidale/Documents/Research/FaultScanR/output/20260722_181326_2487/CI_40353552</x:v>
      </x:c>
    </x:row>
    <x:row r="8">
      <x:c r="A8" t="str">
        <x:v>CI_40353552</x:v>
      </x:c>
      <x:c r="B8" s="99" t="str">
        <x:v>00042</x:v>
      </x:c>
      <x:c r="C8" t="str">
        <x:v>R</x:v>
      </x:c>
      <x:c r="D8" t="str">
        <x:v>R</x:v>
      </x:c>
      <x:c r="E8" t="str">
        <x:v>time shift</x:v>
      </x:c>
      <x:c r="F8" t="str">
        <x:v>S</x:v>
      </x:c>
      <x:c r="G8" s="100" t="n">
        <x:v>3</x:v>
      </x:c>
      <x:c r="H8" s="100" t="n">
        <x:v>10</x:v>
      </x:c>
      <x:c r="I8" s="100" t="n">
        <x:v>250</x:v>
      </x:c>
      <x:c r="J8" s="100" t="n">
        <x:v>-0.216</x:v>
      </x:c>
      <x:c r="K8" s="100" t="n">
        <x:v>-0.2048751343477386</x:v>
      </x:c>
      <x:c r="L8" s="100" t="n">
        <x:v>-0.01112486565226137</x:v>
      </x:c>
      <x:c r="M8" s="100" t="n">
        <x:v>-54</x:v>
      </x:c>
      <x:c r="N8" s="100" t="n">
        <x:v>0.9522674562306476</x:v>
      </x:c>
      <x:c r="O8" s="101" t="b">
        <x:v>1</x:v>
      </x:c>
      <x:c r="P8" t="str">
        <x:v>/Users/jvidale/Documents/Research/FaultScanR/output/20260722_181326_2487/CI_40353552</x:v>
      </x:c>
    </x:row>
    <x:row r="9">
      <x:c r="A9" t="str">
        <x:v>CI_40353552</x:v>
      </x:c>
      <x:c r="B9" s="99" t="str">
        <x:v>00043</x:v>
      </x:c>
      <x:c r="C9" t="str">
        <x:v>R</x:v>
      </x:c>
      <x:c r="D9" t="str">
        <x:v>R</x:v>
      </x:c>
      <x:c r="E9" t="str">
        <x:v>time shift</x:v>
      </x:c>
      <x:c r="F9" t="str">
        <x:v>S</x:v>
      </x:c>
      <x:c r="G9" s="100" t="n">
        <x:v>3</x:v>
      </x:c>
      <x:c r="H9" s="100" t="n">
        <x:v>10</x:v>
      </x:c>
      <x:c r="I9" s="100" t="n">
        <x:v>250</x:v>
      </x:c>
      <x:c r="J9" s="100" t="n">
        <x:v>-0.204</x:v>
      </x:c>
      <x:c r="K9" s="100" t="n">
        <x:v>-0.1963559918104218</x:v>
      </x:c>
      <x:c r="L9" s="100" t="n">
        <x:v>-0.007644008189578139</x:v>
      </x:c>
      <x:c r="M9" s="100" t="n">
        <x:v>-51</x:v>
      </x:c>
      <x:c r="N9" s="100" t="n">
        <x:v>0.989843176633823</x:v>
      </x:c>
      <x:c r="O9" s="101" t="b">
        <x:v>1</x:v>
      </x:c>
      <x:c r="P9" t="str">
        <x:v>/Users/jvidale/Documents/Research/FaultScanR/output/20260722_181326_2487/CI_40353552</x:v>
      </x:c>
    </x:row>
    <x:row r="10">
      <x:c r="A10" t="str">
        <x:v>CI_40353552</x:v>
      </x:c>
      <x:c r="B10" s="99" t="str">
        <x:v>00044</x:v>
      </x:c>
      <x:c r="C10" t="str">
        <x:v>R</x:v>
      </x:c>
      <x:c r="D10" t="str">
        <x:v>R</x:v>
      </x:c>
      <x:c r="E10" t="str">
        <x:v>time shift</x:v>
      </x:c>
      <x:c r="F10" t="str">
        <x:v>S</x:v>
      </x:c>
      <x:c r="G10" s="100" t="n">
        <x:v>3</x:v>
      </x:c>
      <x:c r="H10" s="100" t="n">
        <x:v>10</x:v>
      </x:c>
      <x:c r="I10" s="100" t="n">
        <x:v>250</x:v>
      </x:c>
      <x:c r="J10" s="100" t="n">
        <x:v>-0.196</x:v>
      </x:c>
      <x:c r="K10" s="100" t="n">
        <x:v>-0.1867634635137048</x:v>
      </x:c>
      <x:c r="L10" s="100" t="n">
        <x:v>-0.009236536486295244</x:v>
      </x:c>
      <x:c r="M10" s="100" t="n">
        <x:v>-49</x:v>
      </x:c>
      <x:c r="N10" s="100" t="n">
        <x:v>0.9975876164829043</x:v>
      </x:c>
      <x:c r="O10" s="101" t="b">
        <x:v>1</x:v>
      </x:c>
      <x:c r="P10" t="str">
        <x:v>/Users/jvidale/Documents/Research/FaultScanR/output/20260722_181326_2487/CI_40353552</x:v>
      </x:c>
    </x:row>
    <x:row r="11">
      <x:c r="A11" t="str">
        <x:v>CI_40353552</x:v>
      </x:c>
      <x:c r="B11" s="99" t="str">
        <x:v>00045</x:v>
      </x:c>
      <x:c r="C11" t="str">
        <x:v>R</x:v>
      </x:c>
      <x:c r="D11" t="str">
        <x:v>R</x:v>
      </x:c>
      <x:c r="E11" t="str">
        <x:v>time shift</x:v>
      </x:c>
      <x:c r="F11" t="str">
        <x:v>S</x:v>
      </x:c>
      <x:c r="G11" s="100" t="n">
        <x:v>3</x:v>
      </x:c>
      <x:c r="H11" s="100" t="n">
        <x:v>10</x:v>
      </x:c>
      <x:c r="I11" s="100" t="n">
        <x:v>250</x:v>
      </x:c>
      <x:c r="J11" s="100" t="n">
        <x:v>-0.172</x:v>
      </x:c>
      <x:c r="K11" s="100" t="n">
        <x:v>-0.1779042567380795</x:v>
      </x:c>
      <x:c r="L11" s="100" t="n">
        <x:v>0.005904256738079539</x:v>
      </x:c>
      <x:c r="M11" s="100" t="n">
        <x:v>-43</x:v>
      </x:c>
      <x:c r="N11" s="100" t="n">
        <x:v>0.9667194569053343</x:v>
      </x:c>
      <x:c r="O11" s="101" t="b">
        <x:v>1</x:v>
      </x:c>
      <x:c r="P11" t="str">
        <x:v>/Users/jvidale/Documents/Research/FaultScanR/output/20260722_181326_2487/CI_40353552</x:v>
      </x:c>
    </x:row>
    <x:row r="12">
      <x:c r="A12" t="str">
        <x:v>CI_40353552</x:v>
      </x:c>
      <x:c r="B12" s="99" t="str">
        <x:v>00046</x:v>
      </x:c>
      <x:c r="C12" t="str">
        <x:v>R</x:v>
      </x:c>
      <x:c r="D12" t="str">
        <x:v>R</x:v>
      </x:c>
      <x:c r="E12" t="str">
        <x:v>time shift</x:v>
      </x:c>
      <x:c r="F12" t="str">
        <x:v>S</x:v>
      </x:c>
      <x:c r="G12" s="100" t="n">
        <x:v>3</x:v>
      </x:c>
      <x:c r="H12" s="100" t="n">
        <x:v>10</x:v>
      </x:c>
      <x:c r="I12" s="100" t="n">
        <x:v>250</x:v>
      </x:c>
      <x:c r="J12" s="100" t="n">
        <x:v>-0.164</x:v>
      </x:c>
      <x:c r="K12" s="100" t="n">
        <x:v>-0.1704831248803433</x:v>
      </x:c>
      <x:c r="L12" s="100" t="n">
        <x:v>0.006483124880343333</x:v>
      </x:c>
      <x:c r="M12" s="100" t="n">
        <x:v>-41</x:v>
      </x:c>
      <x:c r="N12" s="100" t="n">
        <x:v>0.9524055154912634</x:v>
      </x:c>
      <x:c r="O12" s="101" t="b">
        <x:v>1</x:v>
      </x:c>
      <x:c r="P12" t="str">
        <x:v>/Users/jvidale/Documents/Research/FaultScanR/output/20260722_181326_2487/CI_40353552</x:v>
      </x:c>
    </x:row>
    <x:row r="13">
      <x:c r="A13" t="str">
        <x:v>CI_40353552</x:v>
      </x:c>
      <x:c r="B13" s="99" t="str">
        <x:v>00047</x:v>
      </x:c>
      <x:c r="C13" t="str">
        <x:v>R</x:v>
      </x:c>
      <x:c r="D13" t="str">
        <x:v>R</x:v>
      </x:c>
      <x:c r="E13" t="str">
        <x:v>time shift</x:v>
      </x:c>
      <x:c r="F13" t="str">
        <x:v>S</x:v>
      </x:c>
      <x:c r="G13" s="100" t="n">
        <x:v>3</x:v>
      </x:c>
      <x:c r="H13" s="100" t="n">
        <x:v>10</x:v>
      </x:c>
      <x:c r="I13" s="100" t="n">
        <x:v>250</x:v>
      </x:c>
      <x:c r="J13" s="100" t="n">
        <x:v>-0.164</x:v>
      </x:c>
      <x:c r="K13" s="100" t="n">
        <x:v>-0.1614565730369311</x:v>
      </x:c>
      <x:c r="L13" s="100" t="n">
        <x:v>-0.002543426963068945</x:v>
      </x:c>
      <x:c r="M13" s="100" t="n">
        <x:v>-41</x:v>
      </x:c>
      <x:c r="N13" s="100" t="n">
        <x:v>0.9921160257763777</x:v>
      </x:c>
      <x:c r="O13" s="101" t="b">
        <x:v>1</x:v>
      </x:c>
      <x:c r="P13" t="str">
        <x:v>/Users/jvidale/Documents/Research/FaultScanR/output/20260722_181326_2487/CI_40353552</x:v>
      </x:c>
    </x:row>
    <x:row r="14">
      <x:c r="A14" t="str">
        <x:v>CI_40353552</x:v>
      </x:c>
      <x:c r="B14" s="99" t="str">
        <x:v>00048</x:v>
      </x:c>
      <x:c r="C14" t="str">
        <x:v>R</x:v>
      </x:c>
      <x:c r="D14" t="str">
        <x:v>R</x:v>
      </x:c>
      <x:c r="E14" t="str">
        <x:v>time shift</x:v>
      </x:c>
      <x:c r="F14" t="str">
        <x:v>S</x:v>
      </x:c>
      <x:c r="G14" s="100" t="n">
        <x:v>3</x:v>
      </x:c>
      <x:c r="H14" s="100" t="n">
        <x:v>10</x:v>
      </x:c>
      <x:c r="I14" s="100" t="n">
        <x:v>250</x:v>
      </x:c>
      <x:c r="J14" s="100" t="n">
        <x:v>-0.156</x:v>
      </x:c>
      <x:c r="K14" s="100" t="n">
        <x:v>-0.1515881058909381</x:v>
      </x:c>
      <x:c r="L14" s="100" t="n">
        <x:v>-0.004411894109061926</x:v>
      </x:c>
      <x:c r="M14" s="100" t="n">
        <x:v>-39</x:v>
      </x:c>
      <x:c r="N14" s="100" t="n">
        <x:v>0.9600347858773901</x:v>
      </x:c>
      <x:c r="O14" s="101" t="b">
        <x:v>1</x:v>
      </x:c>
      <x:c r="P14" t="str">
        <x:v>/Users/jvidale/Documents/Research/FaultScanR/output/20260722_181326_2487/CI_40353552</x:v>
      </x:c>
    </x:row>
    <x:row r="15">
      <x:c r="A15" t="str">
        <x:v>CI_40353552</x:v>
      </x:c>
      <x:c r="B15" s="99" t="str">
        <x:v>00049</x:v>
      </x:c>
      <x:c r="C15" t="str">
        <x:v>R</x:v>
      </x:c>
      <x:c r="D15" t="str">
        <x:v>R</x:v>
      </x:c>
      <x:c r="E15" t="str">
        <x:v>time shift</x:v>
      </x:c>
      <x:c r="F15" t="str">
        <x:v>S</x:v>
      </x:c>
      <x:c r="G15" s="100" t="n">
        <x:v>3</x:v>
      </x:c>
      <x:c r="H15" s="100" t="n">
        <x:v>10</x:v>
      </x:c>
      <x:c r="I15" s="100" t="n">
        <x:v>250</x:v>
      </x:c>
      <x:c r="J15" s="100" t="n">
        <x:v>-0.248</x:v>
      </x:c>
      <x:c r="K15" s="100" t="n">
        <x:v>-0.2326120365545421</x:v>
      </x:c>
      <x:c r="L15" s="100" t="n">
        <x:v>-0.0153879634454579</x:v>
      </x:c>
      <x:c r="M15" s="100" t="n">
        <x:v>-62</x:v>
      </x:c>
      <x:c r="N15" s="100" t="n">
        <x:v>0.9736660454629678</x:v>
      </x:c>
      <x:c r="O15" s="101" t="b">
        <x:v>1</x:v>
      </x:c>
      <x:c r="P15" t="str">
        <x:v>/Users/jvidale/Documents/Research/FaultScanR/output/20260722_181326_2487/CI_40353552</x:v>
      </x:c>
    </x:row>
    <x:row r="16">
      <x:c r="A16" t="str">
        <x:v>CI_40353552</x:v>
      </x:c>
      <x:c r="B16" s="99" t="str">
        <x:v>00051</x:v>
      </x:c>
      <x:c r="C16" t="str">
        <x:v>R</x:v>
      </x:c>
      <x:c r="D16" t="str">
        <x:v>R</x:v>
      </x:c>
      <x:c r="E16" t="str">
        <x:v>time shift</x:v>
      </x:c>
      <x:c r="F16" t="str">
        <x:v>S</x:v>
      </x:c>
      <x:c r="G16" s="100" t="n">
        <x:v>3</x:v>
      </x:c>
      <x:c r="H16" s="100" t="n">
        <x:v>10</x:v>
      </x:c>
      <x:c r="I16" s="100" t="n">
        <x:v>250</x:v>
      </x:c>
      <x:c r="J16" s="100" t="n">
        <x:v>-0.24</x:v>
      </x:c>
      <x:c r="K16" s="100" t="n">
        <x:v>-0.2171705239581012</x:v>
      </x:c>
      <x:c r="L16" s="100" t="n">
        <x:v>-0.02282947604189878</x:v>
      </x:c>
      <x:c r="M16" s="100" t="n">
        <x:v>-60</x:v>
      </x:c>
      <x:c r="N16" s="100" t="n">
        <x:v>0.9524612893813336</x:v>
      </x:c>
      <x:c r="O16" s="101" t="b">
        <x:v>1</x:v>
      </x:c>
      <x:c r="P16" t="str">
        <x:v>/Users/jvidale/Documents/Research/FaultScanR/output/20260722_181326_2487/CI_40353552</x:v>
      </x:c>
    </x:row>
    <x:row r="17">
      <x:c r="A17" t="str">
        <x:v>CI_40353552</x:v>
      </x:c>
      <x:c r="B17" s="99" t="str">
        <x:v>00052</x:v>
      </x:c>
      <x:c r="C17" t="str">
        <x:v>R</x:v>
      </x:c>
      <x:c r="D17" t="str">
        <x:v>R</x:v>
      </x:c>
      <x:c r="E17" t="str">
        <x:v>time shift</x:v>
      </x:c>
      <x:c r="F17" t="str">
        <x:v>S</x:v>
      </x:c>
      <x:c r="G17" s="100" t="n">
        <x:v>3</x:v>
      </x:c>
      <x:c r="H17" s="100" t="n">
        <x:v>10</x:v>
      </x:c>
      <x:c r="I17" s="100" t="n">
        <x:v>250</x:v>
      </x:c>
      <x:c r="J17" s="100" t="n">
        <x:v>-0.224</x:v>
      </x:c>
      <x:c r="K17" s="100" t="n">
        <x:v>-0.2077253865444169</x:v>
      </x:c>
      <x:c r="L17" s="100" t="n">
        <x:v>-0.01627461345558315</x:v>
      </x:c>
      <x:c r="M17" s="100" t="n">
        <x:v>-56</x:v>
      </x:c>
      <x:c r="N17" s="100" t="n">
        <x:v>0.982320907111844</x:v>
      </x:c>
      <x:c r="O17" s="101" t="b">
        <x:v>1</x:v>
      </x:c>
      <x:c r="P17" t="str">
        <x:v>/Users/jvidale/Documents/Research/FaultScanR/output/20260722_181326_2487/CI_40353552</x:v>
      </x:c>
    </x:row>
    <x:row r="18">
      <x:c r="A18" t="str">
        <x:v>CI_40353552</x:v>
      </x:c>
      <x:c r="B18" s="99" t="str">
        <x:v>00053</x:v>
      </x:c>
      <x:c r="C18" t="str">
        <x:v>R</x:v>
      </x:c>
      <x:c r="D18" t="str">
        <x:v>R</x:v>
      </x:c>
      <x:c r="E18" t="str">
        <x:v>time shift</x:v>
      </x:c>
      <x:c r="F18" t="str">
        <x:v>S</x:v>
      </x:c>
      <x:c r="G18" s="100" t="n">
        <x:v>3</x:v>
      </x:c>
      <x:c r="H18" s="100" t="n">
        <x:v>10</x:v>
      </x:c>
      <x:c r="I18" s="100" t="n">
        <x:v>250</x:v>
      </x:c>
      <x:c r="J18" s="100" t="n">
        <x:v>-0.22</x:v>
      </x:c>
      <x:c r="K18" s="100" t="n">
        <x:v>-0.1988345834662582</x:v>
      </x:c>
      <x:c r="L18" s="100" t="n">
        <x:v>-0.02116541653374185</x:v>
      </x:c>
      <x:c r="M18" s="100" t="n">
        <x:v>-55</x:v>
      </x:c>
      <x:c r="N18" s="100" t="n">
        <x:v>0.9836036200515975</x:v>
      </x:c>
      <x:c r="O18" s="101" t="b">
        <x:v>1</x:v>
      </x:c>
      <x:c r="P18" t="str">
        <x:v>/Users/jvidale/Documents/Research/FaultScanR/output/20260722_181326_2487/CI_40353552</x:v>
      </x:c>
    </x:row>
    <x:row r="19">
      <x:c r="A19" t="str">
        <x:v>CI_40353552</x:v>
      </x:c>
      <x:c r="B19" s="99" t="str">
        <x:v>00054</x:v>
      </x:c>
      <x:c r="C19" t="str">
        <x:v>R</x:v>
      </x:c>
      <x:c r="D19" t="str">
        <x:v>R</x:v>
      </x:c>
      <x:c r="E19" t="str">
        <x:v>time shift</x:v>
      </x:c>
      <x:c r="F19" t="str">
        <x:v>S</x:v>
      </x:c>
      <x:c r="G19" s="100" t="n">
        <x:v>3</x:v>
      </x:c>
      <x:c r="H19" s="100" t="n">
        <x:v>10</x:v>
      </x:c>
      <x:c r="I19" s="100" t="n">
        <x:v>250</x:v>
      </x:c>
      <x:c r="J19" s="100" t="n">
        <x:v>-0.208</x:v>
      </x:c>
      <x:c r="K19" s="100" t="n">
        <x:v>-0.1908206983690199</x:v>
      </x:c>
      <x:c r="L19" s="100" t="n">
        <x:v>-0.01717930163098005</x:v>
      </x:c>
      <x:c r="M19" s="100" t="n">
        <x:v>-52</x:v>
      </x:c>
      <x:c r="N19" s="100" t="n">
        <x:v>0.9677010245935657</x:v>
      </x:c>
      <x:c r="O19" s="101" t="b">
        <x:v>1</x:v>
      </x:c>
      <x:c r="P19" t="str">
        <x:v>/Users/jvidale/Documents/Research/FaultScanR/output/20260722_181326_2487/CI_40353552</x:v>
      </x:c>
    </x:row>
    <x:row r="20">
      <x:c r="A20" t="str">
        <x:v>CI_40353552</x:v>
      </x:c>
      <x:c r="B20" s="99" t="str">
        <x:v>00055</x:v>
      </x:c>
      <x:c r="C20" t="str">
        <x:v>R</x:v>
      </x:c>
      <x:c r="D20" t="str">
        <x:v>R</x:v>
      </x:c>
      <x:c r="E20" t="str">
        <x:v>time shift</x:v>
      </x:c>
      <x:c r="F20" t="str">
        <x:v>S</x:v>
      </x:c>
      <x:c r="G20" s="100" t="n">
        <x:v>3</x:v>
      </x:c>
      <x:c r="H20" s="100" t="n">
        <x:v>10</x:v>
      </x:c>
      <x:c r="I20" s="100" t="n">
        <x:v>250</x:v>
      </x:c>
      <x:c r="J20" s="100" t="n">
        <x:v>-0.196</x:v>
      </x:c>
      <x:c r="K20" s="100" t="n">
        <x:v>-0.1821607926426791</x:v>
      </x:c>
      <x:c r="L20" s="100" t="n">
        <x:v>-0.01383920735732086</x:v>
      </x:c>
      <x:c r="M20" s="100" t="n">
        <x:v>-49</x:v>
      </x:c>
      <x:c r="N20" s="100" t="n">
        <x:v>0.9792848554674664</x:v>
      </x:c>
      <x:c r="O20" s="101" t="b">
        <x:v>1</x:v>
      </x:c>
      <x:c r="P20" t="str">
        <x:v>/Users/jvidale/Documents/Research/FaultScanR/output/20260722_181326_2487/CI_40353552</x:v>
      </x:c>
    </x:row>
    <x:row r="21">
      <x:c r="A21" t="str">
        <x:v>CI_40353552</x:v>
      </x:c>
      <x:c r="B21" s="99" t="str">
        <x:v>00056</x:v>
      </x:c>
      <x:c r="C21" t="str">
        <x:v>R</x:v>
      </x:c>
      <x:c r="D21" t="str">
        <x:v>R</x:v>
      </x:c>
      <x:c r="E21" t="str">
        <x:v>time shift</x:v>
      </x:c>
      <x:c r="F21" t="str">
        <x:v>S</x:v>
      </x:c>
      <x:c r="G21" s="100" t="n">
        <x:v>3</x:v>
      </x:c>
      <x:c r="H21" s="100" t="n">
        <x:v>10</x:v>
      </x:c>
      <x:c r="I21" s="100" t="n">
        <x:v>250</x:v>
      </x:c>
      <x:c r="J21" s="100" t="n">
        <x:v>-0.192</x:v>
      </x:c>
      <x:c r="K21" s="100" t="n">
        <x:v>-0.1745433217003178</x:v>
      </x:c>
      <x:c r="L21" s="100" t="n">
        <x:v>-0.01745667829968217</x:v>
      </x:c>
      <x:c r="M21" s="100" t="n">
        <x:v>-48</x:v>
      </x:c>
      <x:c r="N21" s="100" t="n">
        <x:v>0.9864129926093869</x:v>
      </x:c>
      <x:c r="O21" s="101" t="b">
        <x:v>1</x:v>
      </x:c>
      <x:c r="P21" t="str">
        <x:v>/Users/jvidale/Documents/Research/FaultScanR/output/20260722_181326_2487/CI_40353552</x:v>
      </x:c>
    </x:row>
    <x:row r="22">
      <x:c r="A22" t="str">
        <x:v>CI_40353552</x:v>
      </x:c>
      <x:c r="B22" s="99" t="str">
        <x:v>00057</x:v>
      </x:c>
      <x:c r="C22" t="str">
        <x:v>R</x:v>
      </x:c>
      <x:c r="D22" t="str">
        <x:v>R</x:v>
      </x:c>
      <x:c r="E22" t="str">
        <x:v>time shift</x:v>
      </x:c>
      <x:c r="F22" t="str">
        <x:v>S</x:v>
      </x:c>
      <x:c r="G22" s="100" t="n">
        <x:v>3</x:v>
      </x:c>
      <x:c r="H22" s="100" t="n">
        <x:v>10</x:v>
      </x:c>
      <x:c r="I22" s="100" t="n">
        <x:v>250</x:v>
      </x:c>
      <x:c r="J22" s="100" t="n">
        <x:v>-0.18</x:v>
      </x:c>
      <x:c r="K22" s="100" t="n">
        <x:v>-0.1667519419835424</x:v>
      </x:c>
      <x:c r="L22" s="100" t="n">
        <x:v>-0.01324805801645762</x:v>
      </x:c>
      <x:c r="M22" s="100" t="n">
        <x:v>-45</x:v>
      </x:c>
      <x:c r="N22" s="100" t="n">
        <x:v>0.9913176062323976</x:v>
      </x:c>
      <x:c r="O22" s="101" t="b">
        <x:v>1</x:v>
      </x:c>
      <x:c r="P22" t="str">
        <x:v>/Users/jvidale/Documents/Research/FaultScanR/output/20260722_181326_2487/CI_40353552</x:v>
      </x:c>
    </x:row>
    <x:row r="23">
      <x:c r="A23" t="str">
        <x:v>CI_40353552</x:v>
      </x:c>
      <x:c r="B23" s="99" t="str">
        <x:v>00059</x:v>
      </x:c>
      <x:c r="C23" t="str">
        <x:v>R</x:v>
      </x:c>
      <x:c r="D23" t="str">
        <x:v>R</x:v>
      </x:c>
      <x:c r="E23" t="str">
        <x:v>time shift</x:v>
      </x:c>
      <x:c r="F23" t="str">
        <x:v>S</x:v>
      </x:c>
      <x:c r="G23" s="100" t="n">
        <x:v>3</x:v>
      </x:c>
      <x:c r="H23" s="100" t="n">
        <x:v>10</x:v>
      </x:c>
      <x:c r="I23" s="100" t="n">
        <x:v>250</x:v>
      </x:c>
      <x:c r="J23" s="100" t="n">
        <x:v>-0.152</x:v>
      </x:c>
      <x:c r="K23" s="100" t="n">
        <x:v>-0.1472835305741347</x:v>
      </x:c>
      <x:c r="L23" s="100" t="n">
        <x:v>-0.004716469425865316</x:v>
      </x:c>
      <x:c r="M23" s="100" t="n">
        <x:v>-38</x:v>
      </x:c>
      <x:c r="N23" s="100" t="n">
        <x:v>0.9037000974668492</x:v>
      </x:c>
      <x:c r="O23" s="101" t="b">
        <x:v>1</x:v>
      </x:c>
      <x:c r="P23" t="str">
        <x:v>/Users/jvidale/Documents/Research/FaultScanR/output/20260722_181326_2487/CI_40353552</x:v>
      </x:c>
    </x:row>
    <x:row r="24">
      <x:c r="A24" t="str">
        <x:v>CI_40353552</x:v>
      </x:c>
      <x:c r="B24" s="99" t="str">
        <x:v>00060</x:v>
      </x:c>
      <x:c r="C24" t="str">
        <x:v>R</x:v>
      </x:c>
      <x:c r="D24" t="str">
        <x:v>R</x:v>
      </x:c>
      <x:c r="E24" t="str">
        <x:v>time shift</x:v>
      </x:c>
      <x:c r="F24" t="str">
        <x:v>S</x:v>
      </x:c>
      <x:c r="G24" s="100" t="n">
        <x:v>3</x:v>
      </x:c>
      <x:c r="H24" s="100" t="n">
        <x:v>10</x:v>
      </x:c>
      <x:c r="I24" s="100" t="n">
        <x:v>250</x:v>
      </x:c>
      <x:c r="J24" s="100" t="n">
        <x:v>-0.144</x:v>
      </x:c>
      <x:c r="K24" s="100" t="n">
        <x:v>-0.139917475762152</x:v>
      </x:c>
      <x:c r="L24" s="100" t="n">
        <x:v>-0.004082524237848023</x:v>
      </x:c>
      <x:c r="M24" s="100" t="n">
        <x:v>-36</x:v>
      </x:c>
      <x:c r="N24" s="100" t="n">
        <x:v>0.9791957849926318</x:v>
      </x:c>
      <x:c r="O24" s="101" t="b">
        <x:v>1</x:v>
      </x:c>
      <x:c r="P24" t="str">
        <x:v>/Users/jvidale/Documents/Research/FaultScanR/output/20260722_181326_2487/CI_40353552</x:v>
      </x:c>
    </x:row>
    <x:row r="25">
      <x:c r="A25" t="str">
        <x:v>CI_40353552</x:v>
      </x:c>
      <x:c r="B25" s="99" t="str">
        <x:v>00061</x:v>
      </x:c>
      <x:c r="C25" t="str">
        <x:v>R</x:v>
      </x:c>
      <x:c r="D25" t="str">
        <x:v>R</x:v>
      </x:c>
      <x:c r="E25" t="str">
        <x:v>time shift</x:v>
      </x:c>
      <x:c r="F25" t="str">
        <x:v>S</x:v>
      </x:c>
      <x:c r="G25" s="100" t="n">
        <x:v>3</x:v>
      </x:c>
      <x:c r="H25" s="100" t="n">
        <x:v>10</x:v>
      </x:c>
      <x:c r="I25" s="100" t="n">
        <x:v>250</x:v>
      </x:c>
      <x:c r="J25" s="100" t="n">
        <x:v>-0.136</x:v>
      </x:c>
      <x:c r="K25" s="100" t="n">
        <x:v>-0.1295858276891231</x:v>
      </x:c>
      <x:c r="L25" s="100" t="n">
        <x:v>-0.006414172310876931</x:v>
      </x:c>
      <x:c r="M25" s="100" t="n">
        <x:v>-34</x:v>
      </x:c>
      <x:c r="N25" s="100" t="n">
        <x:v>0.9878808987646914</x:v>
      </x:c>
      <x:c r="O25" s="101" t="b">
        <x:v>1</x:v>
      </x:c>
      <x:c r="P25" t="str">
        <x:v>/Users/jvidale/Documents/Research/FaultScanR/output/20260722_181326_2487/CI_40353552</x:v>
      </x:c>
    </x:row>
    <x:row r="26">
      <x:c r="A26" t="str">
        <x:v>CI_40353552</x:v>
      </x:c>
      <x:c r="B26" s="99" t="str">
        <x:v>00062</x:v>
      </x:c>
      <x:c r="C26" t="str">
        <x:v>R</x:v>
      </x:c>
      <x:c r="D26" t="str">
        <x:v>R</x:v>
      </x:c>
      <x:c r="E26" t="str">
        <x:v>time shift</x:v>
      </x:c>
      <x:c r="F26" t="str">
        <x:v>S</x:v>
      </x:c>
      <x:c r="G26" s="100" t="n">
        <x:v>3</x:v>
      </x:c>
      <x:c r="H26" s="100" t="n">
        <x:v>10</x:v>
      </x:c>
      <x:c r="I26" s="100" t="n">
        <x:v>250</x:v>
      </x:c>
      <x:c r="J26" s="100" t="n">
        <x:v>-0.116</x:v>
      </x:c>
      <x:c r="K26" s="100" t="n">
        <x:v>-0.1174616666257355</x:v>
      </x:c>
      <x:c r="L26" s="100" t="n">
        <x:v>0.001461666625735533</x:v>
      </x:c>
      <x:c r="M26" s="100" t="n">
        <x:v>-29</x:v>
      </x:c>
      <x:c r="N26" s="100" t="n">
        <x:v>0.9694205829362538</x:v>
      </x:c>
      <x:c r="O26" s="101" t="b">
        <x:v>1</x:v>
      </x:c>
      <x:c r="P26" t="str">
        <x:v>/Users/jvidale/Documents/Research/FaultScanR/output/20260722_181326_2487/CI_40353552</x:v>
      </x:c>
    </x:row>
    <x:row r="27">
      <x:c r="A27" t="str">
        <x:v>CI_40353552</x:v>
      </x:c>
      <x:c r="B27" s="99" t="str">
        <x:v>00063</x:v>
      </x:c>
      <x:c r="C27" t="str">
        <x:v>R</x:v>
      </x:c>
      <x:c r="D27" t="str">
        <x:v>R</x:v>
      </x:c>
      <x:c r="E27" t="str">
        <x:v>time shift</x:v>
      </x:c>
      <x:c r="F27" t="str">
        <x:v>S</x:v>
      </x:c>
      <x:c r="G27" s="100" t="n">
        <x:v>3</x:v>
      </x:c>
      <x:c r="H27" s="100" t="n">
        <x:v>10</x:v>
      </x:c>
      <x:c r="I27" s="100" t="n">
        <x:v>250</x:v>
      </x:c>
      <x:c r="J27" s="100" t="n">
        <x:v>-0.232</x:v>
      </x:c>
      <x:c r="K27" s="100" t="n">
        <x:v>-0.2108872405586908</x:v>
      </x:c>
      <x:c r="L27" s="100" t="n">
        <x:v>-0.02111275944130922</x:v>
      </x:c>
      <x:c r="M27" s="100" t="n">
        <x:v>-58</x:v>
      </x:c>
      <x:c r="N27" s="100" t="n">
        <x:v>0.977258336220319</x:v>
      </x:c>
      <x:c r="O27" s="101" t="b">
        <x:v>1</x:v>
      </x:c>
      <x:c r="P27" t="str">
        <x:v>/Users/jvidale/Documents/Research/FaultScanR/output/20260722_181326_2487/CI_40353552</x:v>
      </x:c>
    </x:row>
    <x:row r="28">
      <x:c r="A28" t="str">
        <x:v>CI_40353552</x:v>
      </x:c>
      <x:c r="B28" s="99" t="str">
        <x:v>00064</x:v>
      </x:c>
      <x:c r="C28" t="str">
        <x:v>R</x:v>
      </x:c>
      <x:c r="D28" t="str">
        <x:v>R</x:v>
      </x:c>
      <x:c r="E28" t="str">
        <x:v>time shift</x:v>
      </x:c>
      <x:c r="F28" t="str">
        <x:v>S</x:v>
      </x:c>
      <x:c r="G28" s="100" t="n">
        <x:v>3</x:v>
      </x:c>
      <x:c r="H28" s="100" t="n">
        <x:v>10</x:v>
      </x:c>
      <x:c r="I28" s="100" t="n">
        <x:v>250</x:v>
      </x:c>
      <x:c r="J28" s="100" t="n">
        <x:v>-0.228</x:v>
      </x:c>
      <x:c r="K28" s="100" t="n">
        <x:v>-0.2056058112772456</x:v>
      </x:c>
      <x:c r="L28" s="100" t="n">
        <x:v>-0.02239418872275437</x:v>
      </x:c>
      <x:c r="M28" s="100" t="n">
        <x:v>-57</x:v>
      </x:c>
      <x:c r="N28" s="100" t="n">
        <x:v>0.918880765710822</x:v>
      </x:c>
      <x:c r="O28" s="101" t="b">
        <x:v>1</x:v>
      </x:c>
      <x:c r="P28" t="str">
        <x:v>/Users/jvidale/Documents/Research/FaultScanR/output/20260722_181326_2487/CI_40353552</x:v>
      </x:c>
    </x:row>
    <x:row r="29">
      <x:c r="A29" t="str">
        <x:v>CI_40353552</x:v>
      </x:c>
      <x:c r="B29" s="99" t="str">
        <x:v>00065</x:v>
      </x:c>
      <x:c r="C29" t="str">
        <x:v>R</x:v>
      </x:c>
      <x:c r="D29" t="str">
        <x:v>R</x:v>
      </x:c>
      <x:c r="E29" t="str">
        <x:v>time shift</x:v>
      </x:c>
      <x:c r="F29" t="str">
        <x:v>S</x:v>
      </x:c>
      <x:c r="G29" s="100" t="n">
        <x:v>3</x:v>
      </x:c>
      <x:c r="H29" s="100" t="n">
        <x:v>10</x:v>
      </x:c>
      <x:c r="I29" s="100" t="n">
        <x:v>250</x:v>
      </x:c>
      <x:c r="J29" s="100" t="n">
        <x:v>-0.216</x:v>
      </x:c>
      <x:c r="K29" s="100" t="n">
        <x:v>-0.196456910248676</x:v>
      </x:c>
      <x:c r="L29" s="100" t="n">
        <x:v>-0.01954308975132404</x:v>
      </x:c>
      <x:c r="M29" s="100" t="n">
        <x:v>-54</x:v>
      </x:c>
      <x:c r="N29" s="100" t="n">
        <x:v>0.9658699051205549</x:v>
      </x:c>
      <x:c r="O29" s="101" t="b">
        <x:v>1</x:v>
      </x:c>
      <x:c r="P29" t="str">
        <x:v>/Users/jvidale/Documents/Research/FaultScanR/output/20260722_181326_2487/CI_40353552</x:v>
      </x:c>
    </x:row>
    <x:row r="30">
      <x:c r="A30" t="str">
        <x:v>CI_40353552</x:v>
      </x:c>
      <x:c r="B30" s="99" t="str">
        <x:v>00066</x:v>
      </x:c>
      <x:c r="C30" t="str">
        <x:v>R</x:v>
      </x:c>
      <x:c r="D30" t="str">
        <x:v>R</x:v>
      </x:c>
      <x:c r="E30" t="str">
        <x:v>time shift</x:v>
      </x:c>
      <x:c r="F30" t="str">
        <x:v>S</x:v>
      </x:c>
      <x:c r="G30" s="100" t="n">
        <x:v>3</x:v>
      </x:c>
      <x:c r="H30" s="100" t="n">
        <x:v>10</x:v>
      </x:c>
      <x:c r="I30" s="100" t="n">
        <x:v>250</x:v>
      </x:c>
      <x:c r="J30" s="100" t="n">
        <x:v>-0.212</x:v>
      </x:c>
      <x:c r="K30" s="100" t="n">
        <x:v>-0.1901764640909516</x:v>
      </x:c>
      <x:c r="L30" s="100" t="n">
        <x:v>-0.02182353590904842</x:v>
      </x:c>
      <x:c r="M30" s="100" t="n">
        <x:v>-53</x:v>
      </x:c>
      <x:c r="N30" s="100" t="n">
        <x:v>0.9732243711329546</x:v>
      </x:c>
      <x:c r="O30" s="101" t="b">
        <x:v>1</x:v>
      </x:c>
      <x:c r="P30" t="str">
        <x:v>/Users/jvidale/Documents/Research/FaultScanR/output/20260722_181326_2487/CI_40353552</x:v>
      </x:c>
    </x:row>
    <x:row r="31">
      <x:c r="A31" t="str">
        <x:v>CI_40353552</x:v>
      </x:c>
      <x:c r="B31" s="99" t="str">
        <x:v>00067</x:v>
      </x:c>
      <x:c r="C31" t="str">
        <x:v>R</x:v>
      </x:c>
      <x:c r="D31" t="str">
        <x:v>R</x:v>
      </x:c>
      <x:c r="E31" t="str">
        <x:v>time shift</x:v>
      </x:c>
      <x:c r="F31" t="str">
        <x:v>S</x:v>
      </x:c>
      <x:c r="G31" s="100" t="n">
        <x:v>3</x:v>
      </x:c>
      <x:c r="H31" s="100" t="n">
        <x:v>10</x:v>
      </x:c>
      <x:c r="I31" s="100" t="n">
        <x:v>250</x:v>
      </x:c>
      <x:c r="J31" s="100" t="n">
        <x:v>-0.2</x:v>
      </x:c>
      <x:c r="K31" s="100" t="n">
        <x:v>-0.1812545781735828</x:v>
      </x:c>
      <x:c r="L31" s="100" t="n">
        <x:v>-0.0187454218264172</x:v>
      </x:c>
      <x:c r="M31" s="100" t="n">
        <x:v>-50</x:v>
      </x:c>
      <x:c r="N31" s="100" t="n">
        <x:v>0.9763251276504454</x:v>
      </x:c>
      <x:c r="O31" s="101" t="b">
        <x:v>1</x:v>
      </x:c>
      <x:c r="P31" t="str">
        <x:v>/Users/jvidale/Documents/Research/FaultScanR/output/20260722_181326_2487/CI_40353552</x:v>
      </x:c>
    </x:row>
    <x:row r="32">
      <x:c r="A32" t="str">
        <x:v>CI_40353552</x:v>
      </x:c>
      <x:c r="B32" s="99" t="str">
        <x:v>00068</x:v>
      </x:c>
      <x:c r="C32" t="str">
        <x:v>R</x:v>
      </x:c>
      <x:c r="D32" t="str">
        <x:v>R</x:v>
      </x:c>
      <x:c r="E32" t="str">
        <x:v>time shift</x:v>
      </x:c>
      <x:c r="F32" t="str">
        <x:v>S</x:v>
      </x:c>
      <x:c r="G32" s="100" t="n">
        <x:v>3</x:v>
      </x:c>
      <x:c r="H32" s="100" t="n">
        <x:v>10</x:v>
      </x:c>
      <x:c r="I32" s="100" t="n">
        <x:v>250</x:v>
      </x:c>
      <x:c r="J32" s="100" t="n">
        <x:v>-0.18</x:v>
      </x:c>
      <x:c r="K32" s="100" t="n">
        <x:v>-0.1711688700324139</x:v>
      </x:c>
      <x:c r="L32" s="100" t="n">
        <x:v>-0.008831129967586115</x:v>
      </x:c>
      <x:c r="M32" s="100" t="n">
        <x:v>-45</x:v>
      </x:c>
      <x:c r="N32" s="100" t="n">
        <x:v>0.9846276058007025</x:v>
      </x:c>
      <x:c r="O32" s="101" t="b">
        <x:v>1</x:v>
      </x:c>
      <x:c r="P32" t="str">
        <x:v>/Users/jvidale/Documents/Research/FaultScanR/output/20260722_181326_2487/CI_40353552</x:v>
      </x:c>
    </x:row>
    <x:row r="33">
      <x:c r="A33" t="str">
        <x:v>CI_40353552</x:v>
      </x:c>
      <x:c r="B33" s="99" t="str">
        <x:v>00069</x:v>
      </x:c>
      <x:c r="C33" t="str">
        <x:v>R</x:v>
      </x:c>
      <x:c r="D33" t="str">
        <x:v>R</x:v>
      </x:c>
      <x:c r="E33" t="str">
        <x:v>time shift</x:v>
      </x:c>
      <x:c r="F33" t="str">
        <x:v>S</x:v>
      </x:c>
      <x:c r="G33" s="100" t="n">
        <x:v>3</x:v>
      </x:c>
      <x:c r="H33" s="100" t="n">
        <x:v>10</x:v>
      </x:c>
      <x:c r="I33" s="100" t="n">
        <x:v>250</x:v>
      </x:c>
      <x:c r="J33" s="100" t="n">
        <x:v>-0.176</x:v>
      </x:c>
      <x:c r="K33" s="100" t="n">
        <x:v>-0.1622202010571581</x:v>
      </x:c>
      <x:c r="L33" s="100" t="n">
        <x:v>-0.01377979894284193</x:v>
      </x:c>
      <x:c r="M33" s="100" t="n">
        <x:v>-44</x:v>
      </x:c>
      <x:c r="N33" s="100" t="n">
        <x:v>0.9972112096805494</x:v>
      </x:c>
      <x:c r="O33" s="101" t="b">
        <x:v>1</x:v>
      </x:c>
      <x:c r="P33" t="str">
        <x:v>/Users/jvidale/Documents/Research/FaultScanR/output/20260722_181326_2487/CI_40353552</x:v>
      </x:c>
    </x:row>
    <x:row r="34">
      <x:c r="A34" t="str">
        <x:v>CI_40353552</x:v>
      </x:c>
      <x:c r="B34" s="99" t="str">
        <x:v>00070</x:v>
      </x:c>
      <x:c r="C34" t="str">
        <x:v>R</x:v>
      </x:c>
      <x:c r="D34" t="str">
        <x:v>R</x:v>
      </x:c>
      <x:c r="E34" t="str">
        <x:v>time shift</x:v>
      </x:c>
      <x:c r="F34" t="str">
        <x:v>S</x:v>
      </x:c>
      <x:c r="G34" s="100" t="n">
        <x:v>3</x:v>
      </x:c>
      <x:c r="H34" s="100" t="n">
        <x:v>10</x:v>
      </x:c>
      <x:c r="I34" s="100" t="n">
        <x:v>250</x:v>
      </x:c>
      <x:c r="J34" s="100" t="n">
        <x:v>-0.164</x:v>
      </x:c>
      <x:c r="K34" s="100" t="n">
        <x:v>-0.1499139187969245</x:v>
      </x:c>
      <x:c r="L34" s="100" t="n">
        <x:v>-0.0140860812030755</x:v>
      </x:c>
      <x:c r="M34" s="100" t="n">
        <x:v>-41</x:v>
      </x:c>
      <x:c r="N34" s="100" t="n">
        <x:v>0.9926187959565083</x:v>
      </x:c>
      <x:c r="O34" s="101" t="b">
        <x:v>1</x:v>
      </x:c>
      <x:c r="P34" t="str">
        <x:v>/Users/jvidale/Documents/Research/FaultScanR/output/20260722_181326_2487/CI_40353552</x:v>
      </x:c>
    </x:row>
    <x:row r="35">
      <x:c r="A35" t="str">
        <x:v>CI_40353552</x:v>
      </x:c>
      <x:c r="B35" s="99" t="str">
        <x:v>00071</x:v>
      </x:c>
      <x:c r="C35" t="str">
        <x:v>R</x:v>
      </x:c>
      <x:c r="D35" t="str">
        <x:v>R</x:v>
      </x:c>
      <x:c r="E35" t="str">
        <x:v>time shift</x:v>
      </x:c>
      <x:c r="F35" t="str">
        <x:v>S</x:v>
      </x:c>
      <x:c r="G35" s="100" t="n">
        <x:v>3</x:v>
      </x:c>
      <x:c r="H35" s="100" t="n">
        <x:v>10</x:v>
      </x:c>
      <x:c r="I35" s="100" t="n">
        <x:v>250</x:v>
      </x:c>
      <x:c r="J35" s="100" t="n">
        <x:v>-0.156</x:v>
      </x:c>
      <x:c r="K35" s="100" t="n">
        <x:v>-0.1435181995331849</x:v>
      </x:c>
      <x:c r="L35" s="100" t="n">
        <x:v>-0.0124818004668151</x:v>
      </x:c>
      <x:c r="M35" s="100" t="n">
        <x:v>-39</x:v>
      </x:c>
      <x:c r="N35" s="100" t="n">
        <x:v>0.9731395604977546</x:v>
      </x:c>
      <x:c r="O35" s="101" t="b">
        <x:v>1</x:v>
      </x:c>
      <x:c r="P35" t="str">
        <x:v>/Users/jvidale/Documents/Research/FaultScanR/output/20260722_181326_2487/CI_40353552</x:v>
      </x:c>
    </x:row>
    <x:row r="36">
      <x:c r="A36" t="str">
        <x:v>CI_40353552</x:v>
      </x:c>
      <x:c r="B36" s="99" t="str">
        <x:v>00072</x:v>
      </x:c>
      <x:c r="C36" t="str">
        <x:v>R</x:v>
      </x:c>
      <x:c r="D36" t="str">
        <x:v>R</x:v>
      </x:c>
      <x:c r="E36" t="str">
        <x:v>time shift</x:v>
      </x:c>
      <x:c r="F36" t="str">
        <x:v>S</x:v>
      </x:c>
      <x:c r="G36" s="100" t="n">
        <x:v>3</x:v>
      </x:c>
      <x:c r="H36" s="100" t="n">
        <x:v>10</x:v>
      </x:c>
      <x:c r="I36" s="100" t="n">
        <x:v>250</x:v>
      </x:c>
      <x:c r="J36" s="100" t="n">
        <x:v>-0.148</x:v>
      </x:c>
      <x:c r="K36" s="100" t="n">
        <x:v>-0.1336736855280245</x:v>
      </x:c>
      <x:c r="L36" s="100" t="n">
        <x:v>-0.01432631447197549</x:v>
      </x:c>
      <x:c r="M36" s="100" t="n">
        <x:v>-37</x:v>
      </x:c>
      <x:c r="N36" s="100" t="n">
        <x:v>0.9870688629172986</x:v>
      </x:c>
      <x:c r="O36" s="101" t="b">
        <x:v>1</x:v>
      </x:c>
      <x:c r="P36" t="str">
        <x:v>/Users/jvidale/Documents/Research/FaultScanR/output/20260722_181326_2487/CI_40353552</x:v>
      </x:c>
    </x:row>
    <x:row r="37">
      <x:c r="A37" t="str">
        <x:v>CI_40353552</x:v>
      </x:c>
      <x:c r="B37" s="99" t="str">
        <x:v>00073</x:v>
      </x:c>
      <x:c r="C37" t="str">
        <x:v>R</x:v>
      </x:c>
      <x:c r="D37" t="str">
        <x:v>R</x:v>
      </x:c>
      <x:c r="E37" t="str">
        <x:v>time shift</x:v>
      </x:c>
      <x:c r="F37" t="str">
        <x:v>S</x:v>
      </x:c>
      <x:c r="G37" s="100" t="n">
        <x:v>3</x:v>
      </x:c>
      <x:c r="H37" s="100" t="n">
        <x:v>10</x:v>
      </x:c>
      <x:c r="I37" s="100" t="n">
        <x:v>250</x:v>
      </x:c>
      <x:c r="J37" s="100" t="n">
        <x:v>-0.144</x:v>
      </x:c>
      <x:c r="K37" s="100" t="n">
        <x:v>-0.1267342348097271</x:v>
      </x:c>
      <x:c r="L37" s="100" t="n">
        <x:v>-0.01726576519027287</x:v>
      </x:c>
      <x:c r="M37" s="100" t="n">
        <x:v>-36</x:v>
      </x:c>
      <x:c r="N37" s="100" t="n">
        <x:v>0.9709546124703485</x:v>
      </x:c>
      <x:c r="O37" s="101" t="b">
        <x:v>1</x:v>
      </x:c>
      <x:c r="P37" t="str">
        <x:v>/Users/jvidale/Documents/Research/FaultScanR/output/20260722_181326_2487/CI_40353552</x:v>
      </x:c>
    </x:row>
    <x:row r="38">
      <x:c r="A38" t="str">
        <x:v>CI_40353552</x:v>
      </x:c>
      <x:c r="B38" s="99" t="str">
        <x:v>00075</x:v>
      </x:c>
      <x:c r="C38" t="str">
        <x:v>R</x:v>
      </x:c>
      <x:c r="D38" t="str">
        <x:v>R</x:v>
      </x:c>
      <x:c r="E38" t="str">
        <x:v>time shift</x:v>
      </x:c>
      <x:c r="F38" t="str">
        <x:v>S</x:v>
      </x:c>
      <x:c r="G38" s="100" t="n">
        <x:v>3</x:v>
      </x:c>
      <x:c r="H38" s="100" t="n">
        <x:v>10</x:v>
      </x:c>
      <x:c r="I38" s="100" t="n">
        <x:v>250</x:v>
      </x:c>
      <x:c r="J38" s="100" t="n">
        <x:v>-0.112</x:v>
      </x:c>
      <x:c r="K38" s="100" t="n">
        <x:v>-0.1089043481478198</x:v>
      </x:c>
      <x:c r="L38" s="100" t="n">
        <x:v>-0.003095651852180206</x:v>
      </x:c>
      <x:c r="M38" s="100" t="n">
        <x:v>-28</x:v>
      </x:c>
      <x:c r="N38" s="100" t="n">
        <x:v>0.9502778393553095</x:v>
      </x:c>
      <x:c r="O38" s="101" t="b">
        <x:v>1</x:v>
      </x:c>
      <x:c r="P38" t="str">
        <x:v>/Users/jvidale/Documents/Research/FaultScanR/output/20260722_181326_2487/CI_40353552</x:v>
      </x:c>
    </x:row>
    <x:row r="39">
      <x:c r="A39" t="str">
        <x:v>CI_40353552</x:v>
      </x:c>
      <x:c r="B39" s="99" t="str">
        <x:v>00076</x:v>
      </x:c>
      <x:c r="C39" t="str">
        <x:v>R</x:v>
      </x:c>
      <x:c r="D39" t="str">
        <x:v>R</x:v>
      </x:c>
      <x:c r="E39" t="str">
        <x:v>time shift</x:v>
      </x:c>
      <x:c r="F39" t="str">
        <x:v>S</x:v>
      </x:c>
      <x:c r="G39" s="100" t="n">
        <x:v>3</x:v>
      </x:c>
      <x:c r="H39" s="100" t="n">
        <x:v>10</x:v>
      </x:c>
      <x:c r="I39" s="100" t="n">
        <x:v>250</x:v>
      </x:c>
      <x:c r="J39" s="100" t="n">
        <x:v>-0.096</x:v>
      </x:c>
      <x:c r="K39" s="100" t="n">
        <x:v>-0.09925225842206231</x:v>
      </x:c>
      <x:c r="L39" s="100" t="n">
        <x:v>0.00325225842206231</x:v>
      </x:c>
      <x:c r="M39" s="100" t="n">
        <x:v>-24</x:v>
      </x:c>
      <x:c r="N39" s="100" t="n">
        <x:v>0.9109887580015483</x:v>
      </x:c>
      <x:c r="O39" s="101" t="b">
        <x:v>1</x:v>
      </x:c>
      <x:c r="P39" t="str">
        <x:v>/Users/jvidale/Documents/Research/FaultScanR/output/20260722_181326_2487/CI_40353552</x:v>
      </x:c>
    </x:row>
    <x:row r="40">
      <x:c r="A40" t="str">
        <x:v>CI_40353552</x:v>
      </x:c>
      <x:c r="B40" s="99" t="str">
        <x:v>00077</x:v>
      </x:c>
      <x:c r="C40" t="str">
        <x:v>R</x:v>
      </x:c>
      <x:c r="D40" t="str">
        <x:v>R</x:v>
      </x:c>
      <x:c r="E40" t="str">
        <x:v>time shift</x:v>
      </x:c>
      <x:c r="F40" t="str">
        <x:v>S</x:v>
      </x:c>
      <x:c r="G40" s="100" t="n">
        <x:v>3</x:v>
      </x:c>
      <x:c r="H40" s="100" t="n">
        <x:v>10</x:v>
      </x:c>
      <x:c r="I40" s="100" t="n">
        <x:v>250</x:v>
      </x:c>
      <x:c r="J40" s="100" t="n">
        <x:v>-0.088</x:v>
      </x:c>
      <x:c r="K40" s="100" t="n">
        <x:v>-0.08898858605567828</x:v>
      </x:c>
      <x:c r="L40" s="100" t="n">
        <x:v>0.000988586055678281</x:v>
      </x:c>
      <x:c r="M40" s="100" t="n">
        <x:v>-22</x:v>
      </x:c>
      <x:c r="N40" s="100" t="n">
        <x:v>0.94173524108494</x:v>
      </x:c>
      <x:c r="O40" s="101" t="b">
        <x:v>1</x:v>
      </x:c>
      <x:c r="P40" t="str">
        <x:v>/Users/jvidale/Documents/Research/FaultScanR/output/20260722_181326_2487/CI_40353552</x:v>
      </x:c>
    </x:row>
    <x:row r="41">
      <x:c r="A41" t="str">
        <x:v>CI_40353552</x:v>
      </x:c>
      <x:c r="B41" s="99" t="str">
        <x:v>00078</x:v>
      </x:c>
      <x:c r="C41" t="str">
        <x:v>R</x:v>
      </x:c>
      <x:c r="D41" t="str">
        <x:v>R</x:v>
      </x:c>
      <x:c r="E41" t="str">
        <x:v>time shift</x:v>
      </x:c>
      <x:c r="F41" t="str">
        <x:v>S</x:v>
      </x:c>
      <x:c r="G41" s="100" t="n">
        <x:v>3</x:v>
      </x:c>
      <x:c r="H41" s="100" t="n">
        <x:v>10</x:v>
      </x:c>
      <x:c r="I41" s="100" t="n">
        <x:v>250</x:v>
      </x:c>
      <x:c r="J41" s="100" t="n">
        <x:v>-0.212</x:v>
      </x:c>
      <x:c r="K41" s="100" t="n">
        <x:v>-0.1878413266281624</x:v>
      </x:c>
      <x:c r="L41" s="100" t="n">
        <x:v>-0.02415867337183755</x:v>
      </x:c>
      <x:c r="M41" s="100" t="n">
        <x:v>-53</x:v>
      </x:c>
      <x:c r="N41" s="100" t="n">
        <x:v>0.9429513431149698</x:v>
      </x:c>
      <x:c r="O41" s="101" t="b">
        <x:v>1</x:v>
      </x:c>
      <x:c r="P41" t="str">
        <x:v>/Users/jvidale/Documents/Research/FaultScanR/output/20260722_181326_2487/CI_40353552</x:v>
      </x:c>
    </x:row>
    <x:row r="42">
      <x:c r="A42" t="str">
        <x:v>CI_40353552</x:v>
      </x:c>
      <x:c r="B42" s="99" t="str">
        <x:v>00079</x:v>
      </x:c>
      <x:c r="C42" t="str">
        <x:v>R</x:v>
      </x:c>
      <x:c r="D42" t="str">
        <x:v>R</x:v>
      </x:c>
      <x:c r="E42" t="str">
        <x:v>time shift</x:v>
      </x:c>
      <x:c r="F42" t="str">
        <x:v>S</x:v>
      </x:c>
      <x:c r="G42" s="100" t="n">
        <x:v>3</x:v>
      </x:c>
      <x:c r="H42" s="100" t="n">
        <x:v>10</x:v>
      </x:c>
      <x:c r="I42" s="100" t="n">
        <x:v>250</x:v>
      </x:c>
      <x:c r="J42" s="100" t="n">
        <x:v>-0.208</x:v>
      </x:c>
      <x:c r="K42" s="100" t="n">
        <x:v>-0.1816420049216356</x:v>
      </x:c>
      <x:c r="L42" s="100" t="n">
        <x:v>-0.02635799507836437</x:v>
      </x:c>
      <x:c r="M42" s="100" t="n">
        <x:v>-52</x:v>
      </x:c>
      <x:c r="N42" s="100" t="n">
        <x:v>0.8807265032427773</x:v>
      </x:c>
      <x:c r="O42" s="101" t="b">
        <x:v>1</x:v>
      </x:c>
      <x:c r="P42" t="str">
        <x:v>/Users/jvidale/Documents/Research/FaultScanR/output/20260722_181326_2487/CI_40353552</x:v>
      </x:c>
    </x:row>
    <x:row r="43">
      <x:c r="A43" t="str">
        <x:v>CI_40353552</x:v>
      </x:c>
      <x:c r="B43" s="99" t="str">
        <x:v>00080</x:v>
      </x:c>
      <x:c r="C43" t="str">
        <x:v>R</x:v>
      </x:c>
      <x:c r="D43" t="str">
        <x:v>R</x:v>
      </x:c>
      <x:c r="E43" t="str">
        <x:v>time shift</x:v>
      </x:c>
      <x:c r="F43" t="str">
        <x:v>S</x:v>
      </x:c>
      <x:c r="G43" s="100" t="n">
        <x:v>3</x:v>
      </x:c>
      <x:c r="H43" s="100" t="n">
        <x:v>10</x:v>
      </x:c>
      <x:c r="I43" s="100" t="n">
        <x:v>250</x:v>
      </x:c>
      <x:c r="J43" s="100" t="n">
        <x:v>-0.196</x:v>
      </x:c>
      <x:c r="K43" s="100" t="n">
        <x:v>-0.1750530617420978</x:v>
      </x:c>
      <x:c r="L43" s="100" t="n">
        <x:v>-0.02094693825790223</x:v>
      </x:c>
      <x:c r="M43" s="100" t="n">
        <x:v>-49</x:v>
      </x:c>
      <x:c r="N43" s="100" t="n">
        <x:v>0.9694719382778236</x:v>
      </x:c>
      <x:c r="O43" s="101" t="b">
        <x:v>1</x:v>
      </x:c>
      <x:c r="P43" t="str">
        <x:v>/Users/jvidale/Documents/Research/FaultScanR/output/20260722_181326_2487/CI_40353552</x:v>
      </x:c>
    </x:row>
    <x:row r="44">
      <x:c r="A44" t="str">
        <x:v>CI_40353552</x:v>
      </x:c>
      <x:c r="B44" s="99" t="str">
        <x:v>00081</x:v>
      </x:c>
      <x:c r="C44" t="str">
        <x:v>R</x:v>
      </x:c>
      <x:c r="D44" t="str">
        <x:v>R</x:v>
      </x:c>
      <x:c r="E44" t="str">
        <x:v>time shift</x:v>
      </x:c>
      <x:c r="F44" t="str">
        <x:v>S</x:v>
      </x:c>
      <x:c r="G44" s="100" t="n">
        <x:v>3</x:v>
      </x:c>
      <x:c r="H44" s="100" t="n">
        <x:v>10</x:v>
      </x:c>
      <x:c r="I44" s="100" t="n">
        <x:v>250</x:v>
      </x:c>
      <x:c r="J44" s="100" t="n">
        <x:v>-0.192</x:v>
      </x:c>
      <x:c r="K44" s="100" t="n">
        <x:v>-0.1655329486984503</x:v>
      </x:c>
      <x:c r="L44" s="100" t="n">
        <x:v>-0.02646705130154975</x:v>
      </x:c>
      <x:c r="M44" s="100" t="n">
        <x:v>-48</x:v>
      </x:c>
      <x:c r="N44" s="100" t="n">
        <x:v>0.9698123160385358</x:v>
      </x:c>
      <x:c r="O44" s="101" t="b">
        <x:v>1</x:v>
      </x:c>
      <x:c r="P44" t="str">
        <x:v>/Users/jvidale/Documents/Research/FaultScanR/output/20260722_181326_2487/CI_40353552</x:v>
      </x:c>
    </x:row>
    <x:row r="45">
      <x:c r="A45" t="str">
        <x:v>CI_40353552</x:v>
      </x:c>
      <x:c r="B45" s="99" t="str">
        <x:v>00082</x:v>
      </x:c>
      <x:c r="C45" t="str">
        <x:v>R</x:v>
      </x:c>
      <x:c r="D45" t="str">
        <x:v>R</x:v>
      </x:c>
      <x:c r="E45" t="str">
        <x:v>time shift</x:v>
      </x:c>
      <x:c r="F45" t="str">
        <x:v>S</x:v>
      </x:c>
      <x:c r="G45" s="100" t="n">
        <x:v>3</x:v>
      </x:c>
      <x:c r="H45" s="100" t="n">
        <x:v>10</x:v>
      </x:c>
      <x:c r="I45" s="100" t="n">
        <x:v>250</x:v>
      </x:c>
      <x:c r="J45" s="100" t="n">
        <x:v>-0.172</x:v>
      </x:c>
      <x:c r="K45" s="100" t="n">
        <x:v>-0.1586705553656875</x:v>
      </x:c>
      <x:c r="L45" s="100" t="n">
        <x:v>-0.01332944463431246</x:v>
      </x:c>
      <x:c r="M45" s="100" t="n">
        <x:v>-43</x:v>
      </x:c>
      <x:c r="N45" s="100" t="n">
        <x:v>0.9742082208410745</x:v>
      </x:c>
      <x:c r="O45" s="101" t="b">
        <x:v>1</x:v>
      </x:c>
      <x:c r="P45" t="str">
        <x:v>/Users/jvidale/Documents/Research/FaultScanR/output/20260722_181326_2487/CI_40353552</x:v>
      </x:c>
    </x:row>
    <x:row r="46">
      <x:c r="A46" t="str">
        <x:v>CI_40353552</x:v>
      </x:c>
      <x:c r="B46" s="99" t="str">
        <x:v>00083</x:v>
      </x:c>
      <x:c r="C46" t="str">
        <x:v>R</x:v>
      </x:c>
      <x:c r="D46" t="str">
        <x:v>R</x:v>
      </x:c>
      <x:c r="E46" t="str">
        <x:v>time shift</x:v>
      </x:c>
      <x:c r="F46" t="str">
        <x:v>S</x:v>
      </x:c>
      <x:c r="G46" s="100" t="n">
        <x:v>3</x:v>
      </x:c>
      <x:c r="H46" s="100" t="n">
        <x:v>10</x:v>
      </x:c>
      <x:c r="I46" s="100" t="n">
        <x:v>250</x:v>
      </x:c>
      <x:c r="J46" s="100" t="n">
        <x:v>-0.164</x:v>
      </x:c>
      <x:c r="K46" s="100" t="n">
        <x:v>-0.1528874656254571</x:v>
      </x:c>
      <x:c r="L46" s="100" t="n">
        <x:v>-0.01111253437454293</x:v>
      </x:c>
      <x:c r="M46" s="100" t="n">
        <x:v>-41</x:v>
      </x:c>
      <x:c r="N46" s="100" t="n">
        <x:v>0.9848466231436218</x:v>
      </x:c>
      <x:c r="O46" s="101" t="b">
        <x:v>1</x:v>
      </x:c>
      <x:c r="P46" t="str">
        <x:v>/Users/jvidale/Documents/Research/FaultScanR/output/20260722_181326_2487/CI_40353552</x:v>
      </x:c>
    </x:row>
    <x:row r="47">
      <x:c r="A47" t="str">
        <x:v>CI_40353552</x:v>
      </x:c>
      <x:c r="B47" s="99" t="str">
        <x:v>00084</x:v>
      </x:c>
      <x:c r="C47" t="str">
        <x:v>R</x:v>
      </x:c>
      <x:c r="D47" t="str">
        <x:v>R</x:v>
      </x:c>
      <x:c r="E47" t="str">
        <x:v>time shift</x:v>
      </x:c>
      <x:c r="F47" t="str">
        <x:v>S</x:v>
      </x:c>
      <x:c r="G47" s="100" t="n">
        <x:v>3</x:v>
      </x:c>
      <x:c r="H47" s="100" t="n">
        <x:v>10</x:v>
      </x:c>
      <x:c r="I47" s="100" t="n">
        <x:v>250</x:v>
      </x:c>
      <x:c r="J47" s="100" t="n">
        <x:v>-0.152</x:v>
      </x:c>
      <x:c r="K47" s="100" t="n">
        <x:v>-0.1428436703134839</x:v>
      </x:c>
      <x:c r="L47" s="100" t="n">
        <x:v>-0.009156329686516113</x:v>
      </x:c>
      <x:c r="M47" s="100" t="n">
        <x:v>-38</x:v>
      </x:c>
      <x:c r="N47" s="100" t="n">
        <x:v>0.989678496878278</x:v>
      </x:c>
      <x:c r="O47" s="101" t="b">
        <x:v>1</x:v>
      </x:c>
      <x:c r="P47" t="str">
        <x:v>/Users/jvidale/Documents/Research/FaultScanR/output/20260722_181326_2487/CI_40353552</x:v>
      </x:c>
    </x:row>
    <x:row r="48">
      <x:c r="A48" t="str">
        <x:v>CI_40353552</x:v>
      </x:c>
      <x:c r="B48" s="99" t="str">
        <x:v>00086</x:v>
      </x:c>
      <x:c r="C48" t="str">
        <x:v>R</x:v>
      </x:c>
      <x:c r="D48" t="str">
        <x:v>R</x:v>
      </x:c>
      <x:c r="E48" t="str">
        <x:v>time shift</x:v>
      </x:c>
      <x:c r="F48" t="str">
        <x:v>S</x:v>
      </x:c>
      <x:c r="G48" s="100" t="n">
        <x:v>3</x:v>
      </x:c>
      <x:c r="H48" s="100" t="n">
        <x:v>10</x:v>
      </x:c>
      <x:c r="I48" s="100" t="n">
        <x:v>250</x:v>
      </x:c>
      <x:c r="J48" s="100" t="n">
        <x:v>-0.128</x:v>
      </x:c>
      <x:c r="K48" s="100" t="n">
        <x:v>-0.1199537129472006</x:v>
      </x:c>
      <x:c r="L48" s="100" t="n">
        <x:v>-0.008046287052799417</x:v>
      </x:c>
      <x:c r="M48" s="100" t="n">
        <x:v>-32</x:v>
      </x:c>
      <x:c r="N48" s="100" t="n">
        <x:v>0.9920522455362482</x:v>
      </x:c>
      <x:c r="O48" s="101" t="b">
        <x:v>1</x:v>
      </x:c>
      <x:c r="P48" t="str">
        <x:v>/Users/jvidale/Documents/Research/FaultScanR/output/20260722_181326_2487/CI_40353552</x:v>
      </x:c>
    </x:row>
    <x:row r="49">
      <x:c r="A49" t="str">
        <x:v>CI_40353552</x:v>
      </x:c>
      <x:c r="B49" s="99" t="str">
        <x:v>00087</x:v>
      </x:c>
      <x:c r="C49" t="str">
        <x:v>R</x:v>
      </x:c>
      <x:c r="D49" t="str">
        <x:v>R</x:v>
      </x:c>
      <x:c r="E49" t="str">
        <x:v>time shift</x:v>
      </x:c>
      <x:c r="F49" t="str">
        <x:v>S</x:v>
      </x:c>
      <x:c r="G49" s="100" t="n">
        <x:v>3</x:v>
      </x:c>
      <x:c r="H49" s="100" t="n">
        <x:v>10</x:v>
      </x:c>
      <x:c r="I49" s="100" t="n">
        <x:v>250</x:v>
      </x:c>
      <x:c r="J49" s="100" t="n">
        <x:v>-0.132</x:v>
      </x:c>
      <x:c r="K49" s="100" t="n">
        <x:v>-0.112442401357395</x:v>
      </x:c>
      <x:c r="L49" s="100" t="n">
        <x:v>-0.01955759864260498</x:v>
      </x:c>
      <x:c r="M49" s="100" t="n">
        <x:v>-33</x:v>
      </x:c>
      <x:c r="N49" s="100" t="n">
        <x:v>0.9939978541058478</x:v>
      </x:c>
      <x:c r="O49" s="101" t="b">
        <x:v>1</x:v>
      </x:c>
      <x:c r="P49" t="str">
        <x:v>/Users/jvidale/Documents/Research/FaultScanR/output/20260722_181326_2487/CI_40353552</x:v>
      </x:c>
    </x:row>
    <x:row r="50">
      <x:c r="A50" t="str">
        <x:v>CI_40353552</x:v>
      </x:c>
      <x:c r="B50" s="99" t="str">
        <x:v>00088</x:v>
      </x:c>
      <x:c r="C50" t="str">
        <x:v>R</x:v>
      </x:c>
      <x:c r="D50" t="str">
        <x:v>R</x:v>
      </x:c>
      <x:c r="E50" t="str">
        <x:v>time shift</x:v>
      </x:c>
      <x:c r="F50" t="str">
        <x:v>S</x:v>
      </x:c>
      <x:c r="G50" s="100" t="n">
        <x:v>3</x:v>
      </x:c>
      <x:c r="H50" s="100" t="n">
        <x:v>10</x:v>
      </x:c>
      <x:c r="I50" s="100" t="n">
        <x:v>250</x:v>
      </x:c>
      <x:c r="J50" s="100" t="n">
        <x:v>-0.108</x:v>
      </x:c>
      <x:c r="K50" s="100" t="n">
        <x:v>-0.1054168015060393</x:v>
      </x:c>
      <x:c r="L50" s="100" t="n">
        <x:v>-0.002583198493960728</x:v>
      </x:c>
      <x:c r="M50" s="100" t="n">
        <x:v>-27</x:v>
      </x:c>
      <x:c r="N50" s="100" t="n">
        <x:v>0.9779133515524093</x:v>
      </x:c>
      <x:c r="O50" s="101" t="b">
        <x:v>1</x:v>
      </x:c>
      <x:c r="P50" t="str">
        <x:v>/Users/jvidale/Documents/Research/FaultScanR/output/20260722_181326_2487/CI_40353552</x:v>
      </x:c>
    </x:row>
    <x:row r="51">
      <x:c r="A51" t="str">
        <x:v>CI_40353552</x:v>
      </x:c>
      <x:c r="B51" s="99" t="str">
        <x:v>00089</x:v>
      </x:c>
      <x:c r="C51" t="str">
        <x:v>R</x:v>
      </x:c>
      <x:c r="D51" t="str">
        <x:v>R</x:v>
      </x:c>
      <x:c r="E51" t="str">
        <x:v>time shift</x:v>
      </x:c>
      <x:c r="F51" t="str">
        <x:v>S</x:v>
      </x:c>
      <x:c r="G51" s="100" t="n">
        <x:v>3</x:v>
      </x:c>
      <x:c r="H51" s="100" t="n">
        <x:v>10</x:v>
      </x:c>
      <x:c r="I51" s="100" t="n">
        <x:v>250</x:v>
      </x:c>
      <x:c r="J51" s="100" t="n">
        <x:v>-0.104</x:v>
      </x:c>
      <x:c r="K51" s="100" t="n">
        <x:v>-0.0973642377887769</x:v>
      </x:c>
      <x:c r="L51" s="100" t="n">
        <x:v>-0.006635762211223098</x:v>
      </x:c>
      <x:c r="M51" s="100" t="n">
        <x:v>-26</x:v>
      </x:c>
      <x:c r="N51" s="100" t="n">
        <x:v>0.9960673755888824</x:v>
      </x:c>
      <x:c r="O51" s="101" t="b">
        <x:v>1</x:v>
      </x:c>
      <x:c r="P51" t="str">
        <x:v>/Users/jvidale/Documents/Research/FaultScanR/output/20260722_181326_2487/CI_40353552</x:v>
      </x:c>
    </x:row>
    <x:row r="52">
      <x:c r="A52" t="str">
        <x:v>CI_40353552</x:v>
      </x:c>
      <x:c r="B52" s="99" t="str">
        <x:v>00090</x:v>
      </x:c>
      <x:c r="C52" t="str">
        <x:v>R</x:v>
      </x:c>
      <x:c r="D52" t="str">
        <x:v>R</x:v>
      </x:c>
      <x:c r="E52" t="str">
        <x:v>time shift</x:v>
      </x:c>
      <x:c r="F52" t="str">
        <x:v>S</x:v>
      </x:c>
      <x:c r="G52" s="100" t="n">
        <x:v>3</x:v>
      </x:c>
      <x:c r="H52" s="100" t="n">
        <x:v>10</x:v>
      </x:c>
      <x:c r="I52" s="100" t="n">
        <x:v>250</x:v>
      </x:c>
      <x:c r="J52" s="100" t="n">
        <x:v>-0.084</x:v>
      </x:c>
      <x:c r="K52" s="100" t="n">
        <x:v>-0.0863154051070465</x:v>
      </x:c>
      <x:c r="L52" s="100" t="n">
        <x:v>0.002315405107046489</x:v>
      </x:c>
      <x:c r="M52" s="100" t="n">
        <x:v>-21</x:v>
      </x:c>
      <x:c r="N52" s="100" t="n">
        <x:v>0.9736564688102376</x:v>
      </x:c>
      <x:c r="O52" s="101" t="b">
        <x:v>1</x:v>
      </x:c>
      <x:c r="P52" t="str">
        <x:v>/Users/jvidale/Documents/Research/FaultScanR/output/20260722_181326_2487/CI_40353552</x:v>
      </x:c>
    </x:row>
    <x:row r="53">
      <x:c r="A53" t="str">
        <x:v>CI_40353552</x:v>
      </x:c>
      <x:c r="B53" s="99" t="str">
        <x:v>00091</x:v>
      </x:c>
      <x:c r="C53" t="str">
        <x:v>R</x:v>
      </x:c>
      <x:c r="D53" t="str">
        <x:v>R</x:v>
      </x:c>
      <x:c r="E53" t="str">
        <x:v>time shift</x:v>
      </x:c>
      <x:c r="F53" t="str">
        <x:v>S</x:v>
      </x:c>
      <x:c r="G53" s="100" t="n">
        <x:v>3</x:v>
      </x:c>
      <x:c r="H53" s="100" t="n">
        <x:v>10</x:v>
      </x:c>
      <x:c r="I53" s="100" t="n">
        <x:v>250</x:v>
      </x:c>
      <x:c r="J53" s="100" t="n">
        <x:v>-0.068</x:v>
      </x:c>
      <x:c r="K53" s="100" t="n">
        <x:v>-0.07766888825793927</x:v>
      </x:c>
      <x:c r="L53" s="100" t="n">
        <x:v>0.009668888257939268</x:v>
      </x:c>
      <x:c r="M53" s="100" t="n">
        <x:v>-17</x:v>
      </x:c>
      <x:c r="N53" s="100" t="n">
        <x:v>0.9572328224058865</x:v>
      </x:c>
      <x:c r="O53" s="101" t="b">
        <x:v>1</x:v>
      </x:c>
      <x:c r="P53" t="str">
        <x:v>/Users/jvidale/Documents/Research/FaultScanR/output/20260722_181326_2487/CI_40353552</x:v>
      </x:c>
    </x:row>
    <x:row r="54">
      <x:c r="A54" t="str">
        <x:v>CI_40353552</x:v>
      </x:c>
      <x:c r="B54" s="99" t="str">
        <x:v>00092</x:v>
      </x:c>
      <x:c r="C54" t="str">
        <x:v>R</x:v>
      </x:c>
      <x:c r="D54" t="str">
        <x:v>R</x:v>
      </x:c>
      <x:c r="E54" t="str">
        <x:v>time shift</x:v>
      </x:c>
      <x:c r="F54" t="str">
        <x:v>S</x:v>
      </x:c>
      <x:c r="G54" s="100" t="n">
        <x:v>3</x:v>
      </x:c>
      <x:c r="H54" s="100" t="n">
        <x:v>10</x:v>
      </x:c>
      <x:c r="I54" s="100" t="n">
        <x:v>250</x:v>
      </x:c>
      <x:c r="J54" s="100" t="n">
        <x:v>-0.072</x:v>
      </x:c>
      <x:c r="K54" s="100" t="n">
        <x:v>-0.06754409192407707</x:v>
      </x:c>
      <x:c r="L54" s="100" t="n">
        <x:v>-0.004455908075922929</x:v>
      </x:c>
      <x:c r="M54" s="100" t="n">
        <x:v>-18</x:v>
      </x:c>
      <x:c r="N54" s="100" t="n">
        <x:v>0.9313345863947375</x:v>
      </x:c>
      <x:c r="O54" s="101" t="b">
        <x:v>1</x:v>
      </x:c>
      <x:c r="P54" t="str">
        <x:v>/Users/jvidale/Documents/Research/FaultScanR/output/20260722_181326_2487/CI_40353552</x:v>
      </x:c>
    </x:row>
    <x:row r="55">
      <x:c r="A55" t="str">
        <x:v>CI_40353552</x:v>
      </x:c>
      <x:c r="B55" s="99" t="str">
        <x:v>00093</x:v>
      </x:c>
      <x:c r="C55" t="str">
        <x:v>R</x:v>
      </x:c>
      <x:c r="D55" t="str">
        <x:v>R</x:v>
      </x:c>
      <x:c r="E55" t="str">
        <x:v>time shift</x:v>
      </x:c>
      <x:c r="F55" t="str">
        <x:v>S</x:v>
      </x:c>
      <x:c r="G55" s="100" t="n">
        <x:v>3</x:v>
      </x:c>
      <x:c r="H55" s="100" t="n">
        <x:v>10</x:v>
      </x:c>
      <x:c r="I55" s="100" t="n">
        <x:v>250</x:v>
      </x:c>
      <x:c r="J55" s="100" t="n">
        <x:v>-0.064</x:v>
      </x:c>
      <x:c r="K55" s="100" t="n">
        <x:v>-0.05784488224828621</x:v>
      </x:c>
      <x:c r="L55" s="100" t="n">
        <x:v>-0.00615511775171379</x:v>
      </x:c>
      <x:c r="M55" s="100" t="n">
        <x:v>-16</x:v>
      </x:c>
      <x:c r="N55" s="100" t="n">
        <x:v>0.9785200071319109</x:v>
      </x:c>
      <x:c r="O55" s="101" t="b">
        <x:v>1</x:v>
      </x:c>
      <x:c r="P55" t="str">
        <x:v>/Users/jvidale/Documents/Research/FaultScanR/output/20260722_181326_2487/CI_40353552</x:v>
      </x:c>
    </x:row>
    <x:row r="56">
      <x:c r="A56" t="str">
        <x:v>CI_40353552</x:v>
      </x:c>
      <x:c r="B56" s="99" t="str">
        <x:v>00094</x:v>
      </x:c>
      <x:c r="C56" t="str">
        <x:v>R</x:v>
      </x:c>
      <x:c r="D56" t="str">
        <x:v>R</x:v>
      </x:c>
      <x:c r="E56" t="str">
        <x:v>time shift</x:v>
      </x:c>
      <x:c r="F56" t="str">
        <x:v>S</x:v>
      </x:c>
      <x:c r="G56" s="100" t="n">
        <x:v>3</x:v>
      </x:c>
      <x:c r="H56" s="100" t="n">
        <x:v>10</x:v>
      </x:c>
      <x:c r="I56" s="100" t="n">
        <x:v>250</x:v>
      </x:c>
      <x:c r="J56" s="100" t="n">
        <x:v>-0.188</x:v>
      </x:c>
      <x:c r="K56" s="100" t="n">
        <x:v>-0.1681301239769608</x:v>
      </x:c>
      <x:c r="L56" s="100" t="n">
        <x:v>-0.01986987602303919</x:v>
      </x:c>
      <x:c r="M56" s="100" t="n">
        <x:v>-47</x:v>
      </x:c>
      <x:c r="N56" s="100" t="n">
        <x:v>0.9685329257534465</x:v>
      </x:c>
      <x:c r="O56" s="101" t="b">
        <x:v>1</x:v>
      </x:c>
      <x:c r="P56" t="str">
        <x:v>/Users/jvidale/Documents/Research/FaultScanR/output/20260722_181326_2487/CI_40353552</x:v>
      </x:c>
    </x:row>
    <x:row r="57">
      <x:c r="A57" t="str">
        <x:v>CI_40353552</x:v>
      </x:c>
      <x:c r="B57" s="99" t="str">
        <x:v>00095</x:v>
      </x:c>
      <x:c r="C57" t="str">
        <x:v>R</x:v>
      </x:c>
      <x:c r="D57" t="str">
        <x:v>R</x:v>
      </x:c>
      <x:c r="E57" t="str">
        <x:v>time shift</x:v>
      </x:c>
      <x:c r="F57" t="str">
        <x:v>S</x:v>
      </x:c>
      <x:c r="G57" s="100" t="n">
        <x:v>3</x:v>
      </x:c>
      <x:c r="H57" s="100" t="n">
        <x:v>10</x:v>
      </x:c>
      <x:c r="I57" s="100" t="n">
        <x:v>250</x:v>
      </x:c>
      <x:c r="J57" s="100" t="n">
        <x:v>-0.208</x:v>
      </x:c>
      <x:c r="K57" s="100" t="n">
        <x:v>-0.1593408354547456</x:v>
      </x:c>
      <x:c r="L57" s="100" t="n">
        <x:v>-0.04865916454525435</x:v>
      </x:c>
      <x:c r="M57" s="100" t="n">
        <x:v>-52</x:v>
      </x:c>
      <x:c r="N57" s="100" t="n">
        <x:v>0.8358714946050487</x:v>
      </x:c>
      <x:c r="O57" s="101" t="b">
        <x:v>1</x:v>
      </x:c>
      <x:c r="P57" t="str">
        <x:v>/Users/jvidale/Documents/Research/FaultScanR/output/20260722_181326_2487/CI_40353552</x:v>
      </x:c>
    </x:row>
    <x:row r="58">
      <x:c r="A58" t="str">
        <x:v>CI_40353552</x:v>
      </x:c>
      <x:c r="B58" s="99" t="str">
        <x:v>00096</x:v>
      </x:c>
      <x:c r="C58" t="str">
        <x:v>R</x:v>
      </x:c>
      <x:c r="D58" t="str">
        <x:v>R</x:v>
      </x:c>
      <x:c r="E58" t="str">
        <x:v>time shift</x:v>
      </x:c>
      <x:c r="F58" t="str">
        <x:v>S</x:v>
      </x:c>
      <x:c r="G58" s="100" t="n">
        <x:v>3</x:v>
      </x:c>
      <x:c r="H58" s="100" t="n">
        <x:v>10</x:v>
      </x:c>
      <x:c r="I58" s="100" t="n">
        <x:v>250</x:v>
      </x:c>
      <x:c r="J58" s="100" t="n">
        <x:v>-0.176</x:v>
      </x:c>
      <x:c r="K58" s="100" t="n">
        <x:v>-0.1501268594925627</x:v>
      </x:c>
      <x:c r="L58" s="100" t="n">
        <x:v>-0.02587314050743733</x:v>
      </x:c>
      <x:c r="M58" s="100" t="n">
        <x:v>-44</x:v>
      </x:c>
      <x:c r="N58" s="100" t="n">
        <x:v>0.9250395027075768</x:v>
      </x:c>
      <x:c r="O58" s="101" t="b">
        <x:v>1</x:v>
      </x:c>
      <x:c r="P58" t="str">
        <x:v>/Users/jvidale/Documents/Research/FaultScanR/output/20260722_181326_2487/CI_40353552</x:v>
      </x:c>
    </x:row>
    <x:row r="59">
      <x:c r="A59" t="str">
        <x:v>CI_40353552</x:v>
      </x:c>
      <x:c r="B59" s="99" t="str">
        <x:v>00097</x:v>
      </x:c>
      <x:c r="C59" t="str">
        <x:v>R</x:v>
      </x:c>
      <x:c r="D59" t="str">
        <x:v>R</x:v>
      </x:c>
      <x:c r="E59" t="str">
        <x:v>time shift</x:v>
      </x:c>
      <x:c r="F59" t="str">
        <x:v>S</x:v>
      </x:c>
      <x:c r="G59" s="100" t="n">
        <x:v>3</x:v>
      </x:c>
      <x:c r="H59" s="100" t="n">
        <x:v>10</x:v>
      </x:c>
      <x:c r="I59" s="100" t="n">
        <x:v>250</x:v>
      </x:c>
      <x:c r="J59" s="100" t="n">
        <x:v>-0.172</x:v>
      </x:c>
      <x:c r="K59" s="100" t="n">
        <x:v>-0.1443913094409428</x:v>
      </x:c>
      <x:c r="L59" s="100" t="n">
        <x:v>-0.02760869055905718</x:v>
      </x:c>
      <x:c r="M59" s="100" t="n">
        <x:v>-43</x:v>
      </x:c>
      <x:c r="N59" s="100" t="n">
        <x:v>0.9577198040035528</x:v>
      </x:c>
      <x:c r="O59" s="101" t="b">
        <x:v>1</x:v>
      </x:c>
      <x:c r="P59" t="str">
        <x:v>/Users/jvidale/Documents/Research/FaultScanR/output/20260722_181326_2487/CI_40353552</x:v>
      </x:c>
    </x:row>
    <x:row r="60">
      <x:c r="A60" t="str">
        <x:v>CI_40353552</x:v>
      </x:c>
      <x:c r="B60" s="99" t="str">
        <x:v>00098</x:v>
      </x:c>
      <x:c r="C60" t="str">
        <x:v>R</x:v>
      </x:c>
      <x:c r="D60" t="str">
        <x:v>R</x:v>
      </x:c>
      <x:c r="E60" t="str">
        <x:v>time shift</x:v>
      </x:c>
      <x:c r="F60" t="str">
        <x:v>S</x:v>
      </x:c>
      <x:c r="G60" s="100" t="n">
        <x:v>3</x:v>
      </x:c>
      <x:c r="H60" s="100" t="n">
        <x:v>10</x:v>
      </x:c>
      <x:c r="I60" s="100" t="n">
        <x:v>250</x:v>
      </x:c>
      <x:c r="J60" s="100" t="n">
        <x:v>-0.152</x:v>
      </x:c>
      <x:c r="K60" s="100" t="n">
        <x:v>-0.1325773191556943</x:v>
      </x:c>
      <x:c r="L60" s="100" t="n">
        <x:v>-0.01942268084430573</x:v>
      </x:c>
      <x:c r="M60" s="100" t="n">
        <x:v>-38</x:v>
      </x:c>
      <x:c r="N60" s="100" t="n">
        <x:v>0.9892698465591874</x:v>
      </x:c>
      <x:c r="O60" s="101" t="b">
        <x:v>1</x:v>
      </x:c>
      <x:c r="P60" t="str">
        <x:v>/Users/jvidale/Documents/Research/FaultScanR/output/20260722_181326_2487/CI_40353552</x:v>
      </x:c>
    </x:row>
    <x:row r="61">
      <x:c r="A61" t="str">
        <x:v>CI_40353552</x:v>
      </x:c>
      <x:c r="B61" s="99" t="str">
        <x:v>00099</x:v>
      </x:c>
      <x:c r="C61" t="str">
        <x:v>R</x:v>
      </x:c>
      <x:c r="D61" t="str">
        <x:v>R</x:v>
      </x:c>
      <x:c r="E61" t="str">
        <x:v>time shift</x:v>
      </x:c>
      <x:c r="F61" t="str">
        <x:v>S</x:v>
      </x:c>
      <x:c r="G61" s="100" t="n">
        <x:v>3</x:v>
      </x:c>
      <x:c r="H61" s="100" t="n">
        <x:v>10</x:v>
      </x:c>
      <x:c r="I61" s="100" t="n">
        <x:v>250</x:v>
      </x:c>
      <x:c r="J61" s="100" t="n">
        <x:v>-0.144</x:v>
      </x:c>
      <x:c r="K61" s="100" t="n">
        <x:v>-0.1261573754804424</x:v>
      </x:c>
      <x:c r="L61" s="100" t="n">
        <x:v>-0.01784262451955762</x:v>
      </x:c>
      <x:c r="M61" s="100" t="n">
        <x:v>-36</x:v>
      </x:c>
      <x:c r="N61" s="100" t="n">
        <x:v>0.9910416965916464</x:v>
      </x:c>
      <x:c r="O61" s="101" t="b">
        <x:v>1</x:v>
      </x:c>
      <x:c r="P61" t="str">
        <x:v>/Users/jvidale/Documents/Research/FaultScanR/output/20260722_181326_2487/CI_40353552</x:v>
      </x:c>
    </x:row>
    <x:row r="62">
      <x:c r="A62" t="str">
        <x:v>CI_40353552</x:v>
      </x:c>
      <x:c r="B62" s="99" t="str">
        <x:v>00101</x:v>
      </x:c>
      <x:c r="C62" t="str">
        <x:v>R</x:v>
      </x:c>
      <x:c r="D62" t="str">
        <x:v>R</x:v>
      </x:c>
      <x:c r="E62" t="str">
        <x:v>time shift</x:v>
      </x:c>
      <x:c r="F62" t="str">
        <x:v>S</x:v>
      </x:c>
      <x:c r="G62" s="100" t="n">
        <x:v>3</x:v>
      </x:c>
      <x:c r="H62" s="100" t="n">
        <x:v>10</x:v>
      </x:c>
      <x:c r="I62" s="100" t="n">
        <x:v>250</x:v>
      </x:c>
      <x:c r="J62" s="100" t="n">
        <x:v>-0.116</x:v>
      </x:c>
      <x:c r="K62" s="100" t="n">
        <x:v>-0.1056526298029672</x:v>
      </x:c>
      <x:c r="L62" s="100" t="n">
        <x:v>-0.01034737019703282</x:v>
      </x:c>
      <x:c r="M62" s="100" t="n">
        <x:v>-29</x:v>
      </x:c>
      <x:c r="N62" s="100" t="n">
        <x:v>0.9972014489675829</x:v>
      </x:c>
      <x:c r="O62" s="101" t="b">
        <x:v>1</x:v>
      </x:c>
      <x:c r="P62" t="str">
        <x:v>/Users/jvidale/Documents/Research/FaultScanR/output/20260722_181326_2487/CI_40353552</x:v>
      </x:c>
    </x:row>
    <x:row r="63">
      <x:c r="A63" t="str">
        <x:v>CI_40353552</x:v>
      </x:c>
      <x:c r="B63" s="99" t="str">
        <x:v>00102</x:v>
      </x:c>
      <x:c r="C63" t="str">
        <x:v>R</x:v>
      </x:c>
      <x:c r="D63" t="str">
        <x:v>R</x:v>
      </x:c>
      <x:c r="E63" t="str">
        <x:v>time shift</x:v>
      </x:c>
      <x:c r="F63" t="str">
        <x:v>S</x:v>
      </x:c>
      <x:c r="G63" s="100" t="n">
        <x:v>3</x:v>
      </x:c>
      <x:c r="H63" s="100" t="n">
        <x:v>10</x:v>
      </x:c>
      <x:c r="I63" s="100" t="n">
        <x:v>250</x:v>
      </x:c>
      <x:c r="J63" s="100" t="n">
        <x:v>-0.112</x:v>
      </x:c>
      <x:c r="K63" s="100" t="n">
        <x:v>-0.0999305126178518</x:v>
      </x:c>
      <x:c r="L63" s="100" t="n">
        <x:v>-0.01206948738214821</x:v>
      </x:c>
      <x:c r="M63" s="100" t="n">
        <x:v>-28</x:v>
      </x:c>
      <x:c r="N63" s="100" t="n">
        <x:v>0.9973600704237195</x:v>
      </x:c>
      <x:c r="O63" s="101" t="b">
        <x:v>1</x:v>
      </x:c>
      <x:c r="P63" t="str">
        <x:v>/Users/jvidale/Documents/Research/FaultScanR/output/20260722_181326_2487/CI_40353552</x:v>
      </x:c>
    </x:row>
    <x:row r="64">
      <x:c r="A64" t="str">
        <x:v>CI_40353552</x:v>
      </x:c>
      <x:c r="B64" s="99" t="str">
        <x:v>00103</x:v>
      </x:c>
      <x:c r="C64" t="str">
        <x:v>R</x:v>
      </x:c>
      <x:c r="D64" t="str">
        <x:v>R</x:v>
      </x:c>
      <x:c r="E64" t="str">
        <x:v>time shift</x:v>
      </x:c>
      <x:c r="F64" t="str">
        <x:v>S</x:v>
      </x:c>
      <x:c r="G64" s="100" t="n">
        <x:v>3</x:v>
      </x:c>
      <x:c r="H64" s="100" t="n">
        <x:v>10</x:v>
      </x:c>
      <x:c r="I64" s="100" t="n">
        <x:v>250</x:v>
      </x:c>
      <x:c r="J64" s="100" t="n">
        <x:v>-0.108</x:v>
      </x:c>
      <x:c r="K64" s="100" t="n">
        <x:v>-0.0935082664631226</x:v>
      </x:c>
      <x:c r="L64" s="100" t="n">
        <x:v>-0.0144917335368774</x:v>
      </x:c>
      <x:c r="M64" s="100" t="n">
        <x:v>-27</x:v>
      </x:c>
      <x:c r="N64" s="100" t="n">
        <x:v>0.989956563502412</x:v>
      </x:c>
      <x:c r="O64" s="101" t="b">
        <x:v>1</x:v>
      </x:c>
      <x:c r="P64" t="str">
        <x:v>/Users/jvidale/Documents/Research/FaultScanR/output/20260722_181326_2487/CI_40353552</x:v>
      </x:c>
    </x:row>
    <x:row r="65">
      <x:c r="A65" t="str">
        <x:v>CI_40353552</x:v>
      </x:c>
      <x:c r="B65" s="99" t="str">
        <x:v>00104</x:v>
      </x:c>
      <x:c r="C65" t="str">
        <x:v>R</x:v>
      </x:c>
      <x:c r="D65" t="str">
        <x:v>R</x:v>
      </x:c>
      <x:c r="E65" t="str">
        <x:v>time shift</x:v>
      </x:c>
      <x:c r="F65" t="str">
        <x:v>S</x:v>
      </x:c>
      <x:c r="G65" s="100" t="n">
        <x:v>3</x:v>
      </x:c>
      <x:c r="H65" s="100" t="n">
        <x:v>10</x:v>
      </x:c>
      <x:c r="I65" s="100" t="n">
        <x:v>250</x:v>
      </x:c>
      <x:c r="J65" s="100" t="n">
        <x:v>-0.084</x:v>
      </x:c>
      <x:c r="K65" s="100" t="n">
        <x:v>-0.08287038729118024</x:v>
      </x:c>
      <x:c r="L65" s="100" t="n">
        <x:v>-0.001129612708819769</x:v>
      </x:c>
      <x:c r="M65" s="100" t="n">
        <x:v>-21</x:v>
      </x:c>
      <x:c r="N65" s="100" t="n">
        <x:v>0.964806596604799</x:v>
      </x:c>
      <x:c r="O65" s="101" t="b">
        <x:v>1</x:v>
      </x:c>
      <x:c r="P65" t="str">
        <x:v>/Users/jvidale/Documents/Research/FaultScanR/output/20260722_181326_2487/CI_40353552</x:v>
      </x:c>
    </x:row>
    <x:row r="66">
      <x:c r="A66" t="str">
        <x:v>CI_40353552</x:v>
      </x:c>
      <x:c r="B66" s="99" t="str">
        <x:v>00105</x:v>
      </x:c>
      <x:c r="C66" t="str">
        <x:v>R</x:v>
      </x:c>
      <x:c r="D66" t="str">
        <x:v>R</x:v>
      </x:c>
      <x:c r="E66" t="str">
        <x:v>time shift</x:v>
      </x:c>
      <x:c r="F66" t="str">
        <x:v>S</x:v>
      </x:c>
      <x:c r="G66" s="100" t="n">
        <x:v>3</x:v>
      </x:c>
      <x:c r="H66" s="100" t="n">
        <x:v>10</x:v>
      </x:c>
      <x:c r="I66" s="100" t="n">
        <x:v>250</x:v>
      </x:c>
      <x:c r="J66" s="100" t="n">
        <x:v>-0.064</x:v>
      </x:c>
      <x:c r="K66" s="100" t="n">
        <x:v>-0.07337671183174521</x:v>
      </x:c>
      <x:c r="L66" s="100" t="n">
        <x:v>0.00937671183174521</x:v>
      </x:c>
      <x:c r="M66" s="100" t="n">
        <x:v>-16</x:v>
      </x:c>
      <x:c r="N66" s="100" t="n">
        <x:v>0.9430385976363803</x:v>
      </x:c>
      <x:c r="O66" s="101" t="b">
        <x:v>1</x:v>
      </x:c>
      <x:c r="P66" t="str">
        <x:v>/Users/jvidale/Documents/Research/FaultScanR/output/20260722_181326_2487/CI_40353552</x:v>
      </x:c>
    </x:row>
    <x:row r="67">
      <x:c r="A67" t="str">
        <x:v>CI_40353552</x:v>
      </x:c>
      <x:c r="B67" s="99" t="str">
        <x:v>00106</x:v>
      </x:c>
      <x:c r="C67" t="str">
        <x:v>R</x:v>
      </x:c>
      <x:c r="D67" t="str">
        <x:v>R</x:v>
      </x:c>
      <x:c r="E67" t="str">
        <x:v>time shift</x:v>
      </x:c>
      <x:c r="F67" t="str">
        <x:v>S</x:v>
      </x:c>
      <x:c r="G67" s="100" t="n">
        <x:v>3</x:v>
      </x:c>
      <x:c r="H67" s="100" t="n">
        <x:v>10</x:v>
      </x:c>
      <x:c r="I67" s="100" t="n">
        <x:v>250</x:v>
      </x:c>
      <x:c r="J67" s="100" t="n">
        <x:v>-0.052</x:v>
      </x:c>
      <x:c r="K67" s="100" t="n">
        <x:v>-0.06320344472238837</x:v>
      </x:c>
      <x:c r="L67" s="100" t="n">
        <x:v>0.01120344472238837</x:v>
      </x:c>
      <x:c r="M67" s="100" t="n">
        <x:v>-13</x:v>
      </x:c>
      <x:c r="N67" s="100" t="n">
        <x:v>0.9221016986529944</x:v>
      </x:c>
      <x:c r="O67" s="101" t="b">
        <x:v>1</x:v>
      </x:c>
      <x:c r="P67" t="str">
        <x:v>/Users/jvidale/Documents/Research/FaultScanR/output/20260722_181326_2487/CI_40353552</x:v>
      </x:c>
    </x:row>
    <x:row r="68">
      <x:c r="A68" t="str">
        <x:v>CI_40353552</x:v>
      </x:c>
      <x:c r="B68" s="99" t="str">
        <x:v>00108</x:v>
      </x:c>
      <x:c r="C68" t="str">
        <x:v>R</x:v>
      </x:c>
      <x:c r="D68" t="str">
        <x:v>R</x:v>
      </x:c>
      <x:c r="E68" t="str">
        <x:v>time shift</x:v>
      </x:c>
      <x:c r="F68" t="str">
        <x:v>S</x:v>
      </x:c>
      <x:c r="G68" s="100" t="n">
        <x:v>3</x:v>
      </x:c>
      <x:c r="H68" s="100" t="n">
        <x:v>10</x:v>
      </x:c>
      <x:c r="I68" s="100" t="n">
        <x:v>250</x:v>
      </x:c>
      <x:c r="J68" s="100" t="n">
        <x:v>-0.056</x:v>
      </x:c>
      <x:c r="K68" s="100" t="n">
        <x:v>-0.0464625904667697</x:v>
      </x:c>
      <x:c r="L68" s="100" t="n">
        <x:v>-0.009537409533230297</x:v>
      </x:c>
      <x:c r="M68" s="100" t="n">
        <x:v>-14</x:v>
      </x:c>
      <x:c r="N68" s="100" t="n">
        <x:v>0.9061534591669662</x:v>
      </x:c>
      <x:c r="O68" s="101" t="b">
        <x:v>1</x:v>
      </x:c>
      <x:c r="P68" t="str">
        <x:v>/Users/jvidale/Documents/Research/FaultScanR/output/20260722_181326_2487/CI_40353552</x:v>
      </x:c>
    </x:row>
    <x:row r="69">
      <x:c r="A69" t="str">
        <x:v>CI_40353552</x:v>
      </x:c>
      <x:c r="B69" s="99" t="str">
        <x:v>00109</x:v>
      </x:c>
      <x:c r="C69" t="str">
        <x:v>R</x:v>
      </x:c>
      <x:c r="D69" t="str">
        <x:v>R</x:v>
      </x:c>
      <x:c r="E69" t="str">
        <x:v>time shift</x:v>
      </x:c>
      <x:c r="F69" t="str">
        <x:v>S</x:v>
      </x:c>
      <x:c r="G69" s="100" t="n">
        <x:v>3</x:v>
      </x:c>
      <x:c r="H69" s="100" t="n">
        <x:v>10</x:v>
      </x:c>
      <x:c r="I69" s="100" t="n">
        <x:v>250</x:v>
      </x:c>
      <x:c r="J69" s="100" t="n">
        <x:v>-0.048</x:v>
      </x:c>
      <x:c r="K69" s="100" t="n">
        <x:v>-0.03561748788714603</x:v>
      </x:c>
      <x:c r="L69" s="100" t="n">
        <x:v>-0.01238251211285397</x:v>
      </x:c>
      <x:c r="M69" s="100" t="n">
        <x:v>-12</x:v>
      </x:c>
      <x:c r="N69" s="100" t="n">
        <x:v>0.9223103763921919</x:v>
      </x:c>
      <x:c r="O69" s="101" t="b">
        <x:v>1</x:v>
      </x:c>
      <x:c r="P69" t="str">
        <x:v>/Users/jvidale/Documents/Research/FaultScanR/output/20260722_181326_2487/CI_40353552</x:v>
      </x:c>
    </x:row>
    <x:row r="70">
      <x:c r="A70" t="str">
        <x:v>CI_40353552</x:v>
      </x:c>
      <x:c r="B70" s="99" t="str">
        <x:v>00110</x:v>
      </x:c>
      <x:c r="C70" t="str">
        <x:v>R</x:v>
      </x:c>
      <x:c r="D70" t="str">
        <x:v>R</x:v>
      </x:c>
      <x:c r="E70" t="str">
        <x:v>time shift</x:v>
      </x:c>
      <x:c r="F70" t="str">
        <x:v>S</x:v>
      </x:c>
      <x:c r="G70" s="100" t="n">
        <x:v>3</x:v>
      </x:c>
      <x:c r="H70" s="100" t="n">
        <x:v>10</x:v>
      </x:c>
      <x:c r="I70" s="100" t="n">
        <x:v>250</x:v>
      </x:c>
      <x:c r="J70" s="100" t="n">
        <x:v>-0.172</x:v>
      </x:c>
      <x:c r="K70" s="100" t="n">
        <x:v>-0.1485057980117039</x:v>
      </x:c>
      <x:c r="L70" s="100" t="n">
        <x:v>-0.02349420198829605</x:v>
      </x:c>
      <x:c r="M70" s="100" t="n">
        <x:v>-43</x:v>
      </x:c>
      <x:c r="N70" s="100" t="n">
        <x:v>0.9388180660477617</x:v>
      </x:c>
      <x:c r="O70" s="101" t="b">
        <x:v>1</x:v>
      </x:c>
      <x:c r="P70" t="str">
        <x:v>/Users/jvidale/Documents/Research/FaultScanR/output/20260722_181326_2487/CI_40353552</x:v>
      </x:c>
    </x:row>
    <x:row r="71">
      <x:c r="A71" t="str">
        <x:v>CI_40353552</x:v>
      </x:c>
      <x:c r="B71" s="99" t="str">
        <x:v>00111</x:v>
      </x:c>
      <x:c r="C71" t="str">
        <x:v>R</x:v>
      </x:c>
      <x:c r="D71" t="str">
        <x:v>R</x:v>
      </x:c>
      <x:c r="E71" t="str">
        <x:v>time shift</x:v>
      </x:c>
      <x:c r="F71" t="str">
        <x:v>S</x:v>
      </x:c>
      <x:c r="G71" s="100" t="n">
        <x:v>3</x:v>
      </x:c>
      <x:c r="H71" s="100" t="n">
        <x:v>10</x:v>
      </x:c>
      <x:c r="I71" s="100" t="n">
        <x:v>250</x:v>
      </x:c>
      <x:c r="J71" s="100" t="n">
        <x:v>-0.156</x:v>
      </x:c>
      <x:c r="K71" s="100" t="n">
        <x:v>-0.1352371544012279</x:v>
      </x:c>
      <x:c r="L71" s="100" t="n">
        <x:v>-0.02076284559877214</x:v>
      </x:c>
      <x:c r="M71" s="100" t="n">
        <x:v>-39</x:v>
      </x:c>
      <x:c r="N71" s="100" t="n">
        <x:v>0.9480685806911813</x:v>
      </x:c>
      <x:c r="O71" s="101" t="b">
        <x:v>1</x:v>
      </x:c>
      <x:c r="P71" t="str">
        <x:v>/Users/jvidale/Documents/Research/FaultScanR/output/20260722_181326_2487/CI_40353552</x:v>
      </x:c>
    </x:row>
    <x:row r="72">
      <x:c r="A72" t="str">
        <x:v>CI_40353552</x:v>
      </x:c>
      <x:c r="B72" s="99" t="str">
        <x:v>00112</x:v>
      </x:c>
      <x:c r="C72" t="str">
        <x:v>R</x:v>
      </x:c>
      <x:c r="D72" t="str">
        <x:v>R</x:v>
      </x:c>
      <x:c r="E72" t="str">
        <x:v>time shift</x:v>
      </x:c>
      <x:c r="F72" t="str">
        <x:v>S</x:v>
      </x:c>
      <x:c r="G72" s="100" t="n">
        <x:v>3</x:v>
      </x:c>
      <x:c r="H72" s="100" t="n">
        <x:v>10</x:v>
      </x:c>
      <x:c r="I72" s="100" t="n">
        <x:v>250</x:v>
      </x:c>
      <x:c r="J72" s="100" t="n">
        <x:v>-0.152</x:v>
      </x:c>
      <x:c r="K72" s="100" t="n">
        <x:v>-0.1272050287654594</x:v>
      </x:c>
      <x:c r="L72" s="100" t="n">
        <x:v>-0.02479497123454064</x:v>
      </x:c>
      <x:c r="M72" s="100" t="n">
        <x:v>-38</x:v>
      </x:c>
      <x:c r="N72" s="100" t="n">
        <x:v>0.9194136307917873</x:v>
      </x:c>
      <x:c r="O72" s="101" t="b">
        <x:v>1</x:v>
      </x:c>
      <x:c r="P72" t="str">
        <x:v>/Users/jvidale/Documents/Research/FaultScanR/output/20260722_181326_2487/CI_40353552</x:v>
      </x:c>
    </x:row>
    <x:row r="73">
      <x:c r="A73" t="str">
        <x:v>CI_40353552</x:v>
      </x:c>
      <x:c r="B73" s="99" t="str">
        <x:v>00113</x:v>
      </x:c>
      <x:c r="C73" t="str">
        <x:v>R</x:v>
      </x:c>
      <x:c r="D73" t="str">
        <x:v>R</x:v>
      </x:c>
      <x:c r="E73" t="str">
        <x:v>time shift</x:v>
      </x:c>
      <x:c r="F73" t="str">
        <x:v>S</x:v>
      </x:c>
      <x:c r="G73" s="100" t="n">
        <x:v>3</x:v>
      </x:c>
      <x:c r="H73" s="100" t="n">
        <x:v>10</x:v>
      </x:c>
      <x:c r="I73" s="100" t="n">
        <x:v>250</x:v>
      </x:c>
      <x:c r="J73" s="100" t="n">
        <x:v>-0.152</x:v>
      </x:c>
      <x:c r="K73" s="100" t="n">
        <x:v>-0.1218184958826001</x:v>
      </x:c>
      <x:c r="L73" s="100" t="n">
        <x:v>-0.03018150411739992</x:v>
      </x:c>
      <x:c r="M73" s="100" t="n">
        <x:v>-38</x:v>
      </x:c>
      <x:c r="N73" s="100" t="n">
        <x:v>0.9582723891100581</x:v>
      </x:c>
      <x:c r="O73" s="101" t="b">
        <x:v>1</x:v>
      </x:c>
      <x:c r="P73" t="str">
        <x:v>/Users/jvidale/Documents/Research/FaultScanR/output/20260722_181326_2487/CI_40353552</x:v>
      </x:c>
    </x:row>
    <x:row r="74">
      <x:c r="A74" t="str">
        <x:v>CI_40353552</x:v>
      </x:c>
      <x:c r="B74" s="99" t="str">
        <x:v>00114</x:v>
      </x:c>
      <x:c r="C74" t="str">
        <x:v>R</x:v>
      </x:c>
      <x:c r="D74" t="str">
        <x:v>R</x:v>
      </x:c>
      <x:c r="E74" t="str">
        <x:v>time shift</x:v>
      </x:c>
      <x:c r="F74" t="str">
        <x:v>S</x:v>
      </x:c>
      <x:c r="G74" s="100" t="n">
        <x:v>3</x:v>
      </x:c>
      <x:c r="H74" s="100" t="n">
        <x:v>10</x:v>
      </x:c>
      <x:c r="I74" s="100" t="n">
        <x:v>250</x:v>
      </x:c>
      <x:c r="J74" s="100" t="n">
        <x:v>-0.132</x:v>
      </x:c>
      <x:c r="K74" s="100" t="n">
        <x:v>-0.1105125664332212</x:v>
      </x:c>
      <x:c r="L74" s="100" t="n">
        <x:v>-0.02148743356677885</x:v>
      </x:c>
      <x:c r="M74" s="100" t="n">
        <x:v>-33</x:v>
      </x:c>
      <x:c r="N74" s="100" t="n">
        <x:v>0.9850760451984797</x:v>
      </x:c>
      <x:c r="O74" s="101" t="b">
        <x:v>1</x:v>
      </x:c>
      <x:c r="P74" t="str">
        <x:v>/Users/jvidale/Documents/Research/FaultScanR/output/20260722_181326_2487/CI_40353552</x:v>
      </x:c>
    </x:row>
    <x:row r="75">
      <x:c r="A75" t="str">
        <x:v>CI_40353552</x:v>
      </x:c>
      <x:c r="B75" s="99" t="str">
        <x:v>00115</x:v>
      </x:c>
      <x:c r="C75" t="str">
        <x:v>R</x:v>
      </x:c>
      <x:c r="D75" t="str">
        <x:v>R</x:v>
      </x:c>
      <x:c r="E75" t="str">
        <x:v>time shift</x:v>
      </x:c>
      <x:c r="F75" t="str">
        <x:v>S</x:v>
      </x:c>
      <x:c r="G75" s="100" t="n">
        <x:v>3</x:v>
      </x:c>
      <x:c r="H75" s="100" t="n">
        <x:v>10</x:v>
      </x:c>
      <x:c r="I75" s="100" t="n">
        <x:v>250</x:v>
      </x:c>
      <x:c r="J75" s="100" t="n">
        <x:v>-0.128</x:v>
      </x:c>
      <x:c r="K75" s="100" t="n">
        <x:v>-0.1063905803773908</x:v>
      </x:c>
      <x:c r="L75" s="100" t="n">
        <x:v>-0.02160941962260921</x:v>
      </x:c>
      <x:c r="M75" s="100" t="n">
        <x:v>-32</x:v>
      </x:c>
      <x:c r="N75" s="100" t="n">
        <x:v>0.9926024468435015</x:v>
      </x:c>
      <x:c r="O75" s="101" t="b">
        <x:v>1</x:v>
      </x:c>
      <x:c r="P75" t="str">
        <x:v>/Users/jvidale/Documents/Research/FaultScanR/output/20260722_181326_2487/CI_40353552</x:v>
      </x:c>
    </x:row>
    <x:row r="76">
      <x:c r="A76" t="str">
        <x:v>CI_40353552</x:v>
      </x:c>
      <x:c r="B76" s="99" t="str">
        <x:v>00116</x:v>
      </x:c>
      <x:c r="C76" t="str">
        <x:v>R</x:v>
      </x:c>
      <x:c r="D76" t="str">
        <x:v>R</x:v>
      </x:c>
      <x:c r="E76" t="str">
        <x:v>time shift</x:v>
      </x:c>
      <x:c r="F76" t="str">
        <x:v>S</x:v>
      </x:c>
      <x:c r="G76" s="100" t="n">
        <x:v>3</x:v>
      </x:c>
      <x:c r="H76" s="100" t="n">
        <x:v>10</x:v>
      </x:c>
      <x:c r="I76" s="100" t="n">
        <x:v>250</x:v>
      </x:c>
      <x:c r="J76" s="100" t="n">
        <x:v>-0.112</x:v>
      </x:c>
      <x:c r="K76" s="100" t="n">
        <x:v>-0.0949340007627999</x:v>
      </x:c>
      <x:c r="L76" s="100" t="n">
        <x:v>-0.01706599923720011</x:v>
      </x:c>
      <x:c r="M76" s="100" t="n">
        <x:v>-28</x:v>
      </x:c>
      <x:c r="N76" s="100" t="n">
        <x:v>0.9908458549851371</x:v>
      </x:c>
      <x:c r="O76" s="101" t="b">
        <x:v>1</x:v>
      </x:c>
      <x:c r="P76" t="str">
        <x:v>/Users/jvidale/Documents/Research/FaultScanR/output/20260722_181326_2487/CI_40353552</x:v>
      </x:c>
    </x:row>
    <x:row r="77">
      <x:c r="A77" t="str">
        <x:v>CI_40353552</x:v>
      </x:c>
      <x:c r="B77" s="99" t="str">
        <x:v>00117</x:v>
      </x:c>
      <x:c r="C77" t="str">
        <x:v>R</x:v>
      </x:c>
      <x:c r="D77" t="str">
        <x:v>R</x:v>
      </x:c>
      <x:c r="E77" t="str">
        <x:v>time shift</x:v>
      </x:c>
      <x:c r="F77" t="str">
        <x:v>S</x:v>
      </x:c>
      <x:c r="G77" s="100" t="n">
        <x:v>3</x:v>
      </x:c>
      <x:c r="H77" s="100" t="n">
        <x:v>10</x:v>
      </x:c>
      <x:c r="I77" s="100" t="n">
        <x:v>250</x:v>
      </x:c>
      <x:c r="J77" s="100" t="n">
        <x:v>-0.096</x:v>
      </x:c>
      <x:c r="K77" s="100" t="n">
        <x:v>-0.088266436878504</x:v>
      </x:c>
      <x:c r="L77" s="100" t="n">
        <x:v>-0.007733563121496007</x:v>
      </x:c>
      <x:c r="M77" s="100" t="n">
        <x:v>-24</x:v>
      </x:c>
      <x:c r="N77" s="100" t="n">
        <x:v>0.9965460034325162</x:v>
      </x:c>
      <x:c r="O77" s="101" t="b">
        <x:v>1</x:v>
      </x:c>
      <x:c r="P77" t="str">
        <x:v>/Users/jvidale/Documents/Research/FaultScanR/output/20260722_181326_2487/CI_40353552</x:v>
      </x:c>
    </x:row>
    <x:row r="78">
      <x:c r="A78" t="str">
        <x:v>CI_40353552</x:v>
      </x:c>
      <x:c r="B78" s="99" t="str">
        <x:v>00118</x:v>
      </x:c>
      <x:c r="C78" t="str">
        <x:v>R</x:v>
      </x:c>
      <x:c r="D78" t="str">
        <x:v>R</x:v>
      </x:c>
      <x:c r="E78" t="str">
        <x:v>time shift</x:v>
      </x:c>
      <x:c r="F78" t="str">
        <x:v>S</x:v>
      </x:c>
      <x:c r="G78" s="100" t="n">
        <x:v>3</x:v>
      </x:c>
      <x:c r="H78" s="100" t="n">
        <x:v>10</x:v>
      </x:c>
      <x:c r="I78" s="100" t="n">
        <x:v>250</x:v>
      </x:c>
      <x:c r="J78" s="100" t="n">
        <x:v>-0.084</x:v>
      </x:c>
      <x:c r="K78" s="100" t="n">
        <x:v>-0.07740815638025289</x:v>
      </x:c>
      <x:c r="L78" s="100" t="n">
        <x:v>-0.006591843619747115</x:v>
      </x:c>
      <x:c r="M78" s="100" t="n">
        <x:v>-21</x:v>
      </x:c>
      <x:c r="N78" s="100" t="n">
        <x:v>0.9845367969711277</x:v>
      </x:c>
      <x:c r="O78" s="101" t="b">
        <x:v>1</x:v>
      </x:c>
      <x:c r="P78" t="str">
        <x:v>/Users/jvidale/Documents/Research/FaultScanR/output/20260722_181326_2487/CI_40353552</x:v>
      </x:c>
    </x:row>
    <x:row r="79">
      <x:c r="A79" t="str">
        <x:v>CI_40353552</x:v>
      </x:c>
      <x:c r="B79" s="99" t="str">
        <x:v>00119</x:v>
      </x:c>
      <x:c r="C79" t="str">
        <x:v>R</x:v>
      </x:c>
      <x:c r="D79" t="str">
        <x:v>R</x:v>
      </x:c>
      <x:c r="E79" t="str">
        <x:v>time shift</x:v>
      </x:c>
      <x:c r="F79" t="str">
        <x:v>S</x:v>
      </x:c>
      <x:c r="G79" s="100" t="n">
        <x:v>3</x:v>
      </x:c>
      <x:c r="H79" s="100" t="n">
        <x:v>10</x:v>
      </x:c>
      <x:c r="I79" s="100" t="n">
        <x:v>250</x:v>
      </x:c>
      <x:c r="J79" s="100" t="n">
        <x:v>-0.084</x:v>
      </x:c>
      <x:c r="K79" s="100" t="n">
        <x:v>-0.07183201821272611</x:v>
      </x:c>
      <x:c r="L79" s="100" t="n">
        <x:v>-0.01216798178727389</x:v>
      </x:c>
      <x:c r="M79" s="100" t="n">
        <x:v>-21</x:v>
      </x:c>
      <x:c r="N79" s="100" t="n">
        <x:v>0.9907882069383056</x:v>
      </x:c>
      <x:c r="O79" s="101" t="b">
        <x:v>1</x:v>
      </x:c>
      <x:c r="P79" t="str">
        <x:v>/Users/jvidale/Documents/Research/FaultScanR/output/20260722_181326_2487/CI_40353552</x:v>
      </x:c>
    </x:row>
    <x:row r="80">
      <x:c r="A80" t="str">
        <x:v>CI_40353552</x:v>
      </x:c>
      <x:c r="B80" s="99" t="str">
        <x:v>00120</x:v>
      </x:c>
      <x:c r="C80" t="str">
        <x:v>R</x:v>
      </x:c>
      <x:c r="D80" t="str">
        <x:v>R</x:v>
      </x:c>
      <x:c r="E80" t="str">
        <x:v>time shift</x:v>
      </x:c>
      <x:c r="F80" t="str">
        <x:v>S</x:v>
      </x:c>
      <x:c r="G80" s="100" t="n">
        <x:v>3</x:v>
      </x:c>
      <x:c r="H80" s="100" t="n">
        <x:v>10</x:v>
      </x:c>
      <x:c r="I80" s="100" t="n">
        <x:v>250</x:v>
      </x:c>
      <x:c r="J80" s="100" t="n">
        <x:v>-0.072</x:v>
      </x:c>
      <x:c r="K80" s="100" t="n">
        <x:v>-0.06214687135342256</x:v>
      </x:c>
      <x:c r="L80" s="100" t="n">
        <x:v>-0.009853128646577433</x:v>
      </x:c>
      <x:c r="M80" s="100" t="n">
        <x:v>-18</x:v>
      </x:c>
      <x:c r="N80" s="100" t="n">
        <x:v>0.9860912144671513</x:v>
      </x:c>
      <x:c r="O80" s="101" t="b">
        <x:v>1</x:v>
      </x:c>
      <x:c r="P80" t="str">
        <x:v>/Users/jvidale/Documents/Research/FaultScanR/output/20260722_181326_2487/CI_40353552</x:v>
      </x:c>
    </x:row>
    <x:row r="81">
      <x:c r="A81" t="str">
        <x:v>CI_40353552</x:v>
      </x:c>
      <x:c r="B81" s="99" t="str">
        <x:v>00121</x:v>
      </x:c>
      <x:c r="C81" t="str">
        <x:v>R</x:v>
      </x:c>
      <x:c r="D81" t="str">
        <x:v>R</x:v>
      </x:c>
      <x:c r="E81" t="str">
        <x:v>time shift</x:v>
      </x:c>
      <x:c r="F81" t="str">
        <x:v>S</x:v>
      </x:c>
      <x:c r="G81" s="100" t="n">
        <x:v>3</x:v>
      </x:c>
      <x:c r="H81" s="100" t="n">
        <x:v>10</x:v>
      </x:c>
      <x:c r="I81" s="100" t="n">
        <x:v>250</x:v>
      </x:c>
      <x:c r="J81" s="100" t="n">
        <x:v>-0.044</x:v>
      </x:c>
      <x:c r="K81" s="100" t="n">
        <x:v>-0.05019646444002657</x:v>
      </x:c>
      <x:c r="L81" s="100" t="n">
        <x:v>0.006196464440026569</x:v>
      </x:c>
      <x:c r="M81" s="100" t="n">
        <x:v>-11</x:v>
      </x:c>
      <x:c r="N81" s="100" t="n">
        <x:v>0.960590574142287</x:v>
      </x:c>
      <x:c r="O81" s="101" t="b">
        <x:v>1</x:v>
      </x:c>
      <x:c r="P81" t="str">
        <x:v>/Users/jvidale/Documents/Research/FaultScanR/output/20260722_181326_2487/CI_40353552</x:v>
      </x:c>
    </x:row>
    <x:row r="82">
      <x:c r="A82" t="str">
        <x:v>CI_40353552</x:v>
      </x:c>
      <x:c r="B82" s="99" t="str">
        <x:v>00122</x:v>
      </x:c>
      <x:c r="C82" t="str">
        <x:v>R</x:v>
      </x:c>
      <x:c r="D82" t="str">
        <x:v>R</x:v>
      </x:c>
      <x:c r="E82" t="str">
        <x:v>time shift</x:v>
      </x:c>
      <x:c r="F82" t="str">
        <x:v>S</x:v>
      </x:c>
      <x:c r="G82" s="100" t="n">
        <x:v>3</x:v>
      </x:c>
      <x:c r="H82" s="100" t="n">
        <x:v>10</x:v>
      </x:c>
      <x:c r="I82" s="100" t="n">
        <x:v>250</x:v>
      </x:c>
      <x:c r="J82" s="100" t="n">
        <x:v>-0.04</x:v>
      </x:c>
      <x:c r="K82" s="100" t="n">
        <x:v>-0.04414131123702347</x:v>
      </x:c>
      <x:c r="L82" s="100" t="n">
        <x:v>0.004141311237023472</x:v>
      </x:c>
      <x:c r="M82" s="100" t="n">
        <x:v>-10</x:v>
      </x:c>
      <x:c r="N82" s="100" t="n">
        <x:v>0.9581991529637358</x:v>
      </x:c>
      <x:c r="O82" s="101" t="b">
        <x:v>1</x:v>
      </x:c>
      <x:c r="P82" t="str">
        <x:v>/Users/jvidale/Documents/Research/FaultScanR/output/20260722_181326_2487/CI_40353552</x:v>
      </x:c>
    </x:row>
    <x:row r="83">
      <x:c r="A83" t="str">
        <x:v>CI_40353552</x:v>
      </x:c>
      <x:c r="B83" s="99" t="str">
        <x:v>00123</x:v>
      </x:c>
      <x:c r="C83" t="str">
        <x:v>R</x:v>
      </x:c>
      <x:c r="D83" t="str">
        <x:v>R</x:v>
      </x:c>
      <x:c r="E83" t="str">
        <x:v>time shift</x:v>
      </x:c>
      <x:c r="F83" t="str">
        <x:v>S</x:v>
      </x:c>
      <x:c r="G83" s="100" t="n">
        <x:v>3</x:v>
      </x:c>
      <x:c r="H83" s="100" t="n">
        <x:v>10</x:v>
      </x:c>
      <x:c r="I83" s="100" t="n">
        <x:v>250</x:v>
      </x:c>
      <x:c r="J83" s="100" t="n">
        <x:v>-0.028</x:v>
      </x:c>
      <x:c r="K83" s="100" t="n">
        <x:v>-0.03245850068524803</x:v>
      </x:c>
      <x:c r="L83" s="100" t="n">
        <x:v>0.004458500685248026</x:v>
      </x:c>
      <x:c r="M83" s="100" t="n">
        <x:v>-7</x:v>
      </x:c>
      <x:c r="N83" s="100" t="n">
        <x:v>0.9731260542678154</x:v>
      </x:c>
      <x:c r="O83" s="101" t="b">
        <x:v>1</x:v>
      </x:c>
      <x:c r="P83" t="str">
        <x:v>/Users/jvidale/Documents/Research/FaultScanR/output/20260722_181326_2487/CI_40353552</x:v>
      </x:c>
    </x:row>
    <x:row r="84">
      <x:c r="A84" t="str">
        <x:v>CI_40353552</x:v>
      </x:c>
      <x:c r="B84" s="99" t="str">
        <x:v>00124</x:v>
      </x:c>
      <x:c r="C84" t="str">
        <x:v>R</x:v>
      </x:c>
      <x:c r="D84" t="str">
        <x:v>R</x:v>
      </x:c>
      <x:c r="E84" t="str">
        <x:v>time shift</x:v>
      </x:c>
      <x:c r="F84" t="str">
        <x:v>S</x:v>
      </x:c>
      <x:c r="G84" s="100" t="n">
        <x:v>3</x:v>
      </x:c>
      <x:c r="H84" s="100" t="n">
        <x:v>10</x:v>
      </x:c>
      <x:c r="I84" s="100" t="n">
        <x:v>250</x:v>
      </x:c>
      <x:c r="J84" s="100" t="n">
        <x:v>-0.04</x:v>
      </x:c>
      <x:c r="K84" s="100" t="n">
        <x:v>-0.02651927945166044</x:v>
      </x:c>
      <x:c r="L84" s="100" t="n">
        <x:v>-0.01348072054833956</x:v>
      </x:c>
      <x:c r="M84" s="100" t="n">
        <x:v>-10</x:v>
      </x:c>
      <x:c r="N84" s="100" t="n">
        <x:v>0.9915407017763322</x:v>
      </x:c>
      <x:c r="O84" s="101" t="b">
        <x:v>1</x:v>
      </x:c>
      <x:c r="P84" t="str">
        <x:v>/Users/jvidale/Documents/Research/FaultScanR/output/20260722_181326_2487/CI_40353552</x:v>
      </x:c>
    </x:row>
    <x:row r="85">
      <x:c r="A85" t="str">
        <x:v>CI_40353552</x:v>
      </x:c>
      <x:c r="B85" s="99" t="str">
        <x:v>00125</x:v>
      </x:c>
      <x:c r="C85" t="str">
        <x:v>R</x:v>
      </x:c>
      <x:c r="D85" t="str">
        <x:v>R</x:v>
      </x:c>
      <x:c r="E85" t="str">
        <x:v>time shift</x:v>
      </x:c>
      <x:c r="F85" t="str">
        <x:v>S</x:v>
      </x:c>
      <x:c r="G85" s="100" t="n">
        <x:v>3</x:v>
      </x:c>
      <x:c r="H85" s="100" t="n">
        <x:v>10</x:v>
      </x:c>
      <x:c r="I85" s="100" t="n">
        <x:v>250</x:v>
      </x:c>
      <x:c r="J85" s="100" t="n">
        <x:v>-0.032</x:v>
      </x:c>
      <x:c r="K85" s="100" t="n">
        <x:v>-0.01625096466129605</x:v>
      </x:c>
      <x:c r="L85" s="100" t="n">
        <x:v>-0.01574903533870395</x:v>
      </x:c>
      <x:c r="M85" s="100" t="n">
        <x:v>-8</x:v>
      </x:c>
      <x:c r="N85" s="100" t="n">
        <x:v>0.9608641287635497</x:v>
      </x:c>
      <x:c r="O85" s="101" t="b">
        <x:v>1</x:v>
      </x:c>
      <x:c r="P85" t="str">
        <x:v>/Users/jvidale/Documents/Research/FaultScanR/output/20260722_181326_2487/CI_40353552</x:v>
      </x:c>
    </x:row>
    <x:row r="86">
      <x:c r="A86" t="str">
        <x:v>CI_40353552</x:v>
      </x:c>
      <x:c r="B86" s="99" t="str">
        <x:v>00126</x:v>
      </x:c>
      <x:c r="C86" t="str">
        <x:v>R</x:v>
      </x:c>
      <x:c r="D86" t="str">
        <x:v>R</x:v>
      </x:c>
      <x:c r="E86" t="str">
        <x:v>time shift</x:v>
      </x:c>
      <x:c r="F86" t="str">
        <x:v>S</x:v>
      </x:c>
      <x:c r="G86" s="100" t="n">
        <x:v>3</x:v>
      </x:c>
      <x:c r="H86" s="100" t="n">
        <x:v>10</x:v>
      </x:c>
      <x:c r="I86" s="100" t="n">
        <x:v>250</x:v>
      </x:c>
      <x:c r="J86" s="100" t="n">
        <x:v>-0.156</x:v>
      </x:c>
      <x:c r="K86" s="100" t="n">
        <x:v>-0.1231005111553243</x:v>
      </x:c>
      <x:c r="L86" s="100" t="n">
        <x:v>-0.03289948884467572</x:v>
      </x:c>
      <x:c r="M86" s="100" t="n">
        <x:v>-39</x:v>
      </x:c>
      <x:c r="N86" s="100" t="n">
        <x:v>0.7446662695518279</x:v>
      </x:c>
      <x:c r="O86" s="101" t="b">
        <x:v>1</x:v>
      </x:c>
      <x:c r="P86" t="str">
        <x:v>/Users/jvidale/Documents/Research/FaultScanR/output/20260722_181326_2487/CI_40353552</x:v>
      </x:c>
    </x:row>
    <x:row r="87">
      <x:c r="A87" t="str">
        <x:v>CI_40353552</x:v>
      </x:c>
      <x:c r="B87" s="99" t="str">
        <x:v>00127</x:v>
      </x:c>
      <x:c r="C87" t="str">
        <x:v>R</x:v>
      </x:c>
      <x:c r="D87" t="str">
        <x:v>R</x:v>
      </x:c>
      <x:c r="E87" t="str">
        <x:v>time shift</x:v>
      </x:c>
      <x:c r="F87" t="str">
        <x:v>S</x:v>
      </x:c>
      <x:c r="G87" s="100" t="n">
        <x:v>3</x:v>
      </x:c>
      <x:c r="H87" s="100" t="n">
        <x:v>10</x:v>
      </x:c>
      <x:c r="I87" s="100" t="n">
        <x:v>250</x:v>
      </x:c>
      <x:c r="J87" s="100" t="n">
        <x:v>-0.14</x:v>
      </x:c>
      <x:c r="K87" s="100" t="n">
        <x:v>-0.1154106141133022</x:v>
      </x:c>
      <x:c r="L87" s="100" t="n">
        <x:v>-0.02458938588669779</x:v>
      </x:c>
      <x:c r="M87" s="100" t="n">
        <x:v>-35</x:v>
      </x:c>
      <x:c r="N87" s="100" t="n">
        <x:v>0.8854480327896453</x:v>
      </x:c>
      <x:c r="O87" s="101" t="b">
        <x:v>1</x:v>
      </x:c>
      <x:c r="P87" t="str">
        <x:v>/Users/jvidale/Documents/Research/FaultScanR/output/20260722_181326_2487/CI_40353552</x:v>
      </x:c>
    </x:row>
    <x:row r="88">
      <x:c r="A88" t="str">
        <x:v>CI_40353552</x:v>
      </x:c>
      <x:c r="B88" s="99" t="str">
        <x:v>00128</x:v>
      </x:c>
      <x:c r="C88" t="str">
        <x:v>R</x:v>
      </x:c>
      <x:c r="D88" t="str">
        <x:v>R</x:v>
      </x:c>
      <x:c r="E88" t="str">
        <x:v>time shift</x:v>
      </x:c>
      <x:c r="F88" t="str">
        <x:v>S</x:v>
      </x:c>
      <x:c r="G88" s="100" t="n">
        <x:v>3</x:v>
      </x:c>
      <x:c r="H88" s="100" t="n">
        <x:v>10</x:v>
      </x:c>
      <x:c r="I88" s="100" t="n">
        <x:v>250</x:v>
      </x:c>
      <x:c r="J88" s="100" t="n">
        <x:v>-0.128</x:v>
      </x:c>
      <x:c r="K88" s="100" t="n">
        <x:v>-0.1069643851136712</x:v>
      </x:c>
      <x:c r="L88" s="100" t="n">
        <x:v>-0.02103561488632877</x:v>
      </x:c>
      <x:c r="M88" s="100" t="n">
        <x:v>-32</x:v>
      </x:c>
      <x:c r="N88" s="100" t="n">
        <x:v>0.8728162005515574</x:v>
      </x:c>
      <x:c r="O88" s="101" t="b">
        <x:v>1</x:v>
      </x:c>
      <x:c r="P88" t="str">
        <x:v>/Users/jvidale/Documents/Research/FaultScanR/output/20260722_181326_2487/CI_40353552</x:v>
      </x:c>
    </x:row>
    <x:row r="89">
      <x:c r="A89" t="str">
        <x:v>CI_40353552</x:v>
      </x:c>
      <x:c r="B89" s="99" t="str">
        <x:v>00129</x:v>
      </x:c>
      <x:c r="C89" t="str">
        <x:v>R</x:v>
      </x:c>
      <x:c r="D89" t="str">
        <x:v>R</x:v>
      </x:c>
      <x:c r="E89" t="str">
        <x:v>time shift</x:v>
      </x:c>
      <x:c r="F89" t="str">
        <x:v>S</x:v>
      </x:c>
      <x:c r="G89" s="100" t="n">
        <x:v>3</x:v>
      </x:c>
      <x:c r="H89" s="100" t="n">
        <x:v>10</x:v>
      </x:c>
      <x:c r="I89" s="100" t="n">
        <x:v>250</x:v>
      </x:c>
      <x:c r="J89" s="100" t="n">
        <x:v>-0.128</x:v>
      </x:c>
      <x:c r="K89" s="100" t="n">
        <x:v>-0.09845838412740626</x:v>
      </x:c>
      <x:c r="L89" s="100" t="n">
        <x:v>-0.02954161587259374</x:v>
      </x:c>
      <x:c r="M89" s="100" t="n">
        <x:v>-32</x:v>
      </x:c>
      <x:c r="N89" s="100" t="n">
        <x:v>0.9440003287938746</x:v>
      </x:c>
      <x:c r="O89" s="101" t="b">
        <x:v>1</x:v>
      </x:c>
      <x:c r="P89" t="str">
        <x:v>/Users/jvidale/Documents/Research/FaultScanR/output/20260722_181326_2487/CI_40353552</x:v>
      </x:c>
    </x:row>
    <x:row r="90">
      <x:c r="A90" t="str">
        <x:v>CI_40353552</x:v>
      </x:c>
      <x:c r="B90" s="99" t="str">
        <x:v>00130</x:v>
      </x:c>
      <x:c r="C90" t="str">
        <x:v>R</x:v>
      </x:c>
      <x:c r="D90" t="str">
        <x:v>R</x:v>
      </x:c>
      <x:c r="E90" t="str">
        <x:v>time shift</x:v>
      </x:c>
      <x:c r="F90" t="str">
        <x:v>S</x:v>
      </x:c>
      <x:c r="G90" s="100" t="n">
        <x:v>3</x:v>
      </x:c>
      <x:c r="H90" s="100" t="n">
        <x:v>10</x:v>
      </x:c>
      <x:c r="I90" s="100" t="n">
        <x:v>250</x:v>
      </x:c>
      <x:c r="J90" s="100" t="n">
        <x:v>-0.108</x:v>
      </x:c>
      <x:c r="K90" s="100" t="n">
        <x:v>-0.09116665253382461</x:v>
      </x:c>
      <x:c r="L90" s="100" t="n">
        <x:v>-0.01683334746617539</x:v>
      </x:c>
      <x:c r="M90" s="100" t="n">
        <x:v>-27</x:v>
      </x:c>
      <x:c r="N90" s="100" t="n">
        <x:v>0.9903292730594799</x:v>
      </x:c>
      <x:c r="O90" s="101" t="b">
        <x:v>1</x:v>
      </x:c>
      <x:c r="P90" t="str">
        <x:v>/Users/jvidale/Documents/Research/FaultScanR/output/20260722_181326_2487/CI_40353552</x:v>
      </x:c>
    </x:row>
    <x:row r="91">
      <x:c r="A91" t="str">
        <x:v>CI_40353552</x:v>
      </x:c>
      <x:c r="B91" s="99" t="str">
        <x:v>00131</x:v>
      </x:c>
      <x:c r="C91" t="str">
        <x:v>R</x:v>
      </x:c>
      <x:c r="D91" t="str">
        <x:v>R</x:v>
      </x:c>
      <x:c r="E91" t="str">
        <x:v>time shift</x:v>
      </x:c>
      <x:c r="F91" t="str">
        <x:v>S</x:v>
      </x:c>
      <x:c r="G91" s="100" t="n">
        <x:v>3</x:v>
      </x:c>
      <x:c r="H91" s="100" t="n">
        <x:v>10</x:v>
      </x:c>
      <x:c r="I91" s="100" t="n">
        <x:v>250</x:v>
      </x:c>
      <x:c r="J91" s="100" t="n">
        <x:v>-0.112</x:v>
      </x:c>
      <x:c r="K91" s="100" t="n">
        <x:v>-0.08327592287761654</x:v>
      </x:c>
      <x:c r="L91" s="100" t="n">
        <x:v>-0.02872407712238347</x:v>
      </x:c>
      <x:c r="M91" s="100" t="n">
        <x:v>-28</x:v>
      </x:c>
      <x:c r="N91" s="100" t="n">
        <x:v>0.9934271073199544</x:v>
      </x:c>
      <x:c r="O91" s="101" t="b">
        <x:v>1</x:v>
      </x:c>
      <x:c r="P91" t="str">
        <x:v>/Users/jvidale/Documents/Research/FaultScanR/output/20260722_181326_2487/CI_40353552</x:v>
      </x:c>
    </x:row>
    <x:row r="92">
      <x:c r="A92" t="str">
        <x:v>CI_40353552</x:v>
      </x:c>
      <x:c r="B92" s="99" t="str">
        <x:v>00132</x:v>
      </x:c>
      <x:c r="C92" t="str">
        <x:v>R</x:v>
      </x:c>
      <x:c r="D92" t="str">
        <x:v>R</x:v>
      </x:c>
      <x:c r="E92" t="str">
        <x:v>time shift</x:v>
      </x:c>
      <x:c r="F92" t="str">
        <x:v>S</x:v>
      </x:c>
      <x:c r="G92" s="100" t="n">
        <x:v>3</x:v>
      </x:c>
      <x:c r="H92" s="100" t="n">
        <x:v>10</x:v>
      </x:c>
      <x:c r="I92" s="100" t="n">
        <x:v>250</x:v>
      </x:c>
      <x:c r="J92" s="100" t="n">
        <x:v>-0.092</x:v>
      </x:c>
      <x:c r="K92" s="100" t="n">
        <x:v>-0.0741621271987869</x:v>
      </x:c>
      <x:c r="L92" s="100" t="n">
        <x:v>-0.0178378728012131</x:v>
      </x:c>
      <x:c r="M92" s="100" t="n">
        <x:v>-23</x:v>
      </x:c>
      <x:c r="N92" s="100" t="n">
        <x:v>0.9374092462887784</x:v>
      </x:c>
      <x:c r="O92" s="101" t="b">
        <x:v>1</x:v>
      </x:c>
      <x:c r="P92" t="str">
        <x:v>/Users/jvidale/Documents/Research/FaultScanR/output/20260722_181326_2487/CI_40353552</x:v>
      </x:c>
    </x:row>
    <x:row r="93">
      <x:c r="A93" t="str">
        <x:v>CI_40353552</x:v>
      </x:c>
      <x:c r="B93" s="99" t="str">
        <x:v>00133</x:v>
      </x:c>
      <x:c r="C93" t="str">
        <x:v>R</x:v>
      </x:c>
      <x:c r="D93" t="str">
        <x:v>R</x:v>
      </x:c>
      <x:c r="E93" t="str">
        <x:v>time shift</x:v>
      </x:c>
      <x:c r="F93" t="str">
        <x:v>S</x:v>
      </x:c>
      <x:c r="G93" s="100" t="n">
        <x:v>3</x:v>
      </x:c>
      <x:c r="H93" s="100" t="n">
        <x:v>10</x:v>
      </x:c>
      <x:c r="I93" s="100" t="n">
        <x:v>250</x:v>
      </x:c>
      <x:c r="J93" s="100" t="n">
        <x:v>-0.076</x:v>
      </x:c>
      <x:c r="K93" s="100" t="n">
        <x:v>-0.06323519367419284</x:v>
      </x:c>
      <x:c r="L93" s="100" t="n">
        <x:v>-0.01276480632580716</x:v>
      </x:c>
      <x:c r="M93" s="100" t="n">
        <x:v>-19</x:v>
      </x:c>
      <x:c r="N93" s="100" t="n">
        <x:v>0.9955243242236577</x:v>
      </x:c>
      <x:c r="O93" s="101" t="b">
        <x:v>1</x:v>
      </x:c>
      <x:c r="P93" t="str">
        <x:v>/Users/jvidale/Documents/Research/FaultScanR/output/20260722_181326_2487/CI_40353552</x:v>
      </x:c>
    </x:row>
    <x:row r="94">
      <x:c r="A94" t="str">
        <x:v>CI_40353552</x:v>
      </x:c>
      <x:c r="B94" s="99" t="str">
        <x:v>00134</x:v>
      </x:c>
      <x:c r="C94" t="str">
        <x:v>R</x:v>
      </x:c>
      <x:c r="D94" t="str">
        <x:v>R</x:v>
      </x:c>
      <x:c r="E94" t="str">
        <x:v>time shift</x:v>
      </x:c>
      <x:c r="F94" t="str">
        <x:v>S</x:v>
      </x:c>
      <x:c r="G94" s="100" t="n">
        <x:v>3</x:v>
      </x:c>
      <x:c r="H94" s="100" t="n">
        <x:v>10</x:v>
      </x:c>
      <x:c r="I94" s="100" t="n">
        <x:v>250</x:v>
      </x:c>
      <x:c r="J94" s="100" t="n">
        <x:v>-0.064</x:v>
      </x:c>
      <x:c r="K94" s="100" t="n">
        <x:v>-0.05731273416310145</x:v>
      </x:c>
      <x:c r="L94" s="100" t="n">
        <x:v>-0.006687265836898548</x:v>
      </x:c>
      <x:c r="M94" s="100" t="n">
        <x:v>-16</x:v>
      </x:c>
      <x:c r="N94" s="100" t="n">
        <x:v>0.9844582766300259</x:v>
      </x:c>
      <x:c r="O94" s="101" t="b">
        <x:v>1</x:v>
      </x:c>
      <x:c r="P94" t="str">
        <x:v>/Users/jvidale/Documents/Research/FaultScanR/output/20260722_181326_2487/CI_40353552</x:v>
      </x:c>
    </x:row>
    <x:row r="95">
      <x:c r="A95" t="str">
        <x:v>CI_40353552</x:v>
      </x:c>
      <x:c r="B95" s="99" t="str">
        <x:v>00135</x:v>
      </x:c>
      <x:c r="C95" t="str">
        <x:v>R</x:v>
      </x:c>
      <x:c r="D95" t="str">
        <x:v>R</x:v>
      </x:c>
      <x:c r="E95" t="str">
        <x:v>time shift</x:v>
      </x:c>
      <x:c r="F95" t="str">
        <x:v>S</x:v>
      </x:c>
      <x:c r="G95" s="100" t="n">
        <x:v>3</x:v>
      </x:c>
      <x:c r="H95" s="100" t="n">
        <x:v>10</x:v>
      </x:c>
      <x:c r="I95" s="100" t="n">
        <x:v>250</x:v>
      </x:c>
      <x:c r="J95" s="100" t="n">
        <x:v>-0.048</x:v>
      </x:c>
      <x:c r="K95" s="100" t="n">
        <x:v>-0.04594567302124819</x:v>
      </x:c>
      <x:c r="L95" s="100" t="n">
        <x:v>-0.002054326978751811</x:v>
      </x:c>
      <x:c r="M95" s="100" t="n">
        <x:v>-12</x:v>
      </x:c>
      <x:c r="N95" s="100" t="n">
        <x:v>0.9566033256922808</x:v>
      </x:c>
      <x:c r="O95" s="101" t="b">
        <x:v>1</x:v>
      </x:c>
      <x:c r="P95" t="str">
        <x:v>/Users/jvidale/Documents/Research/FaultScanR/output/20260722_181326_2487/CI_40353552</x:v>
      </x:c>
    </x:row>
    <x:row r="96">
      <x:c r="A96" t="str">
        <x:v>CI_40353552</x:v>
      </x:c>
      <x:c r="B96" s="99" t="str">
        <x:v>00136</x:v>
      </x:c>
      <x:c r="C96" t="str">
        <x:v>R</x:v>
      </x:c>
      <x:c r="D96" t="str">
        <x:v>R</x:v>
      </x:c>
      <x:c r="E96" t="str">
        <x:v>time shift</x:v>
      </x:c>
      <x:c r="F96" t="str">
        <x:v>S</x:v>
      </x:c>
      <x:c r="G96" s="100" t="n">
        <x:v>3</x:v>
      </x:c>
      <x:c r="H96" s="100" t="n">
        <x:v>10</x:v>
      </x:c>
      <x:c r="I96" s="100" t="n">
        <x:v>250</x:v>
      </x:c>
      <x:c r="J96" s="100" t="n">
        <x:v>-0.048</x:v>
      </x:c>
      <x:c r="K96" s="100" t="n">
        <x:v>-0.03871444818476455</x:v>
      </x:c>
      <x:c r="L96" s="100" t="n">
        <x:v>-0.009285551815235452</x:v>
      </x:c>
      <x:c r="M96" s="100" t="n">
        <x:v>-12</x:v>
      </x:c>
      <x:c r="N96" s="100" t="n">
        <x:v>0.9716071156877191</x:v>
      </x:c>
      <x:c r="O96" s="101" t="b">
        <x:v>1</x:v>
      </x:c>
      <x:c r="P96" t="str">
        <x:v>/Users/jvidale/Documents/Research/FaultScanR/output/20260722_181326_2487/CI_40353552</x:v>
      </x:c>
    </x:row>
    <x:row r="97">
      <x:c r="A97" t="str">
        <x:v>CI_40353552</x:v>
      </x:c>
      <x:c r="B97" s="99" t="str">
        <x:v>00137</x:v>
      </x:c>
      <x:c r="C97" t="str">
        <x:v>R</x:v>
      </x:c>
      <x:c r="D97" t="str">
        <x:v>R</x:v>
      </x:c>
      <x:c r="E97" t="str">
        <x:v>time shift</x:v>
      </x:c>
      <x:c r="F97" t="str">
        <x:v>S</x:v>
      </x:c>
      <x:c r="G97" s="100" t="n">
        <x:v>3</x:v>
      </x:c>
      <x:c r="H97" s="100" t="n">
        <x:v>10</x:v>
      </x:c>
      <x:c r="I97" s="100" t="n">
        <x:v>250</x:v>
      </x:c>
      <x:c r="J97" s="100" t="n">
        <x:v>-0.02</x:v>
      </x:c>
      <x:c r="K97" s="100" t="n">
        <x:v>-0.03000583822136971</x:v>
      </x:c>
      <x:c r="L97" s="100" t="n">
        <x:v>0.01000583822136971</x:v>
      </x:c>
      <x:c r="M97" s="100" t="n">
        <x:v>-5</x:v>
      </x:c>
      <x:c r="N97" s="100" t="n">
        <x:v>0.9328641865470559</x:v>
      </x:c>
      <x:c r="O97" s="101" t="b">
        <x:v>1</x:v>
      </x:c>
      <x:c r="P97" t="str">
        <x:v>/Users/jvidale/Documents/Research/FaultScanR/output/20260722_181326_2487/CI_40353552</x:v>
      </x:c>
    </x:row>
    <x:row r="98">
      <x:c r="A98" t="str">
        <x:v>CI_40353552</x:v>
      </x:c>
      <x:c r="B98" s="99" t="str">
        <x:v>00138</x:v>
      </x:c>
      <x:c r="C98" t="str">
        <x:v>R</x:v>
      </x:c>
      <x:c r="D98" t="str">
        <x:v>R</x:v>
      </x:c>
      <x:c r="E98" t="str">
        <x:v>time shift</x:v>
      </x:c>
      <x:c r="F98" t="str">
        <x:v>S</x:v>
      </x:c>
      <x:c r="G98" s="100" t="n">
        <x:v>3</x:v>
      </x:c>
      <x:c r="H98" s="100" t="n">
        <x:v>10</x:v>
      </x:c>
      <x:c r="I98" s="100" t="n">
        <x:v>250</x:v>
      </x:c>
      <x:c r="J98" s="100" t="n">
        <x:v>-0.028</x:v>
      </x:c>
      <x:c r="K98" s="100" t="n">
        <x:v>-0.02101710210657881</x:v>
      </x:c>
      <x:c r="L98" s="100" t="n">
        <x:v>-0.00698289789342119</x:v>
      </x:c>
      <x:c r="M98" s="100" t="n">
        <x:v>-7</x:v>
      </x:c>
      <x:c r="N98" s="100" t="n">
        <x:v>0.9949091110560111</x:v>
      </x:c>
      <x:c r="O98" s="101" t="b">
        <x:v>1</x:v>
      </x:c>
      <x:c r="P98" t="str">
        <x:v>/Users/jvidale/Documents/Research/FaultScanR/output/20260722_181326_2487/CI_40353552</x:v>
      </x:c>
    </x:row>
    <x:row r="99">
      <x:c r="A99" t="str">
        <x:v>CI_40353552</x:v>
      </x:c>
      <x:c r="B99" s="99" t="str">
        <x:v>00139</x:v>
      </x:c>
      <x:c r="C99" t="str">
        <x:v>R</x:v>
      </x:c>
      <x:c r="D99" t="str">
        <x:v>R</x:v>
      </x:c>
      <x:c r="E99" t="str">
        <x:v>time shift</x:v>
      </x:c>
      <x:c r="F99" t="str">
        <x:v>S</x:v>
      </x:c>
      <x:c r="G99" s="100" t="n">
        <x:v>3</x:v>
      </x:c>
      <x:c r="H99" s="100" t="n">
        <x:v>10</x:v>
      </x:c>
      <x:c r="I99" s="100" t="n">
        <x:v>250</x:v>
      </x:c>
      <x:c r="J99" s="100" t="n">
        <x:v>-0.016</x:v>
      </x:c>
      <x:c r="K99" s="100" t="n">
        <x:v>-0.010925321103473</x:v>
      </x:c>
      <x:c r="L99" s="100" t="n">
        <x:v>-0.005074678896527005</x:v>
      </x:c>
      <x:c r="M99" s="100" t="n">
        <x:v>-4</x:v>
      </x:c>
      <x:c r="N99" s="100" t="n">
        <x:v>0.9695313793635394</x:v>
      </x:c>
      <x:c r="O99" s="101" t="b">
        <x:v>1</x:v>
      </x:c>
      <x:c r="P99" t="str">
        <x:v>/Users/jvidale/Documents/Research/FaultScanR/output/20260722_181326_2487/CI_40353552</x:v>
      </x:c>
    </x:row>
    <x:row r="100">
      <x:c r="A100" t="str">
        <x:v>CI_40353552</x:v>
      </x:c>
      <x:c r="B100" s="99" t="str">
        <x:v>00140</x:v>
      </x:c>
      <x:c r="C100" t="str">
        <x:v>R</x:v>
      </x:c>
      <x:c r="D100" t="str">
        <x:v>R</x:v>
      </x:c>
      <x:c r="E100" t="str">
        <x:v>time shift</x:v>
      </x:c>
      <x:c r="F100" t="str">
        <x:v>S</x:v>
      </x:c>
      <x:c r="G100" s="100" t="n">
        <x:v>3</x:v>
      </x:c>
      <x:c r="H100" s="100" t="n">
        <x:v>10</x:v>
      </x:c>
      <x:c r="I100" s="100" t="n">
        <x:v>250</x:v>
      </x:c>
      <x:c r="J100" s="100" t="n">
        <x:v>-0.012</x:v>
      </x:c>
      <x:c r="K100" s="100" t="n">
        <x:v>-0.002275866222340994</x:v>
      </x:c>
      <x:c r="L100" s="100" t="n">
        <x:v>-0.009724133777659006</x:v>
      </x:c>
      <x:c r="M100" s="100" t="n">
        <x:v>-3</x:v>
      </x:c>
      <x:c r="N100" s="100" t="n">
        <x:v>0.9272562514492788</x:v>
      </x:c>
      <x:c r="O100" s="101" t="b">
        <x:v>1</x:v>
      </x:c>
      <x:c r="P100" t="str">
        <x:v>/Users/jvidale/Documents/Research/FaultScanR/output/20260722_181326_2487/CI_40353552</x:v>
      </x:c>
    </x:row>
    <x:row r="101">
      <x:c r="A101" t="str">
        <x:v>CI_40353552</x:v>
      </x:c>
      <x:c r="B101" s="99" t="str">
        <x:v>00141</x:v>
      </x:c>
      <x:c r="C101" t="str">
        <x:v>R</x:v>
      </x:c>
      <x:c r="D101" t="str">
        <x:v>R</x:v>
      </x:c>
      <x:c r="E101" t="str">
        <x:v>time shift</x:v>
      </x:c>
      <x:c r="F101" t="str">
        <x:v>S</x:v>
      </x:c>
      <x:c r="G101" s="100" t="n">
        <x:v>3</x:v>
      </x:c>
      <x:c r="H101" s="100" t="n">
        <x:v>10</x:v>
      </x:c>
      <x:c r="I101" s="100" t="n">
        <x:v>250</x:v>
      </x:c>
      <x:c r="J101" s="100" t="n">
        <x:v>-0.016</x:v>
      </x:c>
      <x:c r="K101" s="100" t="n">
        <x:v>0.0060850158263559</x:v>
      </x:c>
      <x:c r="L101" s="100" t="n">
        <x:v>-0.0220850158263559</x:v>
      </x:c>
      <x:c r="M101" s="100" t="n">
        <x:v>-4</x:v>
      </x:c>
      <x:c r="N101" s="100" t="n">
        <x:v>0.9412627821003233</x:v>
      </x:c>
      <x:c r="O101" s="101" t="b">
        <x:v>1</x:v>
      </x:c>
      <x:c r="P101" t="str">
        <x:v>/Users/jvidale/Documents/Research/FaultScanR/output/20260722_181326_2487/CI_40353552</x:v>
      </x:c>
    </x:row>
    <x:row r="102">
      <x:c r="A102" t="str">
        <x:v>CI_40353552</x:v>
      </x:c>
      <x:c r="B102" s="99" t="str">
        <x:v>00142</x:v>
      </x:c>
      <x:c r="C102" t="str">
        <x:v>R</x:v>
      </x:c>
      <x:c r="D102" t="str">
        <x:v>R</x:v>
      </x:c>
      <x:c r="E102" t="str">
        <x:v>time shift</x:v>
      </x:c>
      <x:c r="F102" t="str">
        <x:v>S</x:v>
      </x:c>
      <x:c r="G102" s="100" t="n">
        <x:v>3</x:v>
      </x:c>
      <x:c r="H102" s="100" t="n">
        <x:v>10</x:v>
      </x:c>
      <x:c r="I102" s="100" t="n">
        <x:v>250</x:v>
      </x:c>
      <x:c r="J102" s="100" t="n">
        <x:v>-0.136</x:v>
      </x:c>
      <x:c r="K102" s="100" t="n">
        <x:v>-0.1025488780764912</x:v>
      </x:c>
      <x:c r="L102" s="100" t="n">
        <x:v>-0.03345112192350885</x:v>
      </x:c>
      <x:c r="M102" s="100" t="n">
        <x:v>-34</x:v>
      </x:c>
      <x:c r="N102" s="100" t="n">
        <x:v>0.8186205298653749</x:v>
      </x:c>
      <x:c r="O102" s="101" t="b">
        <x:v>1</x:v>
      </x:c>
      <x:c r="P102" t="str">
        <x:v>/Users/jvidale/Documents/Research/FaultScanR/output/20260722_181326_2487/CI_40353552</x:v>
      </x:c>
    </x:row>
    <x:row r="103">
      <x:c r="A103" t="str">
        <x:v>CI_40353552</x:v>
      </x:c>
      <x:c r="B103" s="99" t="str">
        <x:v>00143</x:v>
      </x:c>
      <x:c r="C103" t="str">
        <x:v>R</x:v>
      </x:c>
      <x:c r="D103" t="str">
        <x:v>R</x:v>
      </x:c>
      <x:c r="E103" t="str">
        <x:v>time shift</x:v>
      </x:c>
      <x:c r="F103" t="str">
        <x:v>S</x:v>
      </x:c>
      <x:c r="G103" s="100" t="n">
        <x:v>3</x:v>
      </x:c>
      <x:c r="H103" s="100" t="n">
        <x:v>10</x:v>
      </x:c>
      <x:c r="I103" s="100" t="n">
        <x:v>250</x:v>
      </x:c>
      <x:c r="J103" s="100" t="n">
        <x:v>-0.124</x:v>
      </x:c>
      <x:c r="K103" s="100" t="n">
        <x:v>-0.09452421555392387</x:v>
      </x:c>
      <x:c r="L103" s="100" t="n">
        <x:v>-0.02947578444607613</x:v>
      </x:c>
      <x:c r="M103" s="100" t="n">
        <x:v>-31</x:v>
      </x:c>
      <x:c r="N103" s="100" t="n">
        <x:v>0.7392214168719596</x:v>
      </x:c>
      <x:c r="O103" s="101" t="b">
        <x:v>1</x:v>
      </x:c>
      <x:c r="P103" t="str">
        <x:v>/Users/jvidale/Documents/Research/FaultScanR/output/20260722_181326_2487/CI_40353552</x:v>
      </x:c>
    </x:row>
    <x:row r="104">
      <x:c r="A104" t="str">
        <x:v>CI_40353552</x:v>
      </x:c>
      <x:c r="B104" s="99" t="str">
        <x:v>00144</x:v>
      </x:c>
      <x:c r="C104" t="str">
        <x:v>R</x:v>
      </x:c>
      <x:c r="D104" t="str">
        <x:v>R</x:v>
      </x:c>
      <x:c r="E104" t="str">
        <x:v>time shift</x:v>
      </x:c>
      <x:c r="F104" t="str">
        <x:v>S</x:v>
      </x:c>
      <x:c r="G104" s="100" t="n">
        <x:v>3</x:v>
      </x:c>
      <x:c r="H104" s="100" t="n">
        <x:v>10</x:v>
      </x:c>
      <x:c r="I104" s="100" t="n">
        <x:v>250</x:v>
      </x:c>
      <x:c r="J104" s="100" t="n">
        <x:v>-0.112</x:v>
      </x:c>
      <x:c r="K104" s="100" t="n">
        <x:v>-0.08368446518572448</x:v>
      </x:c>
      <x:c r="L104" s="100" t="n">
        <x:v>-0.02831553481427553</x:v>
      </x:c>
      <x:c r="M104" s="100" t="n">
        <x:v>-28</x:v>
      </x:c>
      <x:c r="N104" s="100" t="n">
        <x:v>0.7843519057616286</x:v>
      </x:c>
      <x:c r="O104" s="101" t="b">
        <x:v>1</x:v>
      </x:c>
      <x:c r="P104" t="str">
        <x:v>/Users/jvidale/Documents/Research/FaultScanR/output/20260722_181326_2487/CI_40353552</x:v>
      </x:c>
    </x:row>
    <x:row r="105">
      <x:c r="A105" t="str">
        <x:v>CI_40353552</x:v>
      </x:c>
      <x:c r="B105" s="99" t="str">
        <x:v>00145</x:v>
      </x:c>
      <x:c r="C105" t="str">
        <x:v>R</x:v>
      </x:c>
      <x:c r="D105" t="str">
        <x:v>R</x:v>
      </x:c>
      <x:c r="E105" t="str">
        <x:v>time shift</x:v>
      </x:c>
      <x:c r="F105" t="str">
        <x:v>S</x:v>
      </x:c>
      <x:c r="G105" s="100" t="n">
        <x:v>3</x:v>
      </x:c>
      <x:c r="H105" s="100" t="n">
        <x:v>10</x:v>
      </x:c>
      <x:c r="I105" s="100" t="n">
        <x:v>250</x:v>
      </x:c>
      <x:c r="J105" s="100" t="n">
        <x:v>-0.112</x:v>
      </x:c>
      <x:c r="K105" s="100" t="n">
        <x:v>-0.07623982829218079</x:v>
      </x:c>
      <x:c r="L105" s="100" t="n">
        <x:v>-0.03576017170781921</x:v>
      </x:c>
      <x:c r="M105" s="100" t="n">
        <x:v>-28</x:v>
      </x:c>
      <x:c r="N105" s="100" t="n">
        <x:v>0.8223057421987324</x:v>
      </x:c>
      <x:c r="O105" s="101" t="b">
        <x:v>1</x:v>
      </x:c>
      <x:c r="P105" t="str">
        <x:v>/Users/jvidale/Documents/Research/FaultScanR/output/20260722_181326_2487/CI_40353552</x:v>
      </x:c>
    </x:row>
    <x:row r="106">
      <x:c r="A106" t="str">
        <x:v>CI_40353552</x:v>
      </x:c>
      <x:c r="B106" s="99" t="str">
        <x:v>00146</x:v>
      </x:c>
      <x:c r="C106" t="str">
        <x:v>R</x:v>
      </x:c>
      <x:c r="D106" t="str">
        <x:v>R</x:v>
      </x:c>
      <x:c r="E106" t="str">
        <x:v>time shift</x:v>
      </x:c>
      <x:c r="F106" t="str">
        <x:v>S</x:v>
      </x:c>
      <x:c r="G106" s="100" t="n">
        <x:v>3</x:v>
      </x:c>
      <x:c r="H106" s="100" t="n">
        <x:v>10</x:v>
      </x:c>
      <x:c r="I106" s="100" t="n">
        <x:v>250</x:v>
      </x:c>
      <x:c r="J106" s="100" t="n">
        <x:v>-0.088</x:v>
      </x:c>
      <x:c r="K106" s="100" t="n">
        <x:v>-0.06967063944699436</x:v>
      </x:c>
      <x:c r="L106" s="100" t="n">
        <x:v>-0.01832936055300563</x:v>
      </x:c>
      <x:c r="M106" s="100" t="n">
        <x:v>-22</x:v>
      </x:c>
      <x:c r="N106" s="100" t="n">
        <x:v>0.9895013211526613</x:v>
      </x:c>
      <x:c r="O106" s="101" t="b">
        <x:v>1</x:v>
      </x:c>
      <x:c r="P106" t="str">
        <x:v>/Users/jvidale/Documents/Research/FaultScanR/output/20260722_181326_2487/CI_40353552</x:v>
      </x:c>
    </x:row>
    <x:row r="107">
      <x:c r="A107" t="str">
        <x:v>CI_40353552</x:v>
      </x:c>
      <x:c r="B107" s="99" t="str">
        <x:v>00147</x:v>
      </x:c>
      <x:c r="C107" t="str">
        <x:v>R</x:v>
      </x:c>
      <x:c r="D107" t="str">
        <x:v>R</x:v>
      </x:c>
      <x:c r="E107" t="str">
        <x:v>time shift</x:v>
      </x:c>
      <x:c r="F107" t="str">
        <x:v>S</x:v>
      </x:c>
      <x:c r="G107" s="100" t="n">
        <x:v>3</x:v>
      </x:c>
      <x:c r="H107" s="100" t="n">
        <x:v>10</x:v>
      </x:c>
      <x:c r="I107" s="100" t="n">
        <x:v>250</x:v>
      </x:c>
      <x:c r="J107" s="100" t="n">
        <x:v>-0.072</x:v>
      </x:c>
      <x:c r="K107" s="100" t="n">
        <x:v>-0.05826402980090961</x:v>
      </x:c>
      <x:c r="L107" s="100" t="n">
        <x:v>-0.01373597019909038</x:v>
      </x:c>
      <x:c r="M107" s="100" t="n">
        <x:v>-18</x:v>
      </x:c>
      <x:c r="N107" s="100" t="n">
        <x:v>0.9861953007839388</x:v>
      </x:c>
      <x:c r="O107" s="101" t="b">
        <x:v>1</x:v>
      </x:c>
      <x:c r="P107" t="str">
        <x:v>/Users/jvidale/Documents/Research/FaultScanR/output/20260722_181326_2487/CI_40353552</x:v>
      </x:c>
    </x:row>
    <x:row r="108">
      <x:c r="A108" t="str">
        <x:v>CI_40353552</x:v>
      </x:c>
      <x:c r="B108" s="99" t="str">
        <x:v>00148</x:v>
      </x:c>
      <x:c r="C108" t="str">
        <x:v>R</x:v>
      </x:c>
      <x:c r="D108" t="str">
        <x:v>R</x:v>
      </x:c>
      <x:c r="E108" t="str">
        <x:v>time shift</x:v>
      </x:c>
      <x:c r="F108" t="str">
        <x:v>S</x:v>
      </x:c>
      <x:c r="G108" s="100" t="n">
        <x:v>3</x:v>
      </x:c>
      <x:c r="H108" s="100" t="n">
        <x:v>10</x:v>
      </x:c>
      <x:c r="I108" s="100" t="n">
        <x:v>250</x:v>
      </x:c>
      <x:c r="J108" s="100" t="n">
        <x:v>-0.064</x:v>
      </x:c>
      <x:c r="K108" s="100" t="n">
        <x:v>-0.05213733147830268</x:v>
      </x:c>
      <x:c r="L108" s="100" t="n">
        <x:v>-0.01186266852169732</x:v>
      </x:c>
      <x:c r="M108" s="100" t="n">
        <x:v>-16</x:v>
      </x:c>
      <x:c r="N108" s="100" t="n">
        <x:v>0.9853621441843576</x:v>
      </x:c>
      <x:c r="O108" s="101" t="b">
        <x:v>1</x:v>
      </x:c>
      <x:c r="P108" t="str">
        <x:v>/Users/jvidale/Documents/Research/FaultScanR/output/20260722_181326_2487/CI_40353552</x:v>
      </x:c>
    </x:row>
    <x:row r="109">
      <x:c r="A109" t="str">
        <x:v>CI_40353552</x:v>
      </x:c>
      <x:c r="B109" s="99" t="str">
        <x:v>00149</x:v>
      </x:c>
      <x:c r="C109" t="str">
        <x:v>R</x:v>
      </x:c>
      <x:c r="D109" t="str">
        <x:v>R</x:v>
      </x:c>
      <x:c r="E109" t="str">
        <x:v>time shift</x:v>
      </x:c>
      <x:c r="F109" t="str">
        <x:v>S</x:v>
      </x:c>
      <x:c r="G109" s="100" t="n">
        <x:v>3</x:v>
      </x:c>
      <x:c r="H109" s="100" t="n">
        <x:v>10</x:v>
      </x:c>
      <x:c r="I109" s="100" t="n">
        <x:v>250</x:v>
      </x:c>
      <x:c r="J109" s="100" t="n">
        <x:v>-0.052</x:v>
      </x:c>
      <x:c r="K109" s="100" t="n">
        <x:v>-0.04295805435831301</x:v>
      </x:c>
      <x:c r="L109" s="100" t="n">
        <x:v>-0.009041945641686984</x:v>
      </x:c>
      <x:c r="M109" s="100" t="n">
        <x:v>-13</x:v>
      </x:c>
      <x:c r="N109" s="100" t="n">
        <x:v>0.9858825677230474</x:v>
      </x:c>
      <x:c r="O109" s="101" t="b">
        <x:v>1</x:v>
      </x:c>
      <x:c r="P109" t="str">
        <x:v>/Users/jvidale/Documents/Research/FaultScanR/output/20260722_181326_2487/CI_40353552</x:v>
      </x:c>
    </x:row>
    <x:row r="110">
      <x:c r="A110" t="str">
        <x:v>CI_40353552</x:v>
      </x:c>
      <x:c r="B110" s="99" t="str">
        <x:v>00150</x:v>
      </x:c>
      <x:c r="C110" t="str">
        <x:v>R</x:v>
      </x:c>
      <x:c r="D110" t="str">
        <x:v>R</x:v>
      </x:c>
      <x:c r="E110" t="str">
        <x:v>time shift</x:v>
      </x:c>
      <x:c r="F110" t="str">
        <x:v>S</x:v>
      </x:c>
      <x:c r="G110" s="100" t="n">
        <x:v>3</x:v>
      </x:c>
      <x:c r="H110" s="100" t="n">
        <x:v>10</x:v>
      </x:c>
      <x:c r="I110" s="100" t="n">
        <x:v>250</x:v>
      </x:c>
      <x:c r="J110" s="100" t="n">
        <x:v>-0.04</x:v>
      </x:c>
      <x:c r="K110" s="100" t="n">
        <x:v>-0.03318617762539322</x:v>
      </x:c>
      <x:c r="L110" s="100" t="n">
        <x:v>-0.00681382237460678</x:v>
      </x:c>
      <x:c r="M110" s="100" t="n">
        <x:v>-10</x:v>
      </x:c>
      <x:c r="N110" s="100" t="n">
        <x:v>0.9742947893178306</x:v>
      </x:c>
      <x:c r="O110" s="101" t="b">
        <x:v>1</x:v>
      </x:c>
      <x:c r="P110" t="str">
        <x:v>/Users/jvidale/Documents/Research/FaultScanR/output/20260722_181326_2487/CI_40353552</x:v>
      </x:c>
    </x:row>
    <x:row r="111">
      <x:c r="A111" t="str">
        <x:v>CI_40353552</x:v>
      </x:c>
      <x:c r="B111" s="99" t="str">
        <x:v>00151</x:v>
      </x:c>
      <x:c r="C111" t="str">
        <x:v>R</x:v>
      </x:c>
      <x:c r="D111" t="str">
        <x:v>R</x:v>
      </x:c>
      <x:c r="E111" t="str">
        <x:v>time shift</x:v>
      </x:c>
      <x:c r="F111" t="str">
        <x:v>S</x:v>
      </x:c>
      <x:c r="G111" s="100" t="n">
        <x:v>3</x:v>
      </x:c>
      <x:c r="H111" s="100" t="n">
        <x:v>10</x:v>
      </x:c>
      <x:c r="I111" s="100" t="n">
        <x:v>250</x:v>
      </x:c>
      <x:c r="J111" s="100" t="n">
        <x:v>-0.028</x:v>
      </x:c>
      <x:c r="K111" s="100" t="n">
        <x:v>-0.02624234883085563</x:v>
      </x:c>
      <x:c r="L111" s="100" t="n">
        <x:v>-0.001757651169144368</x:v>
      </x:c>
      <x:c r="M111" s="100" t="n">
        <x:v>-7</x:v>
      </x:c>
      <x:c r="N111" s="100" t="n">
        <x:v>0.9677025671795428</x:v>
      </x:c>
      <x:c r="O111" s="101" t="b">
        <x:v>1</x:v>
      </x:c>
      <x:c r="P111" t="str">
        <x:v>/Users/jvidale/Documents/Research/FaultScanR/output/20260722_181326_2487/CI_40353552</x:v>
      </x:c>
    </x:row>
    <x:row r="112">
      <x:c r="A112" t="str">
        <x:v>CI_40353552</x:v>
      </x:c>
      <x:c r="B112" s="99" t="str">
        <x:v>00152</x:v>
      </x:c>
      <x:c r="C112" t="str">
        <x:v>R</x:v>
      </x:c>
      <x:c r="D112" t="str">
        <x:v>R</x:v>
      </x:c>
      <x:c r="E112" t="str">
        <x:v>time shift</x:v>
      </x:c>
      <x:c r="F112" t="str">
        <x:v>S</x:v>
      </x:c>
      <x:c r="G112" s="100" t="n">
        <x:v>3</x:v>
      </x:c>
      <x:c r="H112" s="100" t="n">
        <x:v>10</x:v>
      </x:c>
      <x:c r="I112" s="100" t="n">
        <x:v>250</x:v>
      </x:c>
      <x:c r="J112" s="100" t="n">
        <x:v>-0.024</x:v>
      </x:c>
      <x:c r="K112" s="100" t="n">
        <x:v>-0.0156320410573505</x:v>
      </x:c>
      <x:c r="L112" s="100" t="n">
        <x:v>-0.008367958942649502</x:v>
      </x:c>
      <x:c r="M112" s="100" t="n">
        <x:v>-6</x:v>
      </x:c>
      <x:c r="N112" s="100" t="n">
        <x:v>0.9625231463651801</x:v>
      </x:c>
      <x:c r="O112" s="101" t="b">
        <x:v>1</x:v>
      </x:c>
      <x:c r="P112" t="str">
        <x:v>/Users/jvidale/Documents/Research/FaultScanR/output/20260722_181326_2487/CI_40353552</x:v>
      </x:c>
    </x:row>
    <x:row r="113">
      <x:c r="A113" t="str">
        <x:v>CI_40353552</x:v>
      </x:c>
      <x:c r="B113" s="99" t="str">
        <x:v>00153</x:v>
      </x:c>
      <x:c r="C113" t="str">
        <x:v>R</x:v>
      </x:c>
      <x:c r="D113" t="str">
        <x:v>R</x:v>
      </x:c>
      <x:c r="E113" t="str">
        <x:v>time shift</x:v>
      </x:c>
      <x:c r="F113" t="str">
        <x:v>S</x:v>
      </x:c>
      <x:c r="G113" s="100" t="n">
        <x:v>3</x:v>
      </x:c>
      <x:c r="H113" s="100" t="n">
        <x:v>10</x:v>
      </x:c>
      <x:c r="I113" s="100" t="n">
        <x:v>250</x:v>
      </x:c>
      <x:c r="J113" s="100" t="n">
        <x:v>-0.02</x:v>
      </x:c>
      <x:c r="K113" s="100" t="n">
        <x:v>-0.008941317092467038</x:v>
      </x:c>
      <x:c r="L113" s="100" t="n">
        <x:v>-0.01105868290753296</x:v>
      </x:c>
      <x:c r="M113" s="100" t="n">
        <x:v>-5</x:v>
      </x:c>
      <x:c r="N113" s="100" t="n">
        <x:v>0.9823473211135939</x:v>
      </x:c>
      <x:c r="O113" s="101" t="b">
        <x:v>1</x:v>
      </x:c>
      <x:c r="P113" t="str">
        <x:v>/Users/jvidale/Documents/Research/FaultScanR/output/20260722_181326_2487/CI_40353552</x:v>
      </x:c>
    </x:row>
    <x:row r="114">
      <x:c r="A114" t="str">
        <x:v>CI_40353552</x:v>
      </x:c>
      <x:c r="B114" s="99" t="str">
        <x:v>00155</x:v>
      </x:c>
      <x:c r="C114" t="str">
        <x:v>R</x:v>
      </x:c>
      <x:c r="D114" t="str">
        <x:v>R</x:v>
      </x:c>
      <x:c r="E114" t="str">
        <x:v>time shift</x:v>
      </x:c>
      <x:c r="F114" t="str">
        <x:v>S</x:v>
      </x:c>
      <x:c r="G114" s="100" t="n">
        <x:v>3</x:v>
      </x:c>
      <x:c r="H114" s="100" t="n">
        <x:v>10</x:v>
      </x:c>
      <x:c r="I114" s="100" t="n">
        <x:v>250</x:v>
      </x:c>
      <x:c r="J114" s="100" t="n">
        <x:v>0.012</x:v>
      </x:c>
      <x:c r="K114" s="100" t="n">
        <x:v>0.00928788256823232</x:v>
      </x:c>
      <x:c r="L114" s="100" t="n">
        <x:v>0.002712117431767681</x:v>
      </x:c>
      <x:c r="M114" s="100" t="n">
        <x:v>3</x:v>
      </x:c>
      <x:c r="N114" s="100" t="n">
        <x:v>0.9166156376787834</x:v>
      </x:c>
      <x:c r="O114" s="101" t="b">
        <x:v>1</x:v>
      </x:c>
      <x:c r="P114" t="str">
        <x:v>/Users/jvidale/Documents/Research/FaultScanR/output/20260722_181326_2487/CI_40353552</x:v>
      </x:c>
    </x:row>
    <x:row r="115">
      <x:c r="A115" t="str">
        <x:v>CI_40353552</x:v>
      </x:c>
      <x:c r="B115" s="99" t="str">
        <x:v>00156</x:v>
      </x:c>
      <x:c r="C115" t="str">
        <x:v>R</x:v>
      </x:c>
      <x:c r="D115" t="str">
        <x:v>R</x:v>
      </x:c>
      <x:c r="E115" t="str">
        <x:v>time shift</x:v>
      </x:c>
      <x:c r="F115" t="str">
        <x:v>S</x:v>
      </x:c>
      <x:c r="G115" s="100" t="n">
        <x:v>3</x:v>
      </x:c>
      <x:c r="H115" s="100" t="n">
        <x:v>10</x:v>
      </x:c>
      <x:c r="I115" s="100" t="n">
        <x:v>250</x:v>
      </x:c>
      <x:c r="J115" s="100" t="n">
        <x:v>0.008</x:v>
      </x:c>
      <x:c r="K115" s="100" t="n">
        <x:v>0.02100922498805069</x:v>
      </x:c>
      <x:c r="L115" s="100" t="n">
        <x:v>-0.01300922498805069</x:v>
      </x:c>
      <x:c r="M115" s="100" t="n">
        <x:v>2</x:v>
      </x:c>
      <x:c r="N115" s="100" t="n">
        <x:v>0.9566267815089344</x:v>
      </x:c>
      <x:c r="O115" s="101" t="b">
        <x:v>1</x:v>
      </x:c>
      <x:c r="P115" t="str">
        <x:v>/Users/jvidale/Documents/Research/FaultScanR/output/20260722_181326_2487/CI_40353552</x:v>
      </x:c>
    </x:row>
    <x:row r="116">
      <x:c r="A116" t="str">
        <x:v>CI_40353552</x:v>
      </x:c>
      <x:c r="B116" s="99" t="str">
        <x:v>00157</x:v>
      </x:c>
      <x:c r="C116" t="str">
        <x:v>R</x:v>
      </x:c>
      <x:c r="D116" t="str">
        <x:v>R</x:v>
      </x:c>
      <x:c r="E116" t="str">
        <x:v>time shift</x:v>
      </x:c>
      <x:c r="F116" t="str">
        <x:v>S</x:v>
      </x:c>
      <x:c r="G116" s="100" t="n">
        <x:v>3</x:v>
      </x:c>
      <x:c r="H116" s="100" t="n">
        <x:v>10</x:v>
      </x:c>
      <x:c r="I116" s="100" t="n">
        <x:v>250</x:v>
      </x:c>
      <x:c r="J116" s="100" t="n">
        <x:v>0.016</x:v>
      </x:c>
      <x:c r="K116" s="100" t="n">
        <x:v>0.02918479630279158</x:v>
      </x:c>
      <x:c r="L116" s="100" t="n">
        <x:v>-0.01318479630279158</x:v>
      </x:c>
      <x:c r="M116" s="100" t="n">
        <x:v>4</x:v>
      </x:c>
      <x:c r="N116" s="100" t="n">
        <x:v>0.8046494929821008</x:v>
      </x:c>
      <x:c r="O116" s="101" t="b">
        <x:v>1</x:v>
      </x:c>
      <x:c r="P116" t="str">
        <x:v>/Users/jvidale/Documents/Research/FaultScanR/output/20260722_181326_2487/CI_40353552</x:v>
      </x:c>
    </x:row>
    <x:row r="117">
      <x:c r="A117" t="str">
        <x:v>CI_40353552</x:v>
      </x:c>
      <x:c r="B117" s="99" t="str">
        <x:v>00158</x:v>
      </x:c>
      <x:c r="C117" t="str">
        <x:v>R</x:v>
      </x:c>
      <x:c r="D117" t="str">
        <x:v>R</x:v>
      </x:c>
      <x:c r="E117" t="str">
        <x:v>time shift</x:v>
      </x:c>
      <x:c r="F117" t="str">
        <x:v>S</x:v>
      </x:c>
      <x:c r="G117" s="100" t="n">
        <x:v>3</x:v>
      </x:c>
      <x:c r="H117" s="100" t="n">
        <x:v>10</x:v>
      </x:c>
      <x:c r="I117" s="100" t="n">
        <x:v>250</x:v>
      </x:c>
      <x:c r="J117" s="100" t="n">
        <x:v>-0.112</x:v>
      </x:c>
      <x:c r="K117" s="100" t="n">
        <x:v>-0.07828517466826757</x:v>
      </x:c>
      <x:c r="L117" s="100" t="n">
        <x:v>-0.03371482533173244</x:v>
      </x:c>
      <x:c r="M117" s="100" t="n">
        <x:v>-28</x:v>
      </x:c>
      <x:c r="N117" s="100" t="n">
        <x:v>0.8407818853388842</x:v>
      </x:c>
      <x:c r="O117" s="101" t="b">
        <x:v>1</x:v>
      </x:c>
      <x:c r="P117" t="str">
        <x:v>/Users/jvidale/Documents/Research/FaultScanR/output/20260722_181326_2487/CI_40353552</x:v>
      </x:c>
    </x:row>
    <x:row r="118">
      <x:c r="A118" t="str">
        <x:v>CI_40353552</x:v>
      </x:c>
      <x:c r="B118" s="99" t="str">
        <x:v>00160</x:v>
      </x:c>
      <x:c r="C118" t="str">
        <x:v>R</x:v>
      </x:c>
      <x:c r="D118" t="str">
        <x:v>R</x:v>
      </x:c>
      <x:c r="E118" t="str">
        <x:v>time shift</x:v>
      </x:c>
      <x:c r="F118" t="str">
        <x:v>S</x:v>
      </x:c>
      <x:c r="G118" s="100" t="n">
        <x:v>3</x:v>
      </x:c>
      <x:c r="H118" s="100" t="n">
        <x:v>10</x:v>
      </x:c>
      <x:c r="I118" s="100" t="n">
        <x:v>250</x:v>
      </x:c>
      <x:c r="J118" s="100" t="n">
        <x:v>-0.104</x:v>
      </x:c>
      <x:c r="K118" s="100" t="n">
        <x:v>-0.06168630083169724</x:v>
      </x:c>
      <x:c r="L118" s="100" t="n">
        <x:v>-0.04231369916830276</x:v>
      </x:c>
      <x:c r="M118" s="100" t="n">
        <x:v>-26</x:v>
      </x:c>
      <x:c r="N118" s="100" t="n">
        <x:v>0.7496649655849519</x:v>
      </x:c>
      <x:c r="O118" s="101" t="b">
        <x:v>1</x:v>
      </x:c>
      <x:c r="P118" t="str">
        <x:v>/Users/jvidale/Documents/Research/FaultScanR/output/20260722_181326_2487/CI_40353552</x:v>
      </x:c>
    </x:row>
    <x:row r="119">
      <x:c r="A119" t="str">
        <x:v>CI_40353552</x:v>
      </x:c>
      <x:c r="B119" s="99" t="str">
        <x:v>00162</x:v>
      </x:c>
      <x:c r="C119" t="str">
        <x:v>R</x:v>
      </x:c>
      <x:c r="D119" t="str">
        <x:v>R</x:v>
      </x:c>
      <x:c r="E119" t="str">
        <x:v>time shift</x:v>
      </x:c>
      <x:c r="F119" t="str">
        <x:v>S</x:v>
      </x:c>
      <x:c r="G119" s="100" t="n">
        <x:v>3</x:v>
      </x:c>
      <x:c r="H119" s="100" t="n">
        <x:v>10</x:v>
      </x:c>
      <x:c r="I119" s="100" t="n">
        <x:v>250</x:v>
      </x:c>
      <x:c r="J119" s="100" t="n">
        <x:v>-0.08</x:v>
      </x:c>
      <x:c r="K119" s="100" t="n">
        <x:v>-0.04889376344206831</x:v>
      </x:c>
      <x:c r="L119" s="100" t="n">
        <x:v>-0.0311062365579317</x:v>
      </x:c>
      <x:c r="M119" s="100" t="n">
        <x:v>-20</x:v>
      </x:c>
      <x:c r="N119" s="100" t="n">
        <x:v>0.962853971951535</x:v>
      </x:c>
      <x:c r="O119" s="101" t="b">
        <x:v>1</x:v>
      </x:c>
      <x:c r="P119" t="str">
        <x:v>/Users/jvidale/Documents/Research/FaultScanR/output/20260722_181326_2487/CI_40353552</x:v>
      </x:c>
    </x:row>
    <x:row r="120">
      <x:c r="A120" t="str">
        <x:v>CI_40353552</x:v>
      </x:c>
      <x:c r="B120" s="99" t="str">
        <x:v>00163</x:v>
      </x:c>
      <x:c r="C120" t="str">
        <x:v>R</x:v>
      </x:c>
      <x:c r="D120" t="str">
        <x:v>R</x:v>
      </x:c>
      <x:c r="E120" t="str">
        <x:v>time shift</x:v>
      </x:c>
      <x:c r="F120" t="str">
        <x:v>S</x:v>
      </x:c>
      <x:c r="G120" s="100" t="n">
        <x:v>3</x:v>
      </x:c>
      <x:c r="H120" s="100" t="n">
        <x:v>10</x:v>
      </x:c>
      <x:c r="I120" s="100" t="n">
        <x:v>250</x:v>
      </x:c>
      <x:c r="J120" s="100" t="n">
        <x:v>-0.064</x:v>
      </x:c>
      <x:c r="K120" s="100" t="n">
        <x:v>-0.04012931418619203</x:v>
      </x:c>
      <x:c r="L120" s="100" t="n">
        <x:v>-0.02387068581380797</x:v>
      </x:c>
      <x:c r="M120" s="100" t="n">
        <x:v>-16</x:v>
      </x:c>
      <x:c r="N120" s="100" t="n">
        <x:v>0.975171401057849</x:v>
      </x:c>
      <x:c r="O120" s="101" t="b">
        <x:v>1</x:v>
      </x:c>
      <x:c r="P120" t="str">
        <x:v>/Users/jvidale/Documents/Research/FaultScanR/output/20260722_181326_2487/CI_40353552</x:v>
      </x:c>
    </x:row>
    <x:row r="121">
      <x:c r="A121" t="str">
        <x:v>CI_40353552</x:v>
      </x:c>
      <x:c r="B121" s="99" t="str">
        <x:v>00164</x:v>
      </x:c>
      <x:c r="C121" t="str">
        <x:v>R</x:v>
      </x:c>
      <x:c r="D121" t="str">
        <x:v>R</x:v>
      </x:c>
      <x:c r="E121" t="str">
        <x:v>time shift</x:v>
      </x:c>
      <x:c r="F121" t="str">
        <x:v>S</x:v>
      </x:c>
      <x:c r="G121" s="100" t="n">
        <x:v>3</x:v>
      </x:c>
      <x:c r="H121" s="100" t="n">
        <x:v>10</x:v>
      </x:c>
      <x:c r="I121" s="100" t="n">
        <x:v>250</x:v>
      </x:c>
      <x:c r="J121" s="100" t="n">
        <x:v>-0.04</x:v>
      </x:c>
      <x:c r="K121" s="100" t="n">
        <x:v>-0.03124321849203682</x:v>
      </x:c>
      <x:c r="L121" s="100" t="n">
        <x:v>-0.008756781507963184</x:v>
      </x:c>
      <x:c r="M121" s="100" t="n">
        <x:v>-10</x:v>
      </x:c>
      <x:c r="N121" s="100" t="n">
        <x:v>0.9876324365626554</x:v>
      </x:c>
      <x:c r="O121" s="101" t="b">
        <x:v>1</x:v>
      </x:c>
      <x:c r="P121" t="str">
        <x:v>/Users/jvidale/Documents/Research/FaultScanR/output/20260722_181326_2487/CI_40353552</x:v>
      </x:c>
    </x:row>
    <x:row r="122">
      <x:c r="A122" t="str">
        <x:v>CI_40353552</x:v>
      </x:c>
      <x:c r="B122" s="99" t="str">
        <x:v>00165</x:v>
      </x:c>
      <x:c r="C122" t="str">
        <x:v>R</x:v>
      </x:c>
      <x:c r="D122" t="str">
        <x:v>R</x:v>
      </x:c>
      <x:c r="E122" t="str">
        <x:v>time shift</x:v>
      </x:c>
      <x:c r="F122" t="str">
        <x:v>S</x:v>
      </x:c>
      <x:c r="G122" s="100" t="n">
        <x:v>3</x:v>
      </x:c>
      <x:c r="H122" s="100" t="n">
        <x:v>10</x:v>
      </x:c>
      <x:c r="I122" s="100" t="n">
        <x:v>250</x:v>
      </x:c>
      <x:c r="J122" s="100" t="n">
        <x:v>-0.02</x:v>
      </x:c>
      <x:c r="K122" s="100" t="n">
        <x:v>-0.02086479212839887</x:v>
      </x:c>
      <x:c r="L122" s="100" t="n">
        <x:v>0.0008647921283988676</x:v>
      </x:c>
      <x:c r="M122" s="100" t="n">
        <x:v>-5</x:v>
      </x:c>
      <x:c r="N122" s="100" t="n">
        <x:v>0.9722807792795267</x:v>
      </x:c>
      <x:c r="O122" s="101" t="b">
        <x:v>1</x:v>
      </x:c>
      <x:c r="P122" t="str">
        <x:v>/Users/jvidale/Documents/Research/FaultScanR/output/20260722_181326_2487/CI_40353552</x:v>
      </x:c>
    </x:row>
    <x:row r="123">
      <x:c r="A123" t="str">
        <x:v>CI_40353552</x:v>
      </x:c>
      <x:c r="B123" s="99" t="str">
        <x:v>00166</x:v>
      </x:c>
      <x:c r="C123" t="str">
        <x:v>R</x:v>
      </x:c>
      <x:c r="D123" t="str">
        <x:v>R</x:v>
      </x:c>
      <x:c r="E123" t="str">
        <x:v>time shift</x:v>
      </x:c>
      <x:c r="F123" t="str">
        <x:v>S</x:v>
      </x:c>
      <x:c r="G123" s="100" t="n">
        <x:v>3</x:v>
      </x:c>
      <x:c r="H123" s="100" t="n">
        <x:v>10</x:v>
      </x:c>
      <x:c r="I123" s="100" t="n">
        <x:v>250</x:v>
      </x:c>
      <x:c r="J123" s="100" t="n">
        <x:v>-0.02</x:v>
      </x:c>
      <x:c r="K123" s="100" t="n">
        <x:v>-0.01315542132724268</x:v>
      </x:c>
      <x:c r="L123" s="100" t="n">
        <x:v>-0.006844578672757323</x:v>
      </x:c>
      <x:c r="M123" s="100" t="n">
        <x:v>-5</x:v>
      </x:c>
      <x:c r="N123" s="100" t="n">
        <x:v>0.9715180033128759</x:v>
      </x:c>
      <x:c r="O123" s="101" t="b">
        <x:v>1</x:v>
      </x:c>
      <x:c r="P123" t="str">
        <x:v>/Users/jvidale/Documents/Research/FaultScanR/output/20260722_181326_2487/CI_40353552</x:v>
      </x:c>
    </x:row>
    <x:row r="124">
      <x:c r="A124" t="str">
        <x:v>CI_40353552</x:v>
      </x:c>
      <x:c r="B124" s="99" t="str">
        <x:v>00167</x:v>
      </x:c>
      <x:c r="C124" t="str">
        <x:v>R</x:v>
      </x:c>
      <x:c r="D124" t="str">
        <x:v>R</x:v>
      </x:c>
      <x:c r="E124" t="str">
        <x:v>time shift</x:v>
      </x:c>
      <x:c r="F124" t="str">
        <x:v>S</x:v>
      </x:c>
      <x:c r="G124" s="100" t="n">
        <x:v>3</x:v>
      </x:c>
      <x:c r="H124" s="100" t="n">
        <x:v>10</x:v>
      </x:c>
      <x:c r="I124" s="100" t="n">
        <x:v>250</x:v>
      </x:c>
      <x:c r="J124" s="100" t="n">
        <x:v>-0.012</x:v>
      </x:c>
      <x:c r="K124" s="100" t="n">
        <x:v>-0.004715085205584835</x:v>
      </x:c>
      <x:c r="L124" s="100" t="n">
        <x:v>-0.007284914794415166</x:v>
      </x:c>
      <x:c r="M124" s="100" t="n">
        <x:v>-3</x:v>
      </x:c>
      <x:c r="N124" s="100" t="n">
        <x:v>0.9357976854884508</x:v>
      </x:c>
      <x:c r="O124" s="101" t="b">
        <x:v>1</x:v>
      </x:c>
      <x:c r="P124" t="str">
        <x:v>/Users/jvidale/Documents/Research/FaultScanR/output/20260722_181326_2487/CI_40353552</x:v>
      </x:c>
    </x:row>
    <x:row r="125">
      <x:c r="A125" t="str">
        <x:v>CI_40353552</x:v>
      </x:c>
      <x:c r="B125" s="99" t="str">
        <x:v>00168</x:v>
      </x:c>
      <x:c r="C125" t="str">
        <x:v>R</x:v>
      </x:c>
      <x:c r="D125" t="str">
        <x:v>R</x:v>
      </x:c>
      <x:c r="E125" t="str">
        <x:v>time shift</x:v>
      </x:c>
      <x:c r="F125" t="str">
        <x:v>S</x:v>
      </x:c>
      <x:c r="G125" s="100" t="n">
        <x:v>3</x:v>
      </x:c>
      <x:c r="H125" s="100" t="n">
        <x:v>10</x:v>
      </x:c>
      <x:c r="I125" s="100" t="n">
        <x:v>250</x:v>
      </x:c>
      <x:c r="J125" s="100" t="n">
        <x:v>-0.008</x:v>
      </x:c>
      <x:c r="K125" s="100" t="n">
        <x:v>0.002163518265560604</x:v>
      </x:c>
      <x:c r="L125" s="100" t="n">
        <x:v>-0.0101635182655606</x:v>
      </x:c>
      <x:c r="M125" s="100" t="n">
        <x:v>-2</x:v>
      </x:c>
      <x:c r="N125" s="100" t="n">
        <x:v>0.9651802641303391</x:v>
      </x:c>
      <x:c r="O125" s="101" t="b">
        <x:v>1</x:v>
      </x:c>
      <x:c r="P125" t="str">
        <x:v>/Users/jvidale/Documents/Research/FaultScanR/output/20260722_181326_2487/CI_40353552</x:v>
      </x:c>
    </x:row>
    <x:row r="126">
      <x:c r="A126" t="str">
        <x:v>CI_40353552</x:v>
      </x:c>
      <x:c r="B126" s="99" t="str">
        <x:v>00169</x:v>
      </x:c>
      <x:c r="C126" t="str">
        <x:v>R</x:v>
      </x:c>
      <x:c r="D126" t="str">
        <x:v>R</x:v>
      </x:c>
      <x:c r="E126" t="str">
        <x:v>time shift</x:v>
      </x:c>
      <x:c r="F126" t="str">
        <x:v>S</x:v>
      </x:c>
      <x:c r="G126" s="100" t="n">
        <x:v>3</x:v>
      </x:c>
      <x:c r="H126" s="100" t="n">
        <x:v>10</x:v>
      </x:c>
      <x:c r="I126" s="100" t="n">
        <x:v>250</x:v>
      </x:c>
      <x:c r="J126" s="100" t="n">
        <x:v>0.008</x:v>
      </x:c>
      <x:c r="K126" s="100" t="n">
        <x:v>0.01441835448314777</x:v>
      </x:c>
      <x:c r="L126" s="100" t="n">
        <x:v>-0.006418354483147766</x:v>
      </x:c>
      <x:c r="M126" s="100" t="n">
        <x:v>2</x:v>
      </x:c>
      <x:c r="N126" s="100" t="n">
        <x:v>0.9733751184986214</x:v>
      </x:c>
      <x:c r="O126" s="101" t="b">
        <x:v>1</x:v>
      </x:c>
      <x:c r="P126" t="str">
        <x:v>/Users/jvidale/Documents/Research/FaultScanR/output/20260722_181326_2487/CI_40353552</x:v>
      </x:c>
    </x:row>
    <x:row r="127">
      <x:c r="A127" t="str">
        <x:v>CI_40353552</x:v>
      </x:c>
      <x:c r="B127" s="99" t="str">
        <x:v>00170</x:v>
      </x:c>
      <x:c r="C127" t="str">
        <x:v>R</x:v>
      </x:c>
      <x:c r="D127" t="str">
        <x:v>R</x:v>
      </x:c>
      <x:c r="E127" t="str">
        <x:v>time shift</x:v>
      </x:c>
      <x:c r="F127" t="str">
        <x:v>S</x:v>
      </x:c>
      <x:c r="G127" s="100" t="n">
        <x:v>3</x:v>
      </x:c>
      <x:c r="H127" s="100" t="n">
        <x:v>10</x:v>
      </x:c>
      <x:c r="I127" s="100" t="n">
        <x:v>250</x:v>
      </x:c>
      <x:c r="J127" s="100" t="n">
        <x:v>0.032</x:v>
      </x:c>
      <x:c r="K127" s="100" t="n">
        <x:v>0.02402042183057418</x:v>
      </x:c>
      <x:c r="L127" s="100" t="n">
        <x:v>0.007979578169425822</x:v>
      </x:c>
      <x:c r="M127" s="100" t="n">
        <x:v>8</x:v>
      </x:c>
      <x:c r="N127" s="100" t="n">
        <x:v>0.964544042290584</x:v>
      </x:c>
      <x:c r="O127" s="101" t="b">
        <x:v>1</x:v>
      </x:c>
      <x:c r="P127" t="str">
        <x:v>/Users/jvidale/Documents/Research/FaultScanR/output/20260722_181326_2487/CI_40353552</x:v>
      </x:c>
    </x:row>
    <x:row r="128">
      <x:c r="A128" t="str">
        <x:v>CI_40353552</x:v>
      </x:c>
      <x:c r="B128" s="99" t="str">
        <x:v>00172</x:v>
      </x:c>
      <x:c r="C128" t="str">
        <x:v>R</x:v>
      </x:c>
      <x:c r="D128" t="str">
        <x:v>R</x:v>
      </x:c>
      <x:c r="E128" t="str">
        <x:v>time shift</x:v>
      </x:c>
      <x:c r="F128" t="str">
        <x:v>S</x:v>
      </x:c>
      <x:c r="G128" s="100" t="n">
        <x:v>3</x:v>
      </x:c>
      <x:c r="H128" s="100" t="n">
        <x:v>10</x:v>
      </x:c>
      <x:c r="I128" s="100" t="n">
        <x:v>250</x:v>
      </x:c>
      <x:c r="J128" s="100" t="n">
        <x:v>0.036</x:v>
      </x:c>
      <x:c r="K128" s="100" t="n">
        <x:v>0.03890657160765087</x:v>
      </x:c>
      <x:c r="L128" s="100" t="n">
        <x:v>-0.002906571607650878</x:v>
      </x:c>
      <x:c r="M128" s="100" t="n">
        <x:v>9</x:v>
      </x:c>
      <x:c r="N128" s="100" t="n">
        <x:v>0.9059643390900509</x:v>
      </x:c>
      <x:c r="O128" s="101" t="b">
        <x:v>1</x:v>
      </x:c>
      <x:c r="P128" t="str">
        <x:v>/Users/jvidale/Documents/Research/FaultScanR/output/20260722_181326_2487/CI_40353552</x:v>
      </x:c>
    </x:row>
    <x:row r="129">
      <x:c r="A129" t="str">
        <x:v>CI_40353552</x:v>
      </x:c>
      <x:c r="B129" s="99" t="str">
        <x:v>00173</x:v>
      </x:c>
      <x:c r="C129" t="str">
        <x:v>R</x:v>
      </x:c>
      <x:c r="D129" t="str">
        <x:v>R</x:v>
      </x:c>
      <x:c r="E129" t="str">
        <x:v>time shift</x:v>
      </x:c>
      <x:c r="F129" t="str">
        <x:v>S</x:v>
      </x:c>
      <x:c r="G129" s="100" t="n">
        <x:v>3</x:v>
      </x:c>
      <x:c r="H129" s="100" t="n">
        <x:v>10</x:v>
      </x:c>
      <x:c r="I129" s="100" t="n">
        <x:v>250</x:v>
      </x:c>
      <x:c r="J129" s="100" t="n">
        <x:v>0.028</x:v>
      </x:c>
      <x:c r="K129" s="100" t="n">
        <x:v>0.0496667120402563</x:v>
      </x:c>
      <x:c r="L129" s="100" t="n">
        <x:v>-0.0216667120402563</x:v>
      </x:c>
      <x:c r="M129" s="100" t="n">
        <x:v>7</x:v>
      </x:c>
      <x:c r="N129" s="100" t="n">
        <x:v>0.9432289587075496</x:v>
      </x:c>
      <x:c r="O129" s="101" t="b">
        <x:v>1</x:v>
      </x:c>
      <x:c r="P129" t="str">
        <x:v>/Users/jvidale/Documents/Research/FaultScanR/output/20260722_181326_2487/CI_40353552</x:v>
      </x:c>
    </x:row>
    <x:row r="130">
      <x:c r="A130" t="str">
        <x:v>CI_40353552</x:v>
      </x:c>
      <x:c r="B130" s="99" t="str">
        <x:v>00174</x:v>
      </x:c>
      <x:c r="C130" t="str">
        <x:v>R</x:v>
      </x:c>
      <x:c r="D130" t="str">
        <x:v>R</x:v>
      </x:c>
      <x:c r="E130" t="str">
        <x:v>time shift</x:v>
      </x:c>
      <x:c r="F130" t="str">
        <x:v>S</x:v>
      </x:c>
      <x:c r="G130" s="100" t="n">
        <x:v>3</x:v>
      </x:c>
      <x:c r="H130" s="100" t="n">
        <x:v>10</x:v>
      </x:c>
      <x:c r="I130" s="100" t="n">
        <x:v>250</x:v>
      </x:c>
      <x:c r="J130" s="100" t="n">
        <x:v>-0.088</x:v>
      </x:c>
      <x:c r="K130" s="100" t="n">
        <x:v>-0.05645382869132476</x:v>
      </x:c>
      <x:c r="L130" s="100" t="n">
        <x:v>-0.03154617130867524</x:v>
      </x:c>
      <x:c r="M130" s="100" t="n">
        <x:v>-22</x:v>
      </x:c>
      <x:c r="N130" s="100" t="n">
        <x:v>0.8668724733920316</x:v>
      </x:c>
      <x:c r="O130" s="101" t="b">
        <x:v>1</x:v>
      </x:c>
      <x:c r="P130" t="str">
        <x:v>/Users/jvidale/Documents/Research/FaultScanR/output/20260722_181326_2487/CI_40353552</x:v>
      </x:c>
    </x:row>
    <x:row r="131">
      <x:c r="A131" t="str">
        <x:v>CI_40353552</x:v>
      </x:c>
      <x:c r="B131" s="99" t="str">
        <x:v>00175</x:v>
      </x:c>
      <x:c r="C131" t="str">
        <x:v>R</x:v>
      </x:c>
      <x:c r="D131" t="str">
        <x:v>R</x:v>
      </x:c>
      <x:c r="E131" t="str">
        <x:v>time shift</x:v>
      </x:c>
      <x:c r="F131" t="str">
        <x:v>S</x:v>
      </x:c>
      <x:c r="G131" s="100" t="n">
        <x:v>3</x:v>
      </x:c>
      <x:c r="H131" s="100" t="n">
        <x:v>10</x:v>
      </x:c>
      <x:c r="I131" s="100" t="n">
        <x:v>250</x:v>
      </x:c>
      <x:c r="J131" s="100" t="n">
        <x:v>-0.008</x:v>
      </x:c>
      <x:c r="K131" s="100" t="n">
        <x:v>-0.04867207985183697</x:v>
      </x:c>
      <x:c r="L131" s="100" t="n">
        <x:v>0.04067207985183697</x:v>
      </x:c>
      <x:c r="M131" s="100" t="n">
        <x:v>-2</x:v>
      </x:c>
      <x:c r="N131" s="100" t="n">
        <x:v>0.6394127423923575</x:v>
      </x:c>
      <x:c r="O131" s="101" t="b">
        <x:v>1</x:v>
      </x:c>
      <x:c r="P131" t="str">
        <x:v>/Users/jvidale/Documents/Research/FaultScanR/output/20260722_181326_2487/CI_40353552</x:v>
      </x:c>
    </x:row>
    <x:row r="132">
      <x:c r="A132" t="str">
        <x:v>CI_40353552</x:v>
      </x:c>
      <x:c r="B132" s="99" t="str">
        <x:v>00176</x:v>
      </x:c>
      <x:c r="C132" t="str">
        <x:v>R</x:v>
      </x:c>
      <x:c r="D132" t="str">
        <x:v>R</x:v>
      </x:c>
      <x:c r="E132" t="str">
        <x:v>time shift</x:v>
      </x:c>
      <x:c r="F132" t="str">
        <x:v>S</x:v>
      </x:c>
      <x:c r="G132" s="100" t="n">
        <x:v>3</x:v>
      </x:c>
      <x:c r="H132" s="100" t="n">
        <x:v>10</x:v>
      </x:c>
      <x:c r="I132" s="100" t="n">
        <x:v>250</x:v>
      </x:c>
      <x:c r="J132" s="100" t="n">
        <x:v>-0.076</x:v>
      </x:c>
      <x:c r="K132" s="100" t="n">
        <x:v>-0.03971251152305388</x:v>
      </x:c>
      <x:c r="L132" s="100" t="n">
        <x:v>-0.03628748847694611</x:v>
      </x:c>
      <x:c r="M132" s="100" t="n">
        <x:v>-19</x:v>
      </x:c>
      <x:c r="N132" s="100" t="n">
        <x:v>0.9292254006968192</x:v>
      </x:c>
      <x:c r="O132" s="101" t="b">
        <x:v>1</x:v>
      </x:c>
      <x:c r="P132" t="str">
        <x:v>/Users/jvidale/Documents/Research/FaultScanR/output/20260722_181326_2487/CI_40353552</x:v>
      </x:c>
    </x:row>
    <x:row r="133">
      <x:c r="A133" t="str">
        <x:v>CI_40353552</x:v>
      </x:c>
      <x:c r="B133" s="99" t="str">
        <x:v>00177</x:v>
      </x:c>
      <x:c r="C133" t="str">
        <x:v>R</x:v>
      </x:c>
      <x:c r="D133" t="str">
        <x:v>R</x:v>
      </x:c>
      <x:c r="E133" t="str">
        <x:v>time shift</x:v>
      </x:c>
      <x:c r="F133" t="str">
        <x:v>S</x:v>
      </x:c>
      <x:c r="G133" s="100" t="n">
        <x:v>3</x:v>
      </x:c>
      <x:c r="H133" s="100" t="n">
        <x:v>10</x:v>
      </x:c>
      <x:c r="I133" s="100" t="n">
        <x:v>250</x:v>
      </x:c>
      <x:c r="J133" s="100" t="n">
        <x:v>-0.064</x:v>
      </x:c>
      <x:c r="K133" s="100" t="n">
        <x:v>-0.03265719308067183</x:v>
      </x:c>
      <x:c r="L133" s="100" t="n">
        <x:v>-0.03134280691932817</x:v>
      </x:c>
      <x:c r="M133" s="100" t="n">
        <x:v>-16</x:v>
      </x:c>
      <x:c r="N133" s="100" t="n">
        <x:v>0.8174604999877183</x:v>
      </x:c>
      <x:c r="O133" s="101" t="b">
        <x:v>1</x:v>
      </x:c>
      <x:c r="P133" t="str">
        <x:v>/Users/jvidale/Documents/Research/FaultScanR/output/20260722_181326_2487/CI_40353552</x:v>
      </x:c>
    </x:row>
    <x:row r="134">
      <x:c r="A134" t="str">
        <x:v>CI_40353552</x:v>
      </x:c>
      <x:c r="B134" s="99" t="str">
        <x:v>00178</x:v>
      </x:c>
      <x:c r="C134" t="str">
        <x:v>R</x:v>
      </x:c>
      <x:c r="D134" t="str">
        <x:v>R</x:v>
      </x:c>
      <x:c r="E134" t="str">
        <x:v>time shift</x:v>
      </x:c>
      <x:c r="F134" t="str">
        <x:v>S</x:v>
      </x:c>
      <x:c r="G134" s="100" t="n">
        <x:v>3</x:v>
      </x:c>
      <x:c r="H134" s="100" t="n">
        <x:v>10</x:v>
      </x:c>
      <x:c r="I134" s="100" t="n">
        <x:v>250</x:v>
      </x:c>
      <x:c r="J134" s="100" t="n">
        <x:v>-0.064</x:v>
      </x:c>
      <x:c r="K134" s="100" t="n">
        <x:v>-0.02404667269706096</x:v>
      </x:c>
      <x:c r="L134" s="100" t="n">
        <x:v>-0.03995332730293905</x:v>
      </x:c>
      <x:c r="M134" s="100" t="n">
        <x:v>-16</x:v>
      </x:c>
      <x:c r="N134" s="100" t="n">
        <x:v>0.9549867336536536</x:v>
      </x:c>
      <x:c r="O134" s="101" t="b">
        <x:v>1</x:v>
      </x:c>
      <x:c r="P134" t="str">
        <x:v>/Users/jvidale/Documents/Research/FaultScanR/output/20260722_181326_2487/CI_40353552</x:v>
      </x:c>
    </x:row>
    <x:row r="135">
      <x:c r="A135" t="str">
        <x:v>CI_40353552</x:v>
      </x:c>
      <x:c r="B135" s="99" t="str">
        <x:v>00180</x:v>
      </x:c>
      <x:c r="C135" t="str">
        <x:v>R</x:v>
      </x:c>
      <x:c r="D135" t="str">
        <x:v>R</x:v>
      </x:c>
      <x:c r="E135" t="str">
        <x:v>time shift</x:v>
      </x:c>
      <x:c r="F135" t="str">
        <x:v>S</x:v>
      </x:c>
      <x:c r="G135" s="100" t="n">
        <x:v>3</x:v>
      </x:c>
      <x:c r="H135" s="100" t="n">
        <x:v>10</x:v>
      </x:c>
      <x:c r="I135" s="100" t="n">
        <x:v>250</x:v>
      </x:c>
      <x:c r="J135" s="100" t="n">
        <x:v>-0.02</x:v>
      </x:c>
      <x:c r="K135" s="100" t="n">
        <x:v>-0.007316887909373015</x:v>
      </x:c>
      <x:c r="L135" s="100" t="n">
        <x:v>-0.01268311209062698</x:v>
      </x:c>
      <x:c r="M135" s="100" t="n">
        <x:v>-5</x:v>
      </x:c>
      <x:c r="N135" s="100" t="n">
        <x:v>0.9662711673003993</x:v>
      </x:c>
      <x:c r="O135" s="101" t="b">
        <x:v>1</x:v>
      </x:c>
      <x:c r="P135" t="str">
        <x:v>/Users/jvidale/Documents/Research/FaultScanR/output/20260722_181326_2487/CI_40353552</x:v>
      </x:c>
    </x:row>
    <x:row r="136">
      <x:c r="A136" t="str">
        <x:v>CI_40353552</x:v>
      </x:c>
      <x:c r="B136" s="99" t="str">
        <x:v>00181</x:v>
      </x:c>
      <x:c r="C136" t="str">
        <x:v>R</x:v>
      </x:c>
      <x:c r="D136" t="str">
        <x:v>R</x:v>
      </x:c>
      <x:c r="E136" t="str">
        <x:v>time shift</x:v>
      </x:c>
      <x:c r="F136" t="str">
        <x:v>S</x:v>
      </x:c>
      <x:c r="G136" s="100" t="n">
        <x:v>3</x:v>
      </x:c>
      <x:c r="H136" s="100" t="n">
        <x:v>10</x:v>
      </x:c>
      <x:c r="I136" s="100" t="n">
        <x:v>250</x:v>
      </x:c>
      <x:c r="J136" s="100" t="n">
        <x:v>0</x:v>
      </x:c>
      <x:c r="K136" s="100" t="n">
        <x:v>0</x:v>
      </x:c>
      <x:c r="L136" s="100" t="n">
        <x:v>0</x:v>
      </x:c>
      <x:c r="M136" s="100" t="n">
        <x:v>0</x:v>
      </x:c>
      <x:c r="N136" s="100" t="n">
        <x:v>0.9669458520700313</x:v>
      </x:c>
      <x:c r="O136" s="101" t="b">
        <x:v>1</x:v>
      </x:c>
      <x:c r="P136" t="str">
        <x:v>/Users/jvidale/Documents/Research/FaultScanR/output/20260722_181326_2487/CI_40353552</x:v>
      </x:c>
    </x:row>
    <x:row r="137">
      <x:c r="A137" t="str">
        <x:v>CI_40353552</x:v>
      </x:c>
      <x:c r="B137" s="99" t="str">
        <x:v>00182</x:v>
      </x:c>
      <x:c r="C137" t="str">
        <x:v>R</x:v>
      </x:c>
      <x:c r="D137" t="str">
        <x:v>R</x:v>
      </x:c>
      <x:c r="E137" t="str">
        <x:v>time shift</x:v>
      </x:c>
      <x:c r="F137" t="str">
        <x:v>S</x:v>
      </x:c>
      <x:c r="G137" s="100" t="n">
        <x:v>3</x:v>
      </x:c>
      <x:c r="H137" s="100" t="n">
        <x:v>10</x:v>
      </x:c>
      <x:c r="I137" s="100" t="n">
        <x:v>250</x:v>
      </x:c>
      <x:c r="J137" s="100" t="n">
        <x:v>0.012</x:v>
      </x:c>
      <x:c r="K137" s="100" t="n">
        <x:v>0.01010476226886503</x:v>
      </x:c>
      <x:c r="L137" s="100" t="n">
        <x:v>0.00189523773113497</x:v>
      </x:c>
      <x:c r="M137" s="100" t="n">
        <x:v>3</x:v>
      </x:c>
      <x:c r="N137" s="100" t="n">
        <x:v>0.9585977966397027</x:v>
      </x:c>
      <x:c r="O137" s="101" t="b">
        <x:v>1</x:v>
      </x:c>
      <x:c r="P137" t="str">
        <x:v>/Users/jvidale/Documents/Research/FaultScanR/output/20260722_181326_2487/CI_40353552</x:v>
      </x:c>
    </x:row>
    <x:row r="138">
      <x:c r="A138" t="str">
        <x:v>CI_40353552</x:v>
      </x:c>
      <x:c r="B138" s="99" t="str">
        <x:v>00183</x:v>
      </x:c>
      <x:c r="C138" t="str">
        <x:v>R</x:v>
      </x:c>
      <x:c r="D138" t="str">
        <x:v>R</x:v>
      </x:c>
      <x:c r="E138" t="str">
        <x:v>time shift</x:v>
      </x:c>
      <x:c r="F138" t="str">
        <x:v>S</x:v>
      </x:c>
      <x:c r="G138" s="100" t="n">
        <x:v>3</x:v>
      </x:c>
      <x:c r="H138" s="100" t="n">
        <x:v>10</x:v>
      </x:c>
      <x:c r="I138" s="100" t="n">
        <x:v>250</x:v>
      </x:c>
      <x:c r="J138" s="100" t="n">
        <x:v>0.012</x:v>
      </x:c>
      <x:c r="K138" s="100" t="n">
        <x:v>0.02202401286139999</x:v>
      </x:c>
      <x:c r="L138" s="100" t="n">
        <x:v>-0.01002401286139999</x:v>
      </x:c>
      <x:c r="M138" s="100" t="n">
        <x:v>3</x:v>
      </x:c>
      <x:c r="N138" s="100" t="n">
        <x:v>0.98830249739015</x:v>
      </x:c>
      <x:c r="O138" s="101" t="b">
        <x:v>1</x:v>
      </x:c>
      <x:c r="P138" t="str">
        <x:v>/Users/jvidale/Documents/Research/FaultScanR/output/20260722_181326_2487/CI_40353552</x:v>
      </x:c>
    </x:row>
    <x:row r="139">
      <x:c r="A139" t="str">
        <x:v>CI_40353552</x:v>
      </x:c>
      <x:c r="B139" s="99" t="str">
        <x:v>00184</x:v>
      </x:c>
      <x:c r="C139" t="str">
        <x:v>R</x:v>
      </x:c>
      <x:c r="D139" t="str">
        <x:v>R</x:v>
      </x:c>
      <x:c r="E139" t="str">
        <x:v>time shift</x:v>
      </x:c>
      <x:c r="F139" t="str">
        <x:v>S</x:v>
      </x:c>
      <x:c r="G139" s="100" t="n">
        <x:v>3</x:v>
      </x:c>
      <x:c r="H139" s="100" t="n">
        <x:v>10</x:v>
      </x:c>
      <x:c r="I139" s="100" t="n">
        <x:v>250</x:v>
      </x:c>
      <x:c r="J139" s="100" t="n">
        <x:v>0.028</x:v>
      </x:c>
      <x:c r="K139" s="100" t="n">
        <x:v>0.03037563932223186</x:v>
      </x:c>
      <x:c r="L139" s="100" t="n">
        <x:v>-0.002375639322231862</x:v>
      </x:c>
      <x:c r="M139" s="100" t="n">
        <x:v>7</x:v>
      </x:c>
      <x:c r="N139" s="100" t="n">
        <x:v>0.9436299735709142</x:v>
      </x:c>
      <x:c r="O139" s="101" t="b">
        <x:v>1</x:v>
      </x:c>
      <x:c r="P139" t="str">
        <x:v>/Users/jvidale/Documents/Research/FaultScanR/output/20260722_181326_2487/CI_40353552</x:v>
      </x:c>
    </x:row>
    <x:row r="140">
      <x:c r="A140" t="str">
        <x:v>CI_40353552</x:v>
      </x:c>
      <x:c r="B140" s="99" t="str">
        <x:v>00185</x:v>
      </x:c>
      <x:c r="C140" t="str">
        <x:v>R</x:v>
      </x:c>
      <x:c r="D140" t="str">
        <x:v>R</x:v>
      </x:c>
      <x:c r="E140" t="str">
        <x:v>time shift</x:v>
      </x:c>
      <x:c r="F140" t="str">
        <x:v>S</x:v>
      </x:c>
      <x:c r="G140" s="100" t="n">
        <x:v>3</x:v>
      </x:c>
      <x:c r="H140" s="100" t="n">
        <x:v>10</x:v>
      </x:c>
      <x:c r="I140" s="100" t="n">
        <x:v>250</x:v>
      </x:c>
      <x:c r="J140" s="100" t="n">
        <x:v>0.036</x:v>
      </x:c>
      <x:c r="K140" s="100" t="n">
        <x:v>0.03725698332228333</x:v>
      </x:c>
      <x:c r="L140" s="100" t="n">
        <x:v>-0.001256983322283335</x:v>
      </x:c>
      <x:c r="M140" s="100" t="n">
        <x:v>9</x:v>
      </x:c>
      <x:c r="N140" s="100" t="n">
        <x:v>0.9723825302555592</x:v>
      </x:c>
      <x:c r="O140" s="101" t="b">
        <x:v>1</x:v>
      </x:c>
      <x:c r="P140" t="str">
        <x:v>/Users/jvidale/Documents/Research/FaultScanR/output/20260722_181326_2487/CI_40353552</x:v>
      </x:c>
    </x:row>
    <x:row r="141">
      <x:c r="A141" t="str">
        <x:v>CI_40353552</x:v>
      </x:c>
      <x:c r="B141" s="99" t="str">
        <x:v>00186</x:v>
      </x:c>
      <x:c r="C141" t="str">
        <x:v>R</x:v>
      </x:c>
      <x:c r="D141" t="str">
        <x:v>R</x:v>
      </x:c>
      <x:c r="E141" t="str">
        <x:v>time shift</x:v>
      </x:c>
      <x:c r="F141" t="str">
        <x:v>S</x:v>
      </x:c>
      <x:c r="G141" s="100" t="n">
        <x:v>3</x:v>
      </x:c>
      <x:c r="H141" s="100" t="n">
        <x:v>10</x:v>
      </x:c>
      <x:c r="I141" s="100" t="n">
        <x:v>250</x:v>
      </x:c>
      <x:c r="J141" s="100" t="n">
        <x:v>0.052</x:v>
      </x:c>
      <x:c r="K141" s="100" t="n">
        <x:v>0.04453116859377815</x:v>
      </x:c>
      <x:c r="L141" s="100" t="n">
        <x:v>0.00746883140622185</x:v>
      </x:c>
      <x:c r="M141" s="100" t="n">
        <x:v>13</x:v>
      </x:c>
      <x:c r="N141" s="100" t="n">
        <x:v>0.990785194729891</x:v>
      </x:c>
      <x:c r="O141" s="101" t="b">
        <x:v>1</x:v>
      </x:c>
      <x:c r="P141" t="str">
        <x:v>/Users/jvidale/Documents/Research/FaultScanR/output/20260722_181326_2487/CI_40353552</x:v>
      </x:c>
    </x:row>
    <x:row r="142">
      <x:c r="A142" t="str">
        <x:v>CI_40353552</x:v>
      </x:c>
      <x:c r="B142" s="99" t="str">
        <x:v>00187</x:v>
      </x:c>
      <x:c r="C142" t="str">
        <x:v>R</x:v>
      </x:c>
      <x:c r="D142" t="str">
        <x:v>R</x:v>
      </x:c>
      <x:c r="E142" t="str">
        <x:v>time shift</x:v>
      </x:c>
      <x:c r="F142" t="str">
        <x:v>S</x:v>
      </x:c>
      <x:c r="G142" s="100" t="n">
        <x:v>3</x:v>
      </x:c>
      <x:c r="H142" s="100" t="n">
        <x:v>10</x:v>
      </x:c>
      <x:c r="I142" s="100" t="n">
        <x:v>250</x:v>
      </x:c>
      <x:c r="J142" s="100" t="n">
        <x:v>0.056</x:v>
      </x:c>
      <x:c r="K142" s="100" t="n">
        <x:v>0.05409450807524596</x:v>
      </x:c>
      <x:c r="L142" s="100" t="n">
        <x:v>0.001905491924754039</x:v>
      </x:c>
      <x:c r="M142" s="100" t="n">
        <x:v>14</x:v>
      </x:c>
      <x:c r="N142" s="100" t="n">
        <x:v>0.9772530766335324</x:v>
      </x:c>
      <x:c r="O142" s="101" t="b">
        <x:v>1</x:v>
      </x:c>
      <x:c r="P142" t="str">
        <x:v>/Users/jvidale/Documents/Research/FaultScanR/output/20260722_181326_2487/CI_40353552</x:v>
      </x:c>
    </x:row>
    <x:row r="143">
      <x:c r="A143" t="str">
        <x:v>CI_40353552</x:v>
      </x:c>
      <x:c r="B143" s="99" t="str">
        <x:v>00188</x:v>
      </x:c>
      <x:c r="C143" t="str">
        <x:v>R</x:v>
      </x:c>
      <x:c r="D143" t="str">
        <x:v>R</x:v>
      </x:c>
      <x:c r="E143" t="str">
        <x:v>time shift</x:v>
      </x:c>
      <x:c r="F143" t="str">
        <x:v>S</x:v>
      </x:c>
      <x:c r="G143" s="100" t="n">
        <x:v>3</x:v>
      </x:c>
      <x:c r="H143" s="100" t="n">
        <x:v>10</x:v>
      </x:c>
      <x:c r="I143" s="100" t="n">
        <x:v>250</x:v>
      </x:c>
      <x:c r="J143" s="100" t="n">
        <x:v>0.072</x:v>
      </x:c>
      <x:c r="K143" s="100" t="n">
        <x:v>0.06494896727890076</x:v>
      </x:c>
      <x:c r="L143" s="100" t="n">
        <x:v>0.007051032721099235</x:v>
      </x:c>
      <x:c r="M143" s="100" t="n">
        <x:v>18</x:v>
      </x:c>
      <x:c r="N143" s="100" t="n">
        <x:v>0.8929169004221832</x:v>
      </x:c>
      <x:c r="O143" s="101" t="b">
        <x:v>1</x:v>
      </x:c>
      <x:c r="P143" t="str">
        <x:v>/Users/jvidale/Documents/Research/FaultScanR/output/20260722_181326_2487/CI_40353552</x:v>
      </x:c>
    </x:row>
    <x:row r="144">
      <x:c r="A144" t="str">
        <x:v>CI_40353552</x:v>
      </x:c>
      <x:c r="B144" s="99" t="str">
        <x:v>00189</x:v>
      </x:c>
      <x:c r="C144" t="str">
        <x:v>R</x:v>
      </x:c>
      <x:c r="D144" t="str">
        <x:v>R</x:v>
      </x:c>
      <x:c r="E144" t="str">
        <x:v>time shift</x:v>
      </x:c>
      <x:c r="F144" t="str">
        <x:v>S</x:v>
      </x:c>
      <x:c r="G144" s="100" t="n">
        <x:v>3</x:v>
      </x:c>
      <x:c r="H144" s="100" t="n">
        <x:v>10</x:v>
      </x:c>
      <x:c r="I144" s="100" t="n">
        <x:v>250</x:v>
      </x:c>
      <x:c r="J144" s="100" t="n">
        <x:v>0.064</x:v>
      </x:c>
      <x:c r="K144" s="100" t="n">
        <x:v>0.07245136061249191</x:v>
      </x:c>
      <x:c r="L144" s="100" t="n">
        <x:v>-0.00845136061249191</x:v>
      </x:c>
      <x:c r="M144" s="100" t="n">
        <x:v>16</x:v>
      </x:c>
      <x:c r="N144" s="100" t="n">
        <x:v>0.9292238514059271</x:v>
      </x:c>
      <x:c r="O144" s="101" t="b">
        <x:v>1</x:v>
      </x:c>
      <x:c r="P144" t="str">
        <x:v>/Users/jvidale/Documents/Research/FaultScanR/output/20260722_181326_2487/CI_40353552</x:v>
      </x:c>
    </x:row>
    <x:row r="145">
      <x:c r="A145" t="str">
        <x:v>CI_40353552</x:v>
      </x:c>
      <x:c r="B145" s="99" t="str">
        <x:v>00190</x:v>
      </x:c>
      <x:c r="C145" t="str">
        <x:v>R</x:v>
      </x:c>
      <x:c r="D145" t="str">
        <x:v>R</x:v>
      </x:c>
      <x:c r="E145" t="str">
        <x:v>time shift</x:v>
      </x:c>
      <x:c r="F145" t="str">
        <x:v>S</x:v>
      </x:c>
      <x:c r="G145" s="100" t="n">
        <x:v>3</x:v>
      </x:c>
      <x:c r="H145" s="100" t="n">
        <x:v>10</x:v>
      </x:c>
      <x:c r="I145" s="100" t="n">
        <x:v>250</x:v>
      </x:c>
      <x:c r="J145" s="100" t="n">
        <x:v>-0.068</x:v>
      </x:c>
      <x:c r="K145" s="100" t="n">
        <x:v>-0.03417174192897043</x:v>
      </x:c>
      <x:c r="L145" s="100" t="n">
        <x:v>-0.03382825807102957</x:v>
      </x:c>
      <x:c r="M145" s="100" t="n">
        <x:v>-17</x:v>
      </x:c>
      <x:c r="N145" s="100" t="n">
        <x:v>0.8203859358357851</x:v>
      </x:c>
      <x:c r="O145" s="101" t="b">
        <x:v>1</x:v>
      </x:c>
      <x:c r="P145" t="str">
        <x:v>/Users/jvidale/Documents/Research/FaultScanR/output/20260722_181326_2487/CI_40353552</x:v>
      </x:c>
    </x:row>
    <x:row r="146">
      <x:c r="A146" t="str">
        <x:v>CI_40353552</x:v>
      </x:c>
      <x:c r="B146" s="99" t="str">
        <x:v>00191</x:v>
      </x:c>
      <x:c r="C146" t="str">
        <x:v>R</x:v>
      </x:c>
      <x:c r="D146" t="str">
        <x:v>R</x:v>
      </x:c>
      <x:c r="E146" t="str">
        <x:v>time shift</x:v>
      </x:c>
      <x:c r="F146" t="str">
        <x:v>S</x:v>
      </x:c>
      <x:c r="G146" s="100" t="n">
        <x:v>3</x:v>
      </x:c>
      <x:c r="H146" s="100" t="n">
        <x:v>10</x:v>
      </x:c>
      <x:c r="I146" s="100" t="n">
        <x:v>250</x:v>
      </x:c>
      <x:c r="J146" s="100" t="n">
        <x:v>-0.052</x:v>
      </x:c>
      <x:c r="K146" s="100" t="n">
        <x:v>-0.02457870087923997</x:v>
      </x:c>
      <x:c r="L146" s="100" t="n">
        <x:v>-0.02742129912076003</x:v>
      </x:c>
      <x:c r="M146" s="100" t="n">
        <x:v>-13</x:v>
      </x:c>
      <x:c r="N146" s="100" t="n">
        <x:v>0.9620162711337606</x:v>
      </x:c>
      <x:c r="O146" s="101" t="b">
        <x:v>1</x:v>
      </x:c>
      <x:c r="P146" t="str">
        <x:v>/Users/jvidale/Documents/Research/FaultScanR/output/20260722_181326_2487/CI_40353552</x:v>
      </x:c>
    </x:row>
    <x:row r="147">
      <x:c r="A147" t="str">
        <x:v>CI_40353552</x:v>
      </x:c>
      <x:c r="B147" s="99" t="str">
        <x:v>00192</x:v>
      </x:c>
      <x:c r="C147" t="str">
        <x:v>R</x:v>
      </x:c>
      <x:c r="D147" t="str">
        <x:v>R</x:v>
      </x:c>
      <x:c r="E147" t="str">
        <x:v>time shift</x:v>
      </x:c>
      <x:c r="F147" t="str">
        <x:v>S</x:v>
      </x:c>
      <x:c r="G147" s="100" t="n">
        <x:v>3</x:v>
      </x:c>
      <x:c r="H147" s="100" t="n">
        <x:v>10</x:v>
      </x:c>
      <x:c r="I147" s="100" t="n">
        <x:v>250</x:v>
      </x:c>
      <x:c r="J147" s="100" t="n">
        <x:v>-0.04</x:v>
      </x:c>
      <x:c r="K147" s="100" t="n">
        <x:v>-0.01577063844334603</x:v>
      </x:c>
      <x:c r="L147" s="100" t="n">
        <x:v>-0.02422936155665397</x:v>
      </x:c>
      <x:c r="M147" s="100" t="n">
        <x:v>-10</x:v>
      </x:c>
      <x:c r="N147" s="100" t="n">
        <x:v>0.9235682309611551</x:v>
      </x:c>
      <x:c r="O147" s="101" t="b">
        <x:v>1</x:v>
      </x:c>
      <x:c r="P147" t="str">
        <x:v>/Users/jvidale/Documents/Research/FaultScanR/output/20260722_181326_2487/CI_40353552</x:v>
      </x:c>
    </x:row>
    <x:row r="148">
      <x:c r="A148" t="str">
        <x:v>CI_40353552</x:v>
      </x:c>
      <x:c r="B148" s="99" t="str">
        <x:v>00194</x:v>
      </x:c>
      <x:c r="C148" t="str">
        <x:v>R</x:v>
      </x:c>
      <x:c r="D148" t="str">
        <x:v>R</x:v>
      </x:c>
      <x:c r="E148" t="str">
        <x:v>time shift</x:v>
      </x:c>
      <x:c r="F148" t="str">
        <x:v>S</x:v>
      </x:c>
      <x:c r="G148" s="100" t="n">
        <x:v>3</x:v>
      </x:c>
      <x:c r="H148" s="100" t="n">
        <x:v>10</x:v>
      </x:c>
      <x:c r="I148" s="100" t="n">
        <x:v>250</x:v>
      </x:c>
      <x:c r="J148" s="100" t="n">
        <x:v>-0.028</x:v>
      </x:c>
      <x:c r="K148" s="100" t="n">
        <x:v>-0.001326493964906028</x:v>
      </x:c>
      <x:c r="L148" s="100" t="n">
        <x:v>-0.02667350603509397</x:v>
      </x:c>
      <x:c r="M148" s="100" t="n">
        <x:v>-7</x:v>
      </x:c>
      <x:c r="N148" s="100" t="n">
        <x:v>0.9640135827873682</x:v>
      </x:c>
      <x:c r="O148" s="101" t="b">
        <x:v>1</x:v>
      </x:c>
      <x:c r="P148" t="str">
        <x:v>/Users/jvidale/Documents/Research/FaultScanR/output/20260722_181326_2487/CI_40353552</x:v>
      </x:c>
    </x:row>
    <x:row r="149">
      <x:c r="A149" t="str">
        <x:v>CI_40353552</x:v>
      </x:c>
      <x:c r="B149" s="99" t="str">
        <x:v>00195</x:v>
      </x:c>
      <x:c r="C149" t="str">
        <x:v>R</x:v>
      </x:c>
      <x:c r="D149" t="str">
        <x:v>R</x:v>
      </x:c>
      <x:c r="E149" t="str">
        <x:v>time shift</x:v>
      </x:c>
      <x:c r="F149" t="str">
        <x:v>S</x:v>
      </x:c>
      <x:c r="G149" s="100" t="n">
        <x:v>3</x:v>
      </x:c>
      <x:c r="H149" s="100" t="n">
        <x:v>10</x:v>
      </x:c>
      <x:c r="I149" s="100" t="n">
        <x:v>250</x:v>
      </x:c>
      <x:c r="J149" s="100" t="n">
        <x:v>-0.028</x:v>
      </x:c>
      <x:c r="K149" s="100" t="n">
        <x:v>0.00366799212416602</x:v>
      </x:c>
      <x:c r="L149" s="100" t="n">
        <x:v>-0.03166799212416602</x:v>
      </x:c>
      <x:c r="M149" s="100" t="n">
        <x:v>-7</x:v>
      </x:c>
      <x:c r="N149" s="100" t="n">
        <x:v>0.9968152437236294</x:v>
      </x:c>
      <x:c r="O149" s="101" t="b">
        <x:v>1</x:v>
      </x:c>
      <x:c r="P149" t="str">
        <x:v>/Users/jvidale/Documents/Research/FaultScanR/output/20260722_181326_2487/CI_40353552</x:v>
      </x:c>
    </x:row>
    <x:row r="150">
      <x:c r="A150" t="str">
        <x:v>CI_40353552</x:v>
      </x:c>
      <x:c r="B150" s="99" t="str">
        <x:v>00196</x:v>
      </x:c>
      <x:c r="C150" t="str">
        <x:v>R</x:v>
      </x:c>
      <x:c r="D150" t="str">
        <x:v>R</x:v>
      </x:c>
      <x:c r="E150" t="str">
        <x:v>time shift</x:v>
      </x:c>
      <x:c r="F150" t="str">
        <x:v>S</x:v>
      </x:c>
      <x:c r="G150" s="100" t="n">
        <x:v>3</x:v>
      </x:c>
      <x:c r="H150" s="100" t="n">
        <x:v>10</x:v>
      </x:c>
      <x:c r="I150" s="100" t="n">
        <x:v>250</x:v>
      </x:c>
      <x:c r="J150" s="100" t="n">
        <x:v>0</x:v>
      </x:c>
      <x:c r="K150" s="100" t="n">
        <x:v>0.01396858533681034</x:v>
      </x:c>
      <x:c r="L150" s="100" t="n">
        <x:v>-0.01396858533681034</x:v>
      </x:c>
      <x:c r="M150" s="100" t="n">
        <x:v>0</x:v>
      </x:c>
      <x:c r="N150" s="100" t="n">
        <x:v>0.9923492480656111</x:v>
      </x:c>
      <x:c r="O150" s="101" t="b">
        <x:v>1</x:v>
      </x:c>
      <x:c r="P150" t="str">
        <x:v>/Users/jvidale/Documents/Research/FaultScanR/output/20260722_181326_2487/CI_40353552</x:v>
      </x:c>
    </x:row>
    <x:row r="151">
      <x:c r="A151" t="str">
        <x:v>CI_40353552</x:v>
      </x:c>
      <x:c r="B151" s="99" t="str">
        <x:v>00197</x:v>
      </x:c>
      <x:c r="C151" t="str">
        <x:v>R</x:v>
      </x:c>
      <x:c r="D151" t="str">
        <x:v>R</x:v>
      </x:c>
      <x:c r="E151" t="str">
        <x:v>time shift</x:v>
      </x:c>
      <x:c r="F151" t="str">
        <x:v>S</x:v>
      </x:c>
      <x:c r="G151" s="100" t="n">
        <x:v>3</x:v>
      </x:c>
      <x:c r="H151" s="100" t="n">
        <x:v>10</x:v>
      </x:c>
      <x:c r="I151" s="100" t="n">
        <x:v>250</x:v>
      </x:c>
      <x:c r="J151" s="100" t="n">
        <x:v>-0.008</x:v>
      </x:c>
      <x:c r="K151" s="100" t="n">
        <x:v>0.02276564658452518</x:v>
      </x:c>
      <x:c r="L151" s="100" t="n">
        <x:v>-0.03076564658452518</x:v>
      </x:c>
      <x:c r="M151" s="100" t="n">
        <x:v>-2</x:v>
      </x:c>
      <x:c r="N151" s="100" t="n">
        <x:v>0.7601683566201471</x:v>
      </x:c>
      <x:c r="O151" s="101" t="b">
        <x:v>1</x:v>
      </x:c>
      <x:c r="P151" t="str">
        <x:v>/Users/jvidale/Documents/Research/FaultScanR/output/20260722_181326_2487/CI_40353552</x:v>
      </x:c>
    </x:row>
    <x:row r="152">
      <x:c r="A152" t="str">
        <x:v>CI_40353552</x:v>
      </x:c>
      <x:c r="B152" s="99" t="str">
        <x:v>00198</x:v>
      </x:c>
      <x:c r="C152" t="str">
        <x:v>R</x:v>
      </x:c>
      <x:c r="D152" t="str">
        <x:v>R</x:v>
      </x:c>
      <x:c r="E152" t="str">
        <x:v>time shift</x:v>
      </x:c>
      <x:c r="F152" t="str">
        <x:v>S</x:v>
      </x:c>
      <x:c r="G152" s="100" t="n">
        <x:v>3</x:v>
      </x:c>
      <x:c r="H152" s="100" t="n">
        <x:v>10</x:v>
      </x:c>
      <x:c r="I152" s="100" t="n">
        <x:v>250</x:v>
      </x:c>
      <x:c r="J152" s="100" t="n">
        <x:v>0.028</x:v>
      </x:c>
      <x:c r="K152" s="100" t="n">
        <x:v>0.03158563083449817</x:v>
      </x:c>
      <x:c r="L152" s="100" t="n">
        <x:v>-0.003585630834498168</x:v>
      </x:c>
      <x:c r="M152" s="100" t="n">
        <x:v>7</x:v>
      </x:c>
      <x:c r="N152" s="100" t="n">
        <x:v>0.9780630510810971</x:v>
      </x:c>
      <x:c r="O152" s="101" t="b">
        <x:v>1</x:v>
      </x:c>
      <x:c r="P152" t="str">
        <x:v>/Users/jvidale/Documents/Research/FaultScanR/output/20260722_181326_2487/CI_40353552</x:v>
      </x:c>
    </x:row>
    <x:row r="153">
      <x:c r="A153" t="str">
        <x:v>CI_40353552</x:v>
      </x:c>
      <x:c r="B153" s="99" t="str">
        <x:v>00199</x:v>
      </x:c>
      <x:c r="C153" t="str">
        <x:v>R</x:v>
      </x:c>
      <x:c r="D153" t="str">
        <x:v>R</x:v>
      </x:c>
      <x:c r="E153" t="str">
        <x:v>time shift</x:v>
      </x:c>
      <x:c r="F153" t="str">
        <x:v>S</x:v>
      </x:c>
      <x:c r="G153" s="100" t="n">
        <x:v>3</x:v>
      </x:c>
      <x:c r="H153" s="100" t="n">
        <x:v>10</x:v>
      </x:c>
      <x:c r="I153" s="100" t="n">
        <x:v>250</x:v>
      </x:c>
      <x:c r="J153" s="100" t="n">
        <x:v>0.02</x:v>
      </x:c>
      <x:c r="K153" s="100" t="n">
        <x:v>0.04019154184312157</x:v>
      </x:c>
      <x:c r="L153" s="100" t="n">
        <x:v>-0.02019154184312157</x:v>
      </x:c>
      <x:c r="M153" s="100" t="n">
        <x:v>5</x:v>
      </x:c>
      <x:c r="N153" s="100" t="n">
        <x:v>0.9857734325365798</x:v>
      </x:c>
      <x:c r="O153" s="101" t="b">
        <x:v>1</x:v>
      </x:c>
      <x:c r="P153" t="str">
        <x:v>/Users/jvidale/Documents/Research/FaultScanR/output/20260722_181326_2487/CI_40353552</x:v>
      </x:c>
    </x:row>
    <x:row r="154">
      <x:c r="A154" t="str">
        <x:v>CI_40353552</x:v>
      </x:c>
      <x:c r="B154" s="99" t="str">
        <x:v>00200</x:v>
      </x:c>
      <x:c r="C154" t="str">
        <x:v>R</x:v>
      </x:c>
      <x:c r="D154" t="str">
        <x:v>R</x:v>
      </x:c>
      <x:c r="E154" t="str">
        <x:v>time shift</x:v>
      </x:c>
      <x:c r="F154" t="str">
        <x:v>S</x:v>
      </x:c>
      <x:c r="G154" s="100" t="n">
        <x:v>3</x:v>
      </x:c>
      <x:c r="H154" s="100" t="n">
        <x:v>10</x:v>
      </x:c>
      <x:c r="I154" s="100" t="n">
        <x:v>250</x:v>
      </x:c>
      <x:c r="J154" s="100" t="n">
        <x:v>0.036</x:v>
      </x:c>
      <x:c r="K154" s="100" t="n">
        <x:v>0.04881202337196644</x:v>
      </x:c>
      <x:c r="L154" s="100" t="n">
        <x:v>-0.01281202337196644</x:v>
      </x:c>
      <x:c r="M154" s="100" t="n">
        <x:v>9</x:v>
      </x:c>
      <x:c r="N154" s="100" t="n">
        <x:v>0.9735185490112415</x:v>
      </x:c>
      <x:c r="O154" s="101" t="b">
        <x:v>1</x:v>
      </x:c>
      <x:c r="P154" t="str">
        <x:v>/Users/jvidale/Documents/Research/FaultScanR/output/20260722_181326_2487/CI_40353552</x:v>
      </x:c>
    </x:row>
    <x:row r="155">
      <x:c r="A155" t="str">
        <x:v>CI_40353552</x:v>
      </x:c>
      <x:c r="B155" s="99" t="str">
        <x:v>00201</x:v>
      </x:c>
      <x:c r="C155" t="str">
        <x:v>R</x:v>
      </x:c>
      <x:c r="D155" t="str">
        <x:v>R</x:v>
      </x:c>
      <x:c r="E155" t="str">
        <x:v>time shift</x:v>
      </x:c>
      <x:c r="F155" t="str">
        <x:v>S</x:v>
      </x:c>
      <x:c r="G155" s="100" t="n">
        <x:v>3</x:v>
      </x:c>
      <x:c r="H155" s="100" t="n">
        <x:v>10</x:v>
      </x:c>
      <x:c r="I155" s="100" t="n">
        <x:v>250</x:v>
      </x:c>
      <x:c r="J155" s="100" t="n">
        <x:v>0.06</x:v>
      </x:c>
      <x:c r="K155" s="100" t="n">
        <x:v>0.05768546962109422</x:v>
      </x:c>
      <x:c r="L155" s="100" t="n">
        <x:v>0.002314530378905777</x:v>
      </x:c>
      <x:c r="M155" s="100" t="n">
        <x:v>15</x:v>
      </x:c>
      <x:c r="N155" s="100" t="n">
        <x:v>0.9439267196247053</x:v>
      </x:c>
      <x:c r="O155" s="101" t="b">
        <x:v>1</x:v>
      </x:c>
      <x:c r="P155" t="str">
        <x:v>/Users/jvidale/Documents/Research/FaultScanR/output/20260722_181326_2487/CI_40353552</x:v>
      </x:c>
    </x:row>
    <x:row r="156">
      <x:c r="A156" t="str">
        <x:v>CI_40353552</x:v>
      </x:c>
      <x:c r="B156" s="99" t="str">
        <x:v>00202</x:v>
      </x:c>
      <x:c r="C156" t="str">
        <x:v>R</x:v>
      </x:c>
      <x:c r="D156" t="str">
        <x:v>R</x:v>
      </x:c>
      <x:c r="E156" t="str">
        <x:v>time shift</x:v>
      </x:c>
      <x:c r="F156" t="str">
        <x:v>S</x:v>
      </x:c>
      <x:c r="G156" s="100" t="n">
        <x:v>3</x:v>
      </x:c>
      <x:c r="H156" s="100" t="n">
        <x:v>10</x:v>
      </x:c>
      <x:c r="I156" s="100" t="n">
        <x:v>250</x:v>
      </x:c>
      <x:c r="J156" s="100" t="n">
        <x:v>0.076</x:v>
      </x:c>
      <x:c r="K156" s="100" t="n">
        <x:v>0.06619574091277514</x:v>
      </x:c>
      <x:c r="L156" s="100" t="n">
        <x:v>0.009804259087224862</x:v>
      </x:c>
      <x:c r="M156" s="100" t="n">
        <x:v>19</x:v>
      </x:c>
      <x:c r="N156" s="100" t="n">
        <x:v>0.9711105869756615</x:v>
      </x:c>
      <x:c r="O156" s="101" t="b">
        <x:v>1</x:v>
      </x:c>
      <x:c r="P156" t="str">
        <x:v>/Users/jvidale/Documents/Research/FaultScanR/output/20260722_181326_2487/CI_40353552</x:v>
      </x:c>
    </x:row>
    <x:row r="157">
      <x:c r="A157" t="str">
        <x:v>CI_40353552</x:v>
      </x:c>
      <x:c r="B157" s="99" t="str">
        <x:v>00203</x:v>
      </x:c>
      <x:c r="C157" t="str">
        <x:v>R</x:v>
      </x:c>
      <x:c r="D157" t="str">
        <x:v>R</x:v>
      </x:c>
      <x:c r="E157" t="str">
        <x:v>time shift</x:v>
      </x:c>
      <x:c r="F157" t="str">
        <x:v>S</x:v>
      </x:c>
      <x:c r="G157" s="100" t="n">
        <x:v>3</x:v>
      </x:c>
      <x:c r="H157" s="100" t="n">
        <x:v>10</x:v>
      </x:c>
      <x:c r="I157" s="100" t="n">
        <x:v>250</x:v>
      </x:c>
      <x:c r="J157" s="100" t="n">
        <x:v>0.088</x:v>
      </x:c>
      <x:c r="K157" s="100" t="n">
        <x:v>0.07597179386647479</x:v>
      </x:c>
      <x:c r="L157" s="100" t="n">
        <x:v>0.0120282061335252</x:v>
      </x:c>
      <x:c r="M157" s="100" t="n">
        <x:v>22</x:v>
      </x:c>
      <x:c r="N157" s="100" t="n">
        <x:v>0.9555229579359654</x:v>
      </x:c>
      <x:c r="O157" s="101" t="b">
        <x:v>1</x:v>
      </x:c>
      <x:c r="P157" t="str">
        <x:v>/Users/jvidale/Documents/Research/FaultScanR/output/20260722_181326_2487/CI_40353552</x:v>
      </x:c>
    </x:row>
    <x:row r="158">
      <x:c r="A158" t="str">
        <x:v>CI_40353552</x:v>
      </x:c>
      <x:c r="B158" s="99" t="str">
        <x:v>00204</x:v>
      </x:c>
      <x:c r="C158" t="str">
        <x:v>R</x:v>
      </x:c>
      <x:c r="D158" t="str">
        <x:v>R</x:v>
      </x:c>
      <x:c r="E158" t="str">
        <x:v>time shift</x:v>
      </x:c>
      <x:c r="F158" t="str">
        <x:v>S</x:v>
      </x:c>
      <x:c r="G158" s="100" t="n">
        <x:v>3</x:v>
      </x:c>
      <x:c r="H158" s="100" t="n">
        <x:v>10</x:v>
      </x:c>
      <x:c r="I158" s="100" t="n">
        <x:v>250</x:v>
      </x:c>
      <x:c r="J158" s="100" t="n">
        <x:v>0.1</x:v>
      </x:c>
      <x:c r="K158" s="100" t="n">
        <x:v>0.08559610271643514</x:v>
      </x:c>
      <x:c r="L158" s="100" t="n">
        <x:v>0.01440389728356486</x:v>
      </x:c>
      <x:c r="M158" s="100" t="n">
        <x:v>25</x:v>
      </x:c>
      <x:c r="N158" s="100" t="n">
        <x:v>0.9008990698548055</x:v>
      </x:c>
      <x:c r="O158" s="101" t="b">
        <x:v>1</x:v>
      </x:c>
      <x:c r="P158" t="str">
        <x:v>/Users/jvidale/Documents/Research/FaultScanR/output/20260722_181326_2487/CI_40353552</x:v>
      </x:c>
    </x:row>
    <x:row r="159">
      <x:c r="A159" t="str">
        <x:v>CI_40353552</x:v>
      </x:c>
      <x:c r="B159" s="99" t="str">
        <x:v>00205</x:v>
      </x:c>
      <x:c r="C159" t="str">
        <x:v>R</x:v>
      </x:c>
      <x:c r="D159" t="str">
        <x:v>R</x:v>
      </x:c>
      <x:c r="E159" t="str">
        <x:v>time shift</x:v>
      </x:c>
      <x:c r="F159" t="str">
        <x:v>S</x:v>
      </x:c>
      <x:c r="G159" s="100" t="n">
        <x:v>3</x:v>
      </x:c>
      <x:c r="H159" s="100" t="n">
        <x:v>10</x:v>
      </x:c>
      <x:c r="I159" s="100" t="n">
        <x:v>250</x:v>
      </x:c>
      <x:c r="J159" s="100" t="n">
        <x:v>0.108</x:v>
      </x:c>
      <x:c r="K159" s="100" t="n">
        <x:v>0.0935856608558101</x:v>
      </x:c>
      <x:c r="L159" s="100" t="n">
        <x:v>0.01441433914418989</x:v>
      </x:c>
      <x:c r="M159" s="100" t="n">
        <x:v>27</x:v>
      </x:c>
      <x:c r="N159" s="100" t="n">
        <x:v>0.7831900405006165</x:v>
      </x:c>
      <x:c r="O159" s="101" t="b">
        <x:v>1</x:v>
      </x:c>
      <x:c r="P159" t="str">
        <x:v>/Users/jvidale/Documents/Research/FaultScanR/output/20260722_181326_2487/CI_40353552</x:v>
      </x:c>
    </x:row>
    <x:row r="160">
      <x:c r="A160" t="str">
        <x:v>CI_40353552</x:v>
      </x:c>
      <x:c r="B160" s="99" t="str">
        <x:v>00206</x:v>
      </x:c>
      <x:c r="C160" t="str">
        <x:v>R</x:v>
      </x:c>
      <x:c r="D160" t="str">
        <x:v>R</x:v>
      </x:c>
      <x:c r="E160" t="str">
        <x:v>time shift</x:v>
      </x:c>
      <x:c r="F160" t="str">
        <x:v>S</x:v>
      </x:c>
      <x:c r="G160" s="100" t="n">
        <x:v>3</x:v>
      </x:c>
      <x:c r="H160" s="100" t="n">
        <x:v>10</x:v>
      </x:c>
      <x:c r="I160" s="100" t="n">
        <x:v>250</x:v>
      </x:c>
      <x:c r="J160" s="100" t="n">
        <x:v>-0.044</x:v>
      </x:c>
      <x:c r="K160" s="100" t="n">
        <x:v>-0.01329136420921895</x:v>
      </x:c>
      <x:c r="L160" s="100" t="n">
        <x:v>-0.03070863579078105</x:v>
      </x:c>
      <x:c r="M160" s="100" t="n">
        <x:v>-11</x:v>
      </x:c>
      <x:c r="N160" s="100" t="n">
        <x:v>0.8678672395308634</x:v>
      </x:c>
      <x:c r="O160" s="101" t="b">
        <x:v>1</x:v>
      </x:c>
      <x:c r="P160" t="str">
        <x:v>/Users/jvidale/Documents/Research/FaultScanR/output/20260722_181326_2487/CI_40353552</x:v>
      </x:c>
    </x:row>
    <x:row r="161">
      <x:c r="A161" t="str">
        <x:v>CI_40353552</x:v>
      </x:c>
      <x:c r="B161" s="99" t="str">
        <x:v>00207</x:v>
      </x:c>
      <x:c r="C161" t="str">
        <x:v>R</x:v>
      </x:c>
      <x:c r="D161" t="str">
        <x:v>R</x:v>
      </x:c>
      <x:c r="E161" t="str">
        <x:v>time shift</x:v>
      </x:c>
      <x:c r="F161" t="str">
        <x:v>S</x:v>
      </x:c>
      <x:c r="G161" s="100" t="n">
        <x:v>3</x:v>
      </x:c>
      <x:c r="H161" s="100" t="n">
        <x:v>10</x:v>
      </x:c>
      <x:c r="I161" s="100" t="n">
        <x:v>250</x:v>
      </x:c>
      <x:c r="J161" s="100" t="n">
        <x:v>-0.028</x:v>
      </x:c>
      <x:c r="K161" s="100" t="n">
        <x:v>-0.001269539192363389</x:v>
      </x:c>
      <x:c r="L161" s="100" t="n">
        <x:v>-0.02673046080763661</x:v>
      </x:c>
      <x:c r="M161" s="100" t="n">
        <x:v>-7</x:v>
      </x:c>
      <x:c r="N161" s="100" t="n">
        <x:v>0.8979173563772425</x:v>
      </x:c>
      <x:c r="O161" s="101" t="b">
        <x:v>1</x:v>
      </x:c>
      <x:c r="P161" t="str">
        <x:v>/Users/jvidale/Documents/Research/FaultScanR/output/20260722_181326_2487/CI_40353552</x:v>
      </x:c>
    </x:row>
    <x:row r="162">
      <x:c r="A162" t="str">
        <x:v>CI_40353552</x:v>
      </x:c>
      <x:c r="B162" s="99" t="str">
        <x:v>00209</x:v>
      </x:c>
      <x:c r="C162" t="str">
        <x:v>R</x:v>
      </x:c>
      <x:c r="D162" t="str">
        <x:v>R</x:v>
      </x:c>
      <x:c r="E162" t="str">
        <x:v>time shift</x:v>
      </x:c>
      <x:c r="F162" t="str">
        <x:v>S</x:v>
      </x:c>
      <x:c r="G162" s="100" t="n">
        <x:v>3</x:v>
      </x:c>
      <x:c r="H162" s="100" t="n">
        <x:v>10</x:v>
      </x:c>
      <x:c r="I162" s="100" t="n">
        <x:v>250</x:v>
      </x:c>
      <x:c r="J162" s="100" t="n">
        <x:v>0.004</x:v>
      </x:c>
      <x:c r="K162" s="100" t="n">
        <x:v>0.01396609725481657</x:v>
      </x:c>
      <x:c r="L162" s="100" t="n">
        <x:v>-0.009966097254816567</x:v>
      </x:c>
      <x:c r="M162" s="100" t="n">
        <x:v>1</x:v>
      </x:c>
      <x:c r="N162" s="100" t="n">
        <x:v>0.8587470656055741</x:v>
      </x:c>
      <x:c r="O162" s="101" t="b">
        <x:v>1</x:v>
      </x:c>
      <x:c r="P162" t="str">
        <x:v>/Users/jvidale/Documents/Research/FaultScanR/output/20260722_181326_2487/CI_40353552</x:v>
      </x:c>
    </x:row>
    <x:row r="163">
      <x:c r="A163" t="str">
        <x:v>CI_40353552</x:v>
      </x:c>
      <x:c r="B163" s="99" t="str">
        <x:v>00210</x:v>
      </x:c>
      <x:c r="C163" t="str">
        <x:v>R</x:v>
      </x:c>
      <x:c r="D163" t="str">
        <x:v>R</x:v>
      </x:c>
      <x:c r="E163" t="str">
        <x:v>time shift</x:v>
      </x:c>
      <x:c r="F163" t="str">
        <x:v>S</x:v>
      </x:c>
      <x:c r="G163" s="100" t="n">
        <x:v>3</x:v>
      </x:c>
      <x:c r="H163" s="100" t="n">
        <x:v>10</x:v>
      </x:c>
      <x:c r="I163" s="100" t="n">
        <x:v>250</x:v>
      </x:c>
      <x:c r="J163" s="100" t="n">
        <x:v>-0.008</x:v>
      </x:c>
      <x:c r="K163" s="100" t="n">
        <x:v>0.01743106341209</x:v>
      </x:c>
      <x:c r="L163" s="100" t="n">
        <x:v>-0.02543106341209</x:v>
      </x:c>
      <x:c r="M163" s="100" t="n">
        <x:v>-2</x:v>
      </x:c>
      <x:c r="N163" s="100" t="n">
        <x:v>0.9884473887367058</x:v>
      </x:c>
      <x:c r="O163" s="101" t="b">
        <x:v>1</x:v>
      </x:c>
      <x:c r="P163" t="str">
        <x:v>/Users/jvidale/Documents/Research/FaultScanR/output/20260722_181326_2487/CI_40353552</x:v>
      </x:c>
    </x:row>
    <x:row r="164">
      <x:c r="A164" t="str">
        <x:v>CI_40353552</x:v>
      </x:c>
      <x:c r="B164" s="99" t="str">
        <x:v>00211</x:v>
      </x:c>
      <x:c r="C164" t="str">
        <x:v>R</x:v>
      </x:c>
      <x:c r="D164" t="str">
        <x:v>R</x:v>
      </x:c>
      <x:c r="E164" t="str">
        <x:v>time shift</x:v>
      </x:c>
      <x:c r="F164" t="str">
        <x:v>S</x:v>
      </x:c>
      <x:c r="G164" s="100" t="n">
        <x:v>3</x:v>
      </x:c>
      <x:c r="H164" s="100" t="n">
        <x:v>10</x:v>
      </x:c>
      <x:c r="I164" s="100" t="n">
        <x:v>250</x:v>
      </x:c>
      <x:c r="J164" s="100" t="n">
        <x:v>-0.004</x:v>
      </x:c>
      <x:c r="K164" s="100" t="n">
        <x:v>0.02677876510233457</x:v>
      </x:c>
      <x:c r="L164" s="100" t="n">
        <x:v>-0.03077876510233457</x:v>
      </x:c>
      <x:c r="M164" s="100" t="n">
        <x:v>-1</x:v>
      </x:c>
      <x:c r="N164" s="100" t="n">
        <x:v>0.9816030364626963</x:v>
      </x:c>
      <x:c r="O164" s="101" t="b">
        <x:v>1</x:v>
      </x:c>
      <x:c r="P164" t="str">
        <x:v>/Users/jvidale/Documents/Research/FaultScanR/output/20260722_181326_2487/CI_40353552</x:v>
      </x:c>
    </x:row>
    <x:row r="165">
      <x:c r="A165" t="str">
        <x:v>CI_40353552</x:v>
      </x:c>
      <x:c r="B165" s="99" t="str">
        <x:v>00212</x:v>
      </x:c>
      <x:c r="C165" t="str">
        <x:v>R</x:v>
      </x:c>
      <x:c r="D165" t="str">
        <x:v>R</x:v>
      </x:c>
      <x:c r="E165" t="str">
        <x:v>time shift</x:v>
      </x:c>
      <x:c r="F165" t="str">
        <x:v>S</x:v>
      </x:c>
      <x:c r="G165" s="100" t="n">
        <x:v>3</x:v>
      </x:c>
      <x:c r="H165" s="100" t="n">
        <x:v>10</x:v>
      </x:c>
      <x:c r="I165" s="100" t="n">
        <x:v>250</x:v>
      </x:c>
      <x:c r="J165" s="100" t="n">
        <x:v>0.02</x:v>
      </x:c>
      <x:c r="K165" s="100" t="n">
        <x:v>0.03610956650593522</x:v>
      </x:c>
      <x:c r="L165" s="100" t="n">
        <x:v>-0.01610956650593522</x:v>
      </x:c>
      <x:c r="M165" s="100" t="n">
        <x:v>5</x:v>
      </x:c>
      <x:c r="N165" s="100" t="n">
        <x:v>0.9899361897926655</x:v>
      </x:c>
      <x:c r="O165" s="101" t="b">
        <x:v>1</x:v>
      </x:c>
      <x:c r="P165" t="str">
        <x:v>/Users/jvidale/Documents/Research/FaultScanR/output/20260722_181326_2487/CI_40353552</x:v>
      </x:c>
    </x:row>
    <x:row r="166">
      <x:c r="A166" t="str">
        <x:v>CI_40353552</x:v>
      </x:c>
      <x:c r="B166" s="99" t="str">
        <x:v>00213</x:v>
      </x:c>
      <x:c r="C166" t="str">
        <x:v>R</x:v>
      </x:c>
      <x:c r="D166" t="str">
        <x:v>R</x:v>
      </x:c>
      <x:c r="E166" t="str">
        <x:v>time shift</x:v>
      </x:c>
      <x:c r="F166" t="str">
        <x:v>S</x:v>
      </x:c>
      <x:c r="G166" s="100" t="n">
        <x:v>3</x:v>
      </x:c>
      <x:c r="H166" s="100" t="n">
        <x:v>10</x:v>
      </x:c>
      <x:c r="I166" s="100" t="n">
        <x:v>250</x:v>
      </x:c>
      <x:c r="J166" s="100" t="n">
        <x:v>0.028</x:v>
      </x:c>
      <x:c r="K166" s="100" t="n">
        <x:v>0.04324716813747909</x:v>
      </x:c>
      <x:c r="L166" s="100" t="n">
        <x:v>-0.01524716813747909</x:v>
      </x:c>
      <x:c r="M166" s="100" t="n">
        <x:v>7</x:v>
      </x:c>
      <x:c r="N166" s="100" t="n">
        <x:v>0.9644670775421769</x:v>
      </x:c>
      <x:c r="O166" s="101" t="b">
        <x:v>1</x:v>
      </x:c>
      <x:c r="P166" t="str">
        <x:v>/Users/jvidale/Documents/Research/FaultScanR/output/20260722_181326_2487/CI_40353552</x:v>
      </x:c>
    </x:row>
    <x:row r="167">
      <x:c r="A167" t="str">
        <x:v>CI_40353552</x:v>
      </x:c>
      <x:c r="B167" s="99" t="str">
        <x:v>00214</x:v>
      </x:c>
      <x:c r="C167" t="str">
        <x:v>R</x:v>
      </x:c>
      <x:c r="D167" t="str">
        <x:v>R</x:v>
      </x:c>
      <x:c r="E167" t="str">
        <x:v>time shift</x:v>
      </x:c>
      <x:c r="F167" t="str">
        <x:v>S</x:v>
      </x:c>
      <x:c r="G167" s="100" t="n">
        <x:v>3</x:v>
      </x:c>
      <x:c r="H167" s="100" t="n">
        <x:v>10</x:v>
      </x:c>
      <x:c r="I167" s="100" t="n">
        <x:v>250</x:v>
      </x:c>
      <x:c r="J167" s="100" t="n">
        <x:v>0.048</x:v>
      </x:c>
      <x:c r="K167" s="100" t="n">
        <x:v>0.06089956082169667</x:v>
      </x:c>
      <x:c r="L167" s="100" t="n">
        <x:v>-0.01289956082169667</x:v>
      </x:c>
      <x:c r="M167" s="100" t="n">
        <x:v>12</x:v>
      </x:c>
      <x:c r="N167" s="100" t="n">
        <x:v>0.9770091194962554</x:v>
      </x:c>
      <x:c r="O167" s="101" t="b">
        <x:v>1</x:v>
      </x:c>
      <x:c r="P167" t="str">
        <x:v>/Users/jvidale/Documents/Research/FaultScanR/output/20260722_181326_2487/CI_40353552</x:v>
      </x:c>
    </x:row>
    <x:row r="168">
      <x:c r="A168" t="str">
        <x:v>CI_40353552</x:v>
      </x:c>
      <x:c r="B168" s="99" t="str">
        <x:v>00215</x:v>
      </x:c>
      <x:c r="C168" t="str">
        <x:v>R</x:v>
      </x:c>
      <x:c r="D168" t="str">
        <x:v>R</x:v>
      </x:c>
      <x:c r="E168" t="str">
        <x:v>time shift</x:v>
      </x:c>
      <x:c r="F168" t="str">
        <x:v>S</x:v>
      </x:c>
      <x:c r="G168" s="100" t="n">
        <x:v>3</x:v>
      </x:c>
      <x:c r="H168" s="100" t="n">
        <x:v>10</x:v>
      </x:c>
      <x:c r="I168" s="100" t="n">
        <x:v>250</x:v>
      </x:c>
      <x:c r="J168" s="100" t="n">
        <x:v>0.052</x:v>
      </x:c>
      <x:c r="K168" s="100" t="n">
        <x:v>0.06174003841849451</x:v>
      </x:c>
      <x:c r="L168" s="100" t="n">
        <x:v>-0.009740038418494516</x:v>
      </x:c>
      <x:c r="M168" s="100" t="n">
        <x:v>13</x:v>
      </x:c>
      <x:c r="N168" s="100" t="n">
        <x:v>0.9568484540457274</x:v>
      </x:c>
      <x:c r="O168" s="101" t="b">
        <x:v>1</x:v>
      </x:c>
      <x:c r="P168" t="str">
        <x:v>/Users/jvidale/Documents/Research/FaultScanR/output/20260722_181326_2487/CI_40353552</x:v>
      </x:c>
    </x:row>
    <x:row r="169">
      <x:c r="A169" t="str">
        <x:v>CI_40353552</x:v>
      </x:c>
      <x:c r="B169" s="99" t="str">
        <x:v>00216</x:v>
      </x:c>
      <x:c r="C169" t="str">
        <x:v>R</x:v>
      </x:c>
      <x:c r="D169" t="str">
        <x:v>R</x:v>
      </x:c>
      <x:c r="E169" t="str">
        <x:v>time shift</x:v>
      </x:c>
      <x:c r="F169" t="str">
        <x:v>S</x:v>
      </x:c>
      <x:c r="G169" s="100" t="n">
        <x:v>3</x:v>
      </x:c>
      <x:c r="H169" s="100" t="n">
        <x:v>10</x:v>
      </x:c>
      <x:c r="I169" s="100" t="n">
        <x:v>250</x:v>
      </x:c>
      <x:c r="J169" s="100" t="n">
        <x:v>0.056</x:v>
      </x:c>
      <x:c r="K169" s="100" t="n">
        <x:v>0.07140874708434986</x:v>
      </x:c>
      <x:c r="L169" s="100" t="n">
        <x:v>-0.01540874708434985</x:v>
      </x:c>
      <x:c r="M169" s="100" t="n">
        <x:v>14</x:v>
      </x:c>
      <x:c r="N169" s="100" t="n">
        <x:v>0.9723824190746322</x:v>
      </x:c>
      <x:c r="O169" s="101" t="b">
        <x:v>1</x:v>
      </x:c>
      <x:c r="P169" t="str">
        <x:v>/Users/jvidale/Documents/Research/FaultScanR/output/20260722_181326_2487/CI_40353552</x:v>
      </x:c>
    </x:row>
    <x:row r="170">
      <x:c r="A170" t="str">
        <x:v>CI_40353552</x:v>
      </x:c>
      <x:c r="B170" s="99" t="str">
        <x:v>00217</x:v>
      </x:c>
      <x:c r="C170" t="str">
        <x:v>R</x:v>
      </x:c>
      <x:c r="D170" t="str">
        <x:v>R</x:v>
      </x:c>
      <x:c r="E170" t="str">
        <x:v>time shift</x:v>
      </x:c>
      <x:c r="F170" t="str">
        <x:v>S</x:v>
      </x:c>
      <x:c r="G170" s="100" t="n">
        <x:v>3</x:v>
      </x:c>
      <x:c r="H170" s="100" t="n">
        <x:v>10</x:v>
      </x:c>
      <x:c r="I170" s="100" t="n">
        <x:v>250</x:v>
      </x:c>
      <x:c r="J170" s="100" t="n">
        <x:v>0.076</x:v>
      </x:c>
      <x:c r="K170" s="100" t="n">
        <x:v>0.08025765983667998</x:v>
      </x:c>
      <x:c r="L170" s="100" t="n">
        <x:v>-0.004257659836679986</x:v>
      </x:c>
      <x:c r="M170" s="100" t="n">
        <x:v>19</x:v>
      </x:c>
      <x:c r="N170" s="100" t="n">
        <x:v>0.9448020727228521</x:v>
      </x:c>
      <x:c r="O170" s="101" t="b">
        <x:v>1</x:v>
      </x:c>
      <x:c r="P170" t="str">
        <x:v>/Users/jvidale/Documents/Research/FaultScanR/output/20260722_181326_2487/CI_40353552</x:v>
      </x:c>
    </x:row>
    <x:row r="171">
      <x:c r="A171" t="str">
        <x:v>CI_40353552</x:v>
      </x:c>
      <x:c r="B171" s="99" t="str">
        <x:v>00218</x:v>
      </x:c>
      <x:c r="C171" t="str">
        <x:v>R</x:v>
      </x:c>
      <x:c r="D171" t="str">
        <x:v>R</x:v>
      </x:c>
      <x:c r="E171" t="str">
        <x:v>time shift</x:v>
      </x:c>
      <x:c r="F171" t="str">
        <x:v>S</x:v>
      </x:c>
      <x:c r="G171" s="100" t="n">
        <x:v>3</x:v>
      </x:c>
      <x:c r="H171" s="100" t="n">
        <x:v>10</x:v>
      </x:c>
      <x:c r="I171" s="100" t="n">
        <x:v>250</x:v>
      </x:c>
      <x:c r="J171" s="100" t="n">
        <x:v>0.084</x:v>
      </x:c>
      <x:c r="K171" s="100" t="n">
        <x:v>0.09151745420377733</x:v>
      </x:c>
      <x:c r="L171" s="100" t="n">
        <x:v>-0.007517454203777321</x:v>
      </x:c>
      <x:c r="M171" s="100" t="n">
        <x:v>21</x:v>
      </x:c>
      <x:c r="N171" s="100" t="n">
        <x:v>0.9949143934785218</x:v>
      </x:c>
      <x:c r="O171" s="101" t="b">
        <x:v>1</x:v>
      </x:c>
      <x:c r="P171" t="str">
        <x:v>/Users/jvidale/Documents/Research/FaultScanR/output/20260722_181326_2487/CI_40353552</x:v>
      </x:c>
    </x:row>
    <x:row r="172">
      <x:c r="A172" t="str">
        <x:v>CI_40353552</x:v>
      </x:c>
      <x:c r="B172" s="99" t="str">
        <x:v>00219</x:v>
      </x:c>
      <x:c r="C172" t="str">
        <x:v>R</x:v>
      </x:c>
      <x:c r="D172" t="str">
        <x:v>R</x:v>
      </x:c>
      <x:c r="E172" t="str">
        <x:v>time shift</x:v>
      </x:c>
      <x:c r="F172" t="str">
        <x:v>S</x:v>
      </x:c>
      <x:c r="G172" s="100" t="n">
        <x:v>3</x:v>
      </x:c>
      <x:c r="H172" s="100" t="n">
        <x:v>10</x:v>
      </x:c>
      <x:c r="I172" s="100" t="n">
        <x:v>250</x:v>
      </x:c>
      <x:c r="J172" s="100" t="n">
        <x:v>0.1</x:v>
      </x:c>
      <x:c r="K172" s="100" t="n">
        <x:v>0.09897367554066516</x:v>
      </x:c>
      <x:c r="L172" s="100" t="n">
        <x:v>0.001026324459334843</x:v>
      </x:c>
      <x:c r="M172" s="100" t="n">
        <x:v>25</x:v>
      </x:c>
      <x:c r="N172" s="100" t="n">
        <x:v>0.9888096276801084</x:v>
      </x:c>
      <x:c r="O172" s="101" t="b">
        <x:v>1</x:v>
      </x:c>
      <x:c r="P172" t="str">
        <x:v>/Users/jvidale/Documents/Research/FaultScanR/output/20260722_181326_2487/CI_40353552</x:v>
      </x:c>
    </x:row>
    <x:row r="173">
      <x:c r="A173" t="str">
        <x:v>CI_40353552</x:v>
      </x:c>
      <x:c r="B173" s="99" t="str">
        <x:v>00220</x:v>
      </x:c>
      <x:c r="C173" t="str">
        <x:v>R</x:v>
      </x:c>
      <x:c r="D173" t="str">
        <x:v>R</x:v>
      </x:c>
      <x:c r="E173" t="str">
        <x:v>time shift</x:v>
      </x:c>
      <x:c r="F173" t="str">
        <x:v>S</x:v>
      </x:c>
      <x:c r="G173" s="100" t="n">
        <x:v>3</x:v>
      </x:c>
      <x:c r="H173" s="100" t="n">
        <x:v>10</x:v>
      </x:c>
      <x:c r="I173" s="100" t="n">
        <x:v>250</x:v>
      </x:c>
      <x:c r="J173" s="100" t="n">
        <x:v>0.112</x:v>
      </x:c>
      <x:c r="K173" s="100" t="n">
        <x:v>0.108286234068192</x:v>
      </x:c>
      <x:c r="L173" s="100" t="n">
        <x:v>0.003713765931807958</x:v>
      </x:c>
      <x:c r="M173" s="100" t="n">
        <x:v>28</x:v>
      </x:c>
      <x:c r="N173" s="100" t="n">
        <x:v>0.9481728326353344</x:v>
      </x:c>
      <x:c r="O173" s="101" t="b">
        <x:v>1</x:v>
      </x:c>
      <x:c r="P173" t="str">
        <x:v>/Users/jvidale/Documents/Research/FaultScanR/output/20260722_181326_2487/CI_40353552</x:v>
      </x:c>
    </x:row>
    <x:row r="174">
      <x:c r="A174" t="str">
        <x:v>CI_40353552</x:v>
      </x:c>
      <x:c r="B174" s="99" t="str">
        <x:v>00221</x:v>
      </x:c>
      <x:c r="C174" t="str">
        <x:v>R</x:v>
      </x:c>
      <x:c r="D174" t="str">
        <x:v>R</x:v>
      </x:c>
      <x:c r="E174" t="str">
        <x:v>time shift</x:v>
      </x:c>
      <x:c r="F174" t="str">
        <x:v>S</x:v>
      </x:c>
      <x:c r="G174" s="100" t="n">
        <x:v>3</x:v>
      </x:c>
      <x:c r="H174" s="100" t="n">
        <x:v>10</x:v>
      </x:c>
      <x:c r="I174" s="100" t="n">
        <x:v>250</x:v>
      </x:c>
      <x:c r="J174" s="100" t="n">
        <x:v>0.124</x:v>
      </x:c>
      <x:c r="K174" s="100" t="n">
        <x:v>0.1176521568598261</x:v>
      </x:c>
      <x:c r="L174" s="100" t="n">
        <x:v>0.006347843140173892</x:v>
      </x:c>
      <x:c r="M174" s="100" t="n">
        <x:v>31</x:v>
      </x:c>
      <x:c r="N174" s="100" t="n">
        <x:v>0.8543149371446224</x:v>
      </x:c>
      <x:c r="O174" s="101" t="b">
        <x:v>1</x:v>
      </x:c>
      <x:c r="P174" t="str">
        <x:v>/Users/jvidale/Documents/Research/FaultScanR/output/20260722_181326_2487/CI_40353552</x:v>
      </x:c>
    </x:row>
    <x:row r="175">
      <x:c r="A175" t="str">
        <x:v>CI_40353552</x:v>
      </x:c>
      <x:c r="B175" s="99" t="str">
        <x:v>00222</x:v>
      </x:c>
      <x:c r="C175" t="str">
        <x:v>R</x:v>
      </x:c>
      <x:c r="D175" t="str">
        <x:v>R</x:v>
      </x:c>
      <x:c r="E175" t="str">
        <x:v>time shift</x:v>
      </x:c>
      <x:c r="F175" t="str">
        <x:v>S</x:v>
      </x:c>
      <x:c r="G175" s="100" t="n">
        <x:v>3</x:v>
      </x:c>
      <x:c r="H175" s="100" t="n">
        <x:v>10</x:v>
      </x:c>
      <x:c r="I175" s="100" t="n">
        <x:v>250</x:v>
      </x:c>
      <x:c r="J175" s="100" t="n">
        <x:v>-0.02</x:v>
      </x:c>
      <x:c r="K175" s="100" t="n">
        <x:v>0.0115233746198049</x:v>
      </x:c>
      <x:c r="L175" s="100" t="n">
        <x:v>-0.03152337461980491</x:v>
      </x:c>
      <x:c r="M175" s="100" t="n">
        <x:v>-5</x:v>
      </x:c>
      <x:c r="N175" s="100" t="n">
        <x:v>0.8819542565838996</x:v>
      </x:c>
      <x:c r="O175" s="101" t="b">
        <x:v>1</x:v>
      </x:c>
      <x:c r="P175" t="str">
        <x:v>/Users/jvidale/Documents/Research/FaultScanR/output/20260722_181326_2487/CI_40353552</x:v>
      </x:c>
    </x:row>
    <x:row r="176">
      <x:c r="A176" t="str">
        <x:v>CI_40353552</x:v>
      </x:c>
      <x:c r="B176" s="99" t="str">
        <x:v>00223</x:v>
      </x:c>
      <x:c r="C176" t="str">
        <x:v>R</x:v>
      </x:c>
      <x:c r="D176" t="str">
        <x:v>R</x:v>
      </x:c>
      <x:c r="E176" t="str">
        <x:v>time shift</x:v>
      </x:c>
      <x:c r="F176" t="str">
        <x:v>S</x:v>
      </x:c>
      <x:c r="G176" s="100" t="n">
        <x:v>3</x:v>
      </x:c>
      <x:c r="H176" s="100" t="n">
        <x:v>10</x:v>
      </x:c>
      <x:c r="I176" s="100" t="n">
        <x:v>250</x:v>
      </x:c>
      <x:c r="J176" s="100" t="n">
        <x:v>-0.012</x:v>
      </x:c>
      <x:c r="K176" s="100" t="n">
        <x:v>0.01794555350701099</x:v>
      </x:c>
      <x:c r="L176" s="100" t="n">
        <x:v>-0.02994555350701099</x:v>
      </x:c>
      <x:c r="M176" s="100" t="n">
        <x:v>-3</x:v>
      </x:c>
      <x:c r="N176" s="100" t="n">
        <x:v>0.8887065404558484</x:v>
      </x:c>
      <x:c r="O176" s="101" t="b">
        <x:v>1</x:v>
      </x:c>
      <x:c r="P176" t="str">
        <x:v>/Users/jvidale/Documents/Research/FaultScanR/output/20260722_181326_2487/CI_40353552</x:v>
      </x:c>
    </x:row>
    <x:row r="177">
      <x:c r="A177" t="str">
        <x:v>CI_40353552</x:v>
      </x:c>
      <x:c r="B177" s="99" t="str">
        <x:v>00225</x:v>
      </x:c>
      <x:c r="C177" t="str">
        <x:v>R</x:v>
      </x:c>
      <x:c r="D177" t="str">
        <x:v>R</x:v>
      </x:c>
      <x:c r="E177" t="str">
        <x:v>time shift</x:v>
      </x:c>
      <x:c r="F177" t="str">
        <x:v>S</x:v>
      </x:c>
      <x:c r="G177" s="100" t="n">
        <x:v>3</x:v>
      </x:c>
      <x:c r="H177" s="100" t="n">
        <x:v>10</x:v>
      </x:c>
      <x:c r="I177" s="100" t="n">
        <x:v>250</x:v>
      </x:c>
      <x:c r="J177" s="100" t="n">
        <x:v>0.012</x:v>
      </x:c>
      <x:c r="K177" s="100" t="n">
        <x:v>0.03588179855884022</x:v>
      </x:c>
      <x:c r="L177" s="100" t="n">
        <x:v>-0.02388179855884022</x:v>
      </x:c>
      <x:c r="M177" s="100" t="n">
        <x:v>3</x:v>
      </x:c>
      <x:c r="N177" s="100" t="n">
        <x:v>0.9605792136137055</x:v>
      </x:c>
      <x:c r="O177" s="101" t="b">
        <x:v>1</x:v>
      </x:c>
      <x:c r="P177" t="str">
        <x:v>/Users/jvidale/Documents/Research/FaultScanR/output/20260722_181326_2487/CI_40353552</x:v>
      </x:c>
    </x:row>
    <x:row r="178">
      <x:c r="A178" t="str">
        <x:v>CI_40353552</x:v>
      </x:c>
      <x:c r="B178" s="99" t="str">
        <x:v>00226</x:v>
      </x:c>
      <x:c r="C178" t="str">
        <x:v>R</x:v>
      </x:c>
      <x:c r="D178" t="str">
        <x:v>R</x:v>
      </x:c>
      <x:c r="E178" t="str">
        <x:v>time shift</x:v>
      </x:c>
      <x:c r="F178" t="str">
        <x:v>S</x:v>
      </x:c>
      <x:c r="G178" s="100" t="n">
        <x:v>3</x:v>
      </x:c>
      <x:c r="H178" s="100" t="n">
        <x:v>10</x:v>
      </x:c>
      <x:c r="I178" s="100" t="n">
        <x:v>250</x:v>
      </x:c>
      <x:c r="J178" s="100" t="n">
        <x:v>0.02</x:v>
      </x:c>
      <x:c r="K178" s="100" t="n">
        <x:v>0.04306172634772665</x:v>
      </x:c>
      <x:c r="L178" s="100" t="n">
        <x:v>-0.02306172634772665</x:v>
      </x:c>
      <x:c r="M178" s="100" t="n">
        <x:v>5</x:v>
      </x:c>
      <x:c r="N178" s="100" t="n">
        <x:v>0.9616860419865031</x:v>
      </x:c>
      <x:c r="O178" s="101" t="b">
        <x:v>1</x:v>
      </x:c>
      <x:c r="P178" t="str">
        <x:v>/Users/jvidale/Documents/Research/FaultScanR/output/20260722_181326_2487/CI_40353552</x:v>
      </x:c>
    </x:row>
    <x:row r="179">
      <x:c r="A179" t="str">
        <x:v>CI_40353552</x:v>
      </x:c>
      <x:c r="B179" s="99" t="str">
        <x:v>00227</x:v>
      </x:c>
      <x:c r="C179" t="str">
        <x:v>R</x:v>
      </x:c>
      <x:c r="D179" t="str">
        <x:v>R</x:v>
      </x:c>
      <x:c r="E179" t="str">
        <x:v>time shift</x:v>
      </x:c>
      <x:c r="F179" t="str">
        <x:v>S</x:v>
      </x:c>
      <x:c r="G179" s="100" t="n">
        <x:v>3</x:v>
      </x:c>
      <x:c r="H179" s="100" t="n">
        <x:v>10</x:v>
      </x:c>
      <x:c r="I179" s="100" t="n">
        <x:v>250</x:v>
      </x:c>
      <x:c r="J179" s="100" t="n">
        <x:v>0.028</x:v>
      </x:c>
      <x:c r="K179" s="100" t="n">
        <x:v>0.05074968759610599</x:v>
      </x:c>
      <x:c r="L179" s="100" t="n">
        <x:v>-0.02274968759610599</x:v>
      </x:c>
      <x:c r="M179" s="100" t="n">
        <x:v>7</x:v>
      </x:c>
      <x:c r="N179" s="100" t="n">
        <x:v>0.9787479865580314</x:v>
      </x:c>
      <x:c r="O179" s="101" t="b">
        <x:v>1</x:v>
      </x:c>
      <x:c r="P179" t="str">
        <x:v>/Users/jvidale/Documents/Research/FaultScanR/output/20260722_181326_2487/CI_40353552</x:v>
      </x:c>
    </x:row>
    <x:row r="180">
      <x:c r="A180" t="str">
        <x:v>CI_40353552</x:v>
      </x:c>
      <x:c r="B180" s="99" t="str">
        <x:v>00228</x:v>
      </x:c>
      <x:c r="C180" t="str">
        <x:v>R</x:v>
      </x:c>
      <x:c r="D180" t="str">
        <x:v>R</x:v>
      </x:c>
      <x:c r="E180" t="str">
        <x:v>time shift</x:v>
      </x:c>
      <x:c r="F180" t="str">
        <x:v>S</x:v>
      </x:c>
      <x:c r="G180" s="100" t="n">
        <x:v>3</x:v>
      </x:c>
      <x:c r="H180" s="100" t="n">
        <x:v>10</x:v>
      </x:c>
      <x:c r="I180" s="100" t="n">
        <x:v>250</x:v>
      </x:c>
      <x:c r="J180" s="100" t="n">
        <x:v>0.04</x:v>
      </x:c>
      <x:c r="K180" s="100" t="n">
        <x:v>0.06077091035650461</x:v>
      </x:c>
      <x:c r="L180" s="100" t="n">
        <x:v>-0.02077091035650461</x:v>
      </x:c>
      <x:c r="M180" s="100" t="n">
        <x:v>10</x:v>
      </x:c>
      <x:c r="N180" s="100" t="n">
        <x:v>0.9946336620109775</x:v>
      </x:c>
      <x:c r="O180" s="101" t="b">
        <x:v>1</x:v>
      </x:c>
      <x:c r="P180" t="str">
        <x:v>/Users/jvidale/Documents/Research/FaultScanR/output/20260722_181326_2487/CI_40353552</x:v>
      </x:c>
    </x:row>
    <x:row r="181">
      <x:c r="A181" t="str">
        <x:v>CI_40353552</x:v>
      </x:c>
      <x:c r="B181" s="99" t="str">
        <x:v>00229</x:v>
      </x:c>
      <x:c r="C181" t="str">
        <x:v>R</x:v>
      </x:c>
      <x:c r="D181" t="str">
        <x:v>R</x:v>
      </x:c>
      <x:c r="E181" t="str">
        <x:v>time shift</x:v>
      </x:c>
      <x:c r="F181" t="str">
        <x:v>S</x:v>
      </x:c>
      <x:c r="G181" s="100" t="n">
        <x:v>3</x:v>
      </x:c>
      <x:c r="H181" s="100" t="n">
        <x:v>10</x:v>
      </x:c>
      <x:c r="I181" s="100" t="n">
        <x:v>250</x:v>
      </x:c>
      <x:c r="J181" s="100" t="n">
        <x:v>0.044</x:v>
      </x:c>
      <x:c r="K181" s="100" t="n">
        <x:v>0.06804532163643451</x:v>
      </x:c>
      <x:c r="L181" s="100" t="n">
        <x:v>-0.02404532163643451</x:v>
      </x:c>
      <x:c r="M181" s="100" t="n">
        <x:v>11</x:v>
      </x:c>
      <x:c r="N181" s="100" t="n">
        <x:v>0.995988066452199</x:v>
      </x:c>
      <x:c r="O181" s="101" t="b">
        <x:v>1</x:v>
      </x:c>
      <x:c r="P181" t="str">
        <x:v>/Users/jvidale/Documents/Research/FaultScanR/output/20260722_181326_2487/CI_40353552</x:v>
      </x:c>
    </x:row>
    <x:row r="182">
      <x:c r="A182" t="str">
        <x:v>CI_40353552</x:v>
      </x:c>
      <x:c r="B182" s="99" t="str">
        <x:v>00230</x:v>
      </x:c>
      <x:c r="C182" t="str">
        <x:v>R</x:v>
      </x:c>
      <x:c r="D182" t="str">
        <x:v>R</x:v>
      </x:c>
      <x:c r="E182" t="str">
        <x:v>time shift</x:v>
      </x:c>
      <x:c r="F182" t="str">
        <x:v>S</x:v>
      </x:c>
      <x:c r="G182" s="100" t="n">
        <x:v>3</x:v>
      </x:c>
      <x:c r="H182" s="100" t="n">
        <x:v>10</x:v>
      </x:c>
      <x:c r="I182" s="100" t="n">
        <x:v>250</x:v>
      </x:c>
      <x:c r="J182" s="100" t="n">
        <x:v>0.064</x:v>
      </x:c>
      <x:c r="K182" s="100" t="n">
        <x:v>0.07749545979079553</x:v>
      </x:c>
      <x:c r="L182" s="100" t="n">
        <x:v>-0.01349545979079553</x:v>
      </x:c>
      <x:c r="M182" s="100" t="n">
        <x:v>16</x:v>
      </x:c>
      <x:c r="N182" s="100" t="n">
        <x:v>0.9246635010976898</x:v>
      </x:c>
      <x:c r="O182" s="101" t="b">
        <x:v>1</x:v>
      </x:c>
      <x:c r="P182" t="str">
        <x:v>/Users/jvidale/Documents/Research/FaultScanR/output/20260722_181326_2487/CI_40353552</x:v>
      </x:c>
    </x:row>
    <x:row r="183">
      <x:c r="A183" t="str">
        <x:v>CI_40353552</x:v>
      </x:c>
      <x:c r="B183" s="99" t="str">
        <x:v>00231</x:v>
      </x:c>
      <x:c r="C183" t="str">
        <x:v>R</x:v>
      </x:c>
      <x:c r="D183" t="str">
        <x:v>R</x:v>
      </x:c>
      <x:c r="E183" t="str">
        <x:v>time shift</x:v>
      </x:c>
      <x:c r="F183" t="str">
        <x:v>S</x:v>
      </x:c>
      <x:c r="G183" s="100" t="n">
        <x:v>3</x:v>
      </x:c>
      <x:c r="H183" s="100" t="n">
        <x:v>10</x:v>
      </x:c>
      <x:c r="I183" s="100" t="n">
        <x:v>250</x:v>
      </x:c>
      <x:c r="J183" s="100" t="n">
        <x:v>0.068</x:v>
      </x:c>
      <x:c r="K183" s="100" t="n">
        <x:v>0.0857717624622909</x:v>
      </x:c>
      <x:c r="L183" s="100" t="n">
        <x:v>-0.0177717624622909</x:v>
      </x:c>
      <x:c r="M183" s="100" t="n">
        <x:v>17</x:v>
      </x:c>
      <x:c r="N183" s="100" t="n">
        <x:v>0.9740418692674876</x:v>
      </x:c>
      <x:c r="O183" s="101" t="b">
        <x:v>1</x:v>
      </x:c>
      <x:c r="P183" t="str">
        <x:v>/Users/jvidale/Documents/Research/FaultScanR/output/20260722_181326_2487/CI_40353552</x:v>
      </x:c>
    </x:row>
    <x:row r="184">
      <x:c r="A184" t="str">
        <x:v>CI_40353552</x:v>
      </x:c>
      <x:c r="B184" s="99" t="str">
        <x:v>00232</x:v>
      </x:c>
      <x:c r="C184" t="str">
        <x:v>R</x:v>
      </x:c>
      <x:c r="D184" t="str">
        <x:v>R</x:v>
      </x:c>
      <x:c r="E184" t="str">
        <x:v>time shift</x:v>
      </x:c>
      <x:c r="F184" t="str">
        <x:v>S</x:v>
      </x:c>
      <x:c r="G184" s="100" t="n">
        <x:v>3</x:v>
      </x:c>
      <x:c r="H184" s="100" t="n">
        <x:v>10</x:v>
      </x:c>
      <x:c r="I184" s="100" t="n">
        <x:v>250</x:v>
      </x:c>
      <x:c r="J184" s="100" t="n">
        <x:v>0.068</x:v>
      </x:c>
      <x:c r="K184" s="100" t="n">
        <x:v>0.08864247383109713</x:v>
      </x:c>
      <x:c r="L184" s="100" t="n">
        <x:v>-0.02064247383109713</x:v>
      </x:c>
      <x:c r="M184" s="100" t="n">
        <x:v>17</x:v>
      </x:c>
      <x:c r="N184" s="100" t="n">
        <x:v>0.9753710000748003</x:v>
      </x:c>
      <x:c r="O184" s="101" t="b">
        <x:v>1</x:v>
      </x:c>
      <x:c r="P184" t="str">
        <x:v>/Users/jvidale/Documents/Research/FaultScanR/output/20260722_181326_2487/CI_40353552</x:v>
      </x:c>
    </x:row>
    <x:row r="185">
      <x:c r="A185" t="str">
        <x:v>CI_40353552</x:v>
      </x:c>
      <x:c r="B185" s="99" t="str">
        <x:v>00233</x:v>
      </x:c>
      <x:c r="C185" t="str">
        <x:v>R</x:v>
      </x:c>
      <x:c r="D185" t="str">
        <x:v>R</x:v>
      </x:c>
      <x:c r="E185" t="str">
        <x:v>time shift</x:v>
      </x:c>
      <x:c r="F185" t="str">
        <x:v>S</x:v>
      </x:c>
      <x:c r="G185" s="100" t="n">
        <x:v>3</x:v>
      </x:c>
      <x:c r="H185" s="100" t="n">
        <x:v>10</x:v>
      </x:c>
      <x:c r="I185" s="100" t="n">
        <x:v>250</x:v>
      </x:c>
      <x:c r="J185" s="100" t="n">
        <x:v>0.096</x:v>
      </x:c>
      <x:c r="K185" s="100" t="n">
        <x:v>0.1021683995644223</x:v>
      </x:c>
      <x:c r="L185" s="100" t="n">
        <x:v>-0.00616839956442225</x:v>
      </x:c>
      <x:c r="M185" s="100" t="n">
        <x:v>24</x:v>
      </x:c>
      <x:c r="N185" s="100" t="n">
        <x:v>0.9485090968265155</x:v>
      </x:c>
      <x:c r="O185" s="101" t="b">
        <x:v>1</x:v>
      </x:c>
      <x:c r="P185" t="str">
        <x:v>/Users/jvidale/Documents/Research/FaultScanR/output/20260722_181326_2487/CI_40353552</x:v>
      </x:c>
    </x:row>
    <x:row r="186">
      <x:c r="A186" t="str">
        <x:v>CI_40353552</x:v>
      </x:c>
      <x:c r="B186" s="99" t="str">
        <x:v>00234</x:v>
      </x:c>
      <x:c r="C186" t="str">
        <x:v>R</x:v>
      </x:c>
      <x:c r="D186" t="str">
        <x:v>R</x:v>
      </x:c>
      <x:c r="E186" t="str">
        <x:v>time shift</x:v>
      </x:c>
      <x:c r="F186" t="str">
        <x:v>S</x:v>
      </x:c>
      <x:c r="G186" s="100" t="n">
        <x:v>3</x:v>
      </x:c>
      <x:c r="H186" s="100" t="n">
        <x:v>10</x:v>
      </x:c>
      <x:c r="I186" s="100" t="n">
        <x:v>250</x:v>
      </x:c>
      <x:c r="J186" s="100" t="n">
        <x:v>0.116</x:v>
      </x:c>
      <x:c r="K186" s="100" t="n">
        <x:v>0.1108153498420315</x:v>
      </x:c>
      <x:c r="L186" s="100" t="n">
        <x:v>0.005184650157968554</x:v>
      </x:c>
      <x:c r="M186" s="100" t="n">
        <x:v>29</x:v>
      </x:c>
      <x:c r="N186" s="100" t="n">
        <x:v>0.8742363218902826</x:v>
      </x:c>
      <x:c r="O186" s="101" t="b">
        <x:v>1</x:v>
      </x:c>
      <x:c r="P186" t="str">
        <x:v>/Users/jvidale/Documents/Research/FaultScanR/output/20260722_181326_2487/CI_40353552</x:v>
      </x:c>
    </x:row>
    <x:row r="187">
      <x:c r="A187" t="str">
        <x:v>CI_40353552</x:v>
      </x:c>
      <x:c r="B187" s="99" t="str">
        <x:v>00235</x:v>
      </x:c>
      <x:c r="C187" t="str">
        <x:v>R</x:v>
      </x:c>
      <x:c r="D187" t="str">
        <x:v>R</x:v>
      </x:c>
      <x:c r="E187" t="str">
        <x:v>time shift</x:v>
      </x:c>
      <x:c r="F187" t="str">
        <x:v>S</x:v>
      </x:c>
      <x:c r="G187" s="100" t="n">
        <x:v>3</x:v>
      </x:c>
      <x:c r="H187" s="100" t="n">
        <x:v>10</x:v>
      </x:c>
      <x:c r="I187" s="100" t="n">
        <x:v>250</x:v>
      </x:c>
      <x:c r="J187" s="100" t="n">
        <x:v>0.112</x:v>
      </x:c>
      <x:c r="K187" s="100" t="n">
        <x:v>0.1208174277591025</x:v>
      </x:c>
      <x:c r="L187" s="100" t="n">
        <x:v>-0.008817427759102534</x:v>
      </x:c>
      <x:c r="M187" s="100" t="n">
        <x:v>28</x:v>
      </x:c>
      <x:c r="N187" s="100" t="n">
        <x:v>0.9781665686863718</x:v>
      </x:c>
      <x:c r="O187" s="101" t="b">
        <x:v>1</x:v>
      </x:c>
      <x:c r="P187" t="str">
        <x:v>/Users/jvidale/Documents/Research/FaultScanR/output/20260722_181326_2487/CI_40353552</x:v>
      </x:c>
    </x:row>
    <x:row r="188">
      <x:c r="A188" t="str">
        <x:v>CI_40353552</x:v>
      </x:c>
      <x:c r="B188" s="99" t="str">
        <x:v>00236</x:v>
      </x:c>
      <x:c r="C188" t="str">
        <x:v>R</x:v>
      </x:c>
      <x:c r="D188" t="str">
        <x:v>R</x:v>
      </x:c>
      <x:c r="E188" t="str">
        <x:v>time shift</x:v>
      </x:c>
      <x:c r="F188" t="str">
        <x:v>S</x:v>
      </x:c>
      <x:c r="G188" s="100" t="n">
        <x:v>3</x:v>
      </x:c>
      <x:c r="H188" s="100" t="n">
        <x:v>10</x:v>
      </x:c>
      <x:c r="I188" s="100" t="n">
        <x:v>250</x:v>
      </x:c>
      <x:c r="J188" s="100" t="n">
        <x:v>0.128</x:v>
      </x:c>
      <x:c r="K188" s="100" t="n">
        <x:v>0.1296973070737932</x:v>
      </x:c>
      <x:c r="L188" s="100" t="n">
        <x:v>-0.001697307073793231</x:v>
      </x:c>
      <x:c r="M188" s="100" t="n">
        <x:v>32</x:v>
      </x:c>
      <x:c r="N188" s="100" t="n">
        <x:v>0.9826078282412283</x:v>
      </x:c>
      <x:c r="O188" s="101" t="b">
        <x:v>1</x:v>
      </x:c>
      <x:c r="P188" t="str">
        <x:v>/Users/jvidale/Documents/Research/FaultScanR/output/20260722_181326_2487/CI_40353552</x:v>
      </x:c>
    </x:row>
    <x:row r="189">
      <x:c r="A189" t="str">
        <x:v>CI_40353552</x:v>
      </x:c>
      <x:c r="B189" s="99" t="str">
        <x:v>00237</x:v>
      </x:c>
      <x:c r="C189" t="str">
        <x:v>R</x:v>
      </x:c>
      <x:c r="D189" t="str">
        <x:v>R</x:v>
      </x:c>
      <x:c r="E189" t="str">
        <x:v>time shift</x:v>
      </x:c>
      <x:c r="F189" t="str">
        <x:v>S</x:v>
      </x:c>
      <x:c r="G189" s="100" t="n">
        <x:v>3</x:v>
      </x:c>
      <x:c r="H189" s="100" t="n">
        <x:v>10</x:v>
      </x:c>
      <x:c r="I189" s="100" t="n">
        <x:v>250</x:v>
      </x:c>
      <x:c r="J189" s="100" t="n">
        <x:v>0.136</x:v>
      </x:c>
      <x:c r="K189" s="100" t="n">
        <x:v>0.1422015649685218</x:v>
      </x:c>
      <x:c r="L189" s="100" t="n">
        <x:v>-0.006201564968521756</x:v>
      </x:c>
      <x:c r="M189" s="100" t="n">
        <x:v>34</x:v>
      </x:c>
      <x:c r="N189" s="100" t="n">
        <x:v>0.956791380075372</x:v>
      </x:c>
      <x:c r="O189" s="101" t="b">
        <x:v>1</x:v>
      </x:c>
      <x:c r="P189" t="str">
        <x:v>/Users/jvidale/Documents/Research/FaultScanR/output/20260722_181326_2487/CI_40353552</x:v>
      </x:c>
    </x:row>
    <x:row r="190">
      <x:c r="A190" t="str">
        <x:v>CI_40353552</x:v>
      </x:c>
      <x:c r="B190" s="99" t="str">
        <x:v>00238</x:v>
      </x:c>
      <x:c r="C190" t="str">
        <x:v>R</x:v>
      </x:c>
      <x:c r="D190" t="str">
        <x:v>R</x:v>
      </x:c>
      <x:c r="E190" t="str">
        <x:v>time shift</x:v>
      </x:c>
      <x:c r="F190" t="str">
        <x:v>S</x:v>
      </x:c>
      <x:c r="G190" s="100" t="n">
        <x:v>3</x:v>
      </x:c>
      <x:c r="H190" s="100" t="n">
        <x:v>10</x:v>
      </x:c>
      <x:c r="I190" s="100" t="n">
        <x:v>250</x:v>
      </x:c>
      <x:c r="J190" s="100" t="n">
        <x:v>0.004</x:v>
      </x:c>
      <x:c r="K190" s="100" t="n">
        <x:v>0.03193423266757112</x:v>
      </x:c>
      <x:c r="L190" s="100" t="n">
        <x:v>-0.02793423266757112</x:v>
      </x:c>
      <x:c r="M190" s="100" t="n">
        <x:v>1</x:v>
      </x:c>
      <x:c r="N190" s="100" t="n">
        <x:v>0.8995515348336978</x:v>
      </x:c>
      <x:c r="O190" s="101" t="b">
        <x:v>1</x:v>
      </x:c>
      <x:c r="P190" t="str">
        <x:v>/Users/jvidale/Documents/Research/FaultScanR/output/20260722_181326_2487/CI_40353552</x:v>
      </x:c>
    </x:row>
    <x:row r="191">
      <x:c r="A191" t="str">
        <x:v>CI_40353552</x:v>
      </x:c>
      <x:c r="B191" s="99" t="str">
        <x:v>00239</x:v>
      </x:c>
      <x:c r="C191" t="str">
        <x:v>R</x:v>
      </x:c>
      <x:c r="D191" t="str">
        <x:v>R</x:v>
      </x:c>
      <x:c r="E191" t="str">
        <x:v>time shift</x:v>
      </x:c>
      <x:c r="F191" t="str">
        <x:v>S</x:v>
      </x:c>
      <x:c r="G191" s="100" t="n">
        <x:v>3</x:v>
      </x:c>
      <x:c r="H191" s="100" t="n">
        <x:v>10</x:v>
      </x:c>
      <x:c r="I191" s="100" t="n">
        <x:v>250</x:v>
      </x:c>
      <x:c r="J191" s="100" t="n">
        <x:v>0.02</x:v>
      </x:c>
      <x:c r="K191" s="100" t="n">
        <x:v>0.04409318334953127</x:v>
      </x:c>
      <x:c r="L191" s="100" t="n">
        <x:v>-0.02409318334953127</x:v>
      </x:c>
      <x:c r="M191" s="100" t="n">
        <x:v>5</x:v>
      </x:c>
      <x:c r="N191" s="100" t="n">
        <x:v>0.8529972523953187</x:v>
      </x:c>
      <x:c r="O191" s="101" t="b">
        <x:v>1</x:v>
      </x:c>
      <x:c r="P191" t="str">
        <x:v>/Users/jvidale/Documents/Research/FaultScanR/output/20260722_181326_2487/CI_40353552</x:v>
      </x:c>
    </x:row>
    <x:row r="192">
      <x:c r="A192" t="str">
        <x:v>CI_40353552</x:v>
      </x:c>
      <x:c r="B192" s="99" t="str">
        <x:v>00240</x:v>
      </x:c>
      <x:c r="C192" t="str">
        <x:v>R</x:v>
      </x:c>
      <x:c r="D192" t="str">
        <x:v>R</x:v>
      </x:c>
      <x:c r="E192" t="str">
        <x:v>time shift</x:v>
      </x:c>
      <x:c r="F192" t="str">
        <x:v>S</x:v>
      </x:c>
      <x:c r="G192" s="100" t="n">
        <x:v>3</x:v>
      </x:c>
      <x:c r="H192" s="100" t="n">
        <x:v>10</x:v>
      </x:c>
      <x:c r="I192" s="100" t="n">
        <x:v>250</x:v>
      </x:c>
      <x:c r="J192" s="100" t="n">
        <x:v>0.032</x:v>
      </x:c>
      <x:c r="K192" s="100" t="n">
        <x:v>0.05075139647865168</x:v>
      </x:c>
      <x:c r="L192" s="100" t="n">
        <x:v>-0.01875139647865168</x:v>
      </x:c>
      <x:c r="M192" s="100" t="n">
        <x:v>8</x:v>
      </x:c>
      <x:c r="N192" s="100" t="n">
        <x:v>0.9105531932072127</x:v>
      </x:c>
      <x:c r="O192" s="101" t="b">
        <x:v>1</x:v>
      </x:c>
      <x:c r="P192" t="str">
        <x:v>/Users/jvidale/Documents/Research/FaultScanR/output/20260722_181326_2487/CI_40353552</x:v>
      </x:c>
    </x:row>
    <x:row r="193">
      <x:c r="A193" t="str">
        <x:v>CI_40353552</x:v>
      </x:c>
      <x:c r="B193" s="99" t="str">
        <x:v>00241</x:v>
      </x:c>
      <x:c r="C193" t="str">
        <x:v>R</x:v>
      </x:c>
      <x:c r="D193" t="str">
        <x:v>R</x:v>
      </x:c>
      <x:c r="E193" t="str">
        <x:v>time shift</x:v>
      </x:c>
      <x:c r="F193" t="str">
        <x:v>S</x:v>
      </x:c>
      <x:c r="G193" s="100" t="n">
        <x:v>3</x:v>
      </x:c>
      <x:c r="H193" s="100" t="n">
        <x:v>10</x:v>
      </x:c>
      <x:c r="I193" s="100" t="n">
        <x:v>250</x:v>
      </x:c>
      <x:c r="J193" s="100" t="n">
        <x:v>0.04</x:v>
      </x:c>
      <x:c r="K193" s="100" t="n">
        <x:v>0.05301540193796761</x:v>
      </x:c>
      <x:c r="L193" s="100" t="n">
        <x:v>-0.01301540193796761</x:v>
      </x:c>
      <x:c r="M193" s="100" t="n">
        <x:v>10</x:v>
      </x:c>
      <x:c r="N193" s="100" t="n">
        <x:v>0.9759165112348019</x:v>
      </x:c>
      <x:c r="O193" s="101" t="b">
        <x:v>1</x:v>
      </x:c>
      <x:c r="P193" t="str">
        <x:v>/Users/jvidale/Documents/Research/FaultScanR/output/20260722_181326_2487/CI_40353552</x:v>
      </x:c>
    </x:row>
    <x:row r="194">
      <x:c r="A194" t="str">
        <x:v>CI_40353552</x:v>
      </x:c>
      <x:c r="B194" s="99" t="str">
        <x:v>00242</x:v>
      </x:c>
      <x:c r="C194" t="str">
        <x:v>R</x:v>
      </x:c>
      <x:c r="D194" t="str">
        <x:v>R</x:v>
      </x:c>
      <x:c r="E194" t="str">
        <x:v>time shift</x:v>
      </x:c>
      <x:c r="F194" t="str">
        <x:v>S</x:v>
      </x:c>
      <x:c r="G194" s="100" t="n">
        <x:v>3</x:v>
      </x:c>
      <x:c r="H194" s="100" t="n">
        <x:v>10</x:v>
      </x:c>
      <x:c r="I194" s="100" t="n">
        <x:v>250</x:v>
      </x:c>
      <x:c r="J194" s="100" t="n">
        <x:v>0.04</x:v>
      </x:c>
      <x:c r="K194" s="100" t="n">
        <x:v>0.06402100877776729</x:v>
      </x:c>
      <x:c r="L194" s="100" t="n">
        <x:v>-0.02402100877776728</x:v>
      </x:c>
      <x:c r="M194" s="100" t="n">
        <x:v>10</x:v>
      </x:c>
      <x:c r="N194" s="100" t="n">
        <x:v>0.9563348017008402</x:v>
      </x:c>
      <x:c r="O194" s="101" t="b">
        <x:v>1</x:v>
      </x:c>
      <x:c r="P194" t="str">
        <x:v>/Users/jvidale/Documents/Research/FaultScanR/output/20260722_181326_2487/CI_40353552</x:v>
      </x:c>
    </x:row>
    <x:row r="195">
      <x:c r="A195" t="str">
        <x:v>CI_40353552</x:v>
      </x:c>
      <x:c r="B195" s="99" t="str">
        <x:v>00243</x:v>
      </x:c>
      <x:c r="C195" t="str">
        <x:v>R</x:v>
      </x:c>
      <x:c r="D195" t="str">
        <x:v>R</x:v>
      </x:c>
      <x:c r="E195" t="str">
        <x:v>time shift</x:v>
      </x:c>
      <x:c r="F195" t="str">
        <x:v>S</x:v>
      </x:c>
      <x:c r="G195" s="100" t="n">
        <x:v>3</x:v>
      </x:c>
      <x:c r="H195" s="100" t="n">
        <x:v>10</x:v>
      </x:c>
      <x:c r="I195" s="100" t="n">
        <x:v>250</x:v>
      </x:c>
      <x:c r="J195" s="100" t="n">
        <x:v>0.048</x:v>
      </x:c>
      <x:c r="K195" s="100" t="n">
        <x:v>0.07481513946410168</x:v>
      </x:c>
      <x:c r="L195" s="100" t="n">
        <x:v>-0.02681513946410168</x:v>
      </x:c>
      <x:c r="M195" s="100" t="n">
        <x:v>12</x:v>
      </x:c>
      <x:c r="N195" s="100" t="n">
        <x:v>0.9818319551808354</x:v>
      </x:c>
      <x:c r="O195" s="101" t="b">
        <x:v>1</x:v>
      </x:c>
      <x:c r="P195" t="str">
        <x:v>/Users/jvidale/Documents/Research/FaultScanR/output/20260722_181326_2487/CI_40353552</x:v>
      </x:c>
    </x:row>
    <x:row r="196">
      <x:c r="A196" t="str">
        <x:v>CI_40353552</x:v>
      </x:c>
      <x:c r="B196" s="99" t="str">
        <x:v>00244</x:v>
      </x:c>
      <x:c r="C196" t="str">
        <x:v>R</x:v>
      </x:c>
      <x:c r="D196" t="str">
        <x:v>R</x:v>
      </x:c>
      <x:c r="E196" t="str">
        <x:v>time shift</x:v>
      </x:c>
      <x:c r="F196" t="str">
        <x:v>S</x:v>
      </x:c>
      <x:c r="G196" s="100" t="n">
        <x:v>3</x:v>
      </x:c>
      <x:c r="H196" s="100" t="n">
        <x:v>10</x:v>
      </x:c>
      <x:c r="I196" s="100" t="n">
        <x:v>250</x:v>
      </x:c>
      <x:c r="J196" s="100" t="n">
        <x:v>0.056</x:v>
      </x:c>
      <x:c r="K196" s="100" t="n">
        <x:v>0.08231026022820931</x:v>
      </x:c>
      <x:c r="L196" s="100" t="n">
        <x:v>-0.02631026022820931</x:v>
      </x:c>
      <x:c r="M196" s="100" t="n">
        <x:v>14</x:v>
      </x:c>
      <x:c r="N196" s="100" t="n">
        <x:v>0.9785396375077642</x:v>
      </x:c>
      <x:c r="O196" s="101" t="b">
        <x:v>1</x:v>
      </x:c>
      <x:c r="P196" t="str">
        <x:v>/Users/jvidale/Documents/Research/FaultScanR/output/20260722_181326_2487/CI_40353552</x:v>
      </x:c>
    </x:row>
    <x:row r="197">
      <x:c r="A197" t="str">
        <x:v>CI_40353552</x:v>
      </x:c>
      <x:c r="B197" s="99" t="str">
        <x:v>00245</x:v>
      </x:c>
      <x:c r="C197" t="str">
        <x:v>R</x:v>
      </x:c>
      <x:c r="D197" t="str">
        <x:v>R</x:v>
      </x:c>
      <x:c r="E197" t="str">
        <x:v>time shift</x:v>
      </x:c>
      <x:c r="F197" t="str">
        <x:v>S</x:v>
      </x:c>
      <x:c r="G197" s="100" t="n">
        <x:v>3</x:v>
      </x:c>
      <x:c r="H197" s="100" t="n">
        <x:v>10</x:v>
      </x:c>
      <x:c r="I197" s="100" t="n">
        <x:v>250</x:v>
      </x:c>
      <x:c r="J197" s="100" t="n">
        <x:v>0.064</x:v>
      </x:c>
      <x:c r="K197" s="100" t="n">
        <x:v>0.09064196552180714</x:v>
      </x:c>
      <x:c r="L197" s="100" t="n">
        <x:v>-0.02664196552180714</x:v>
      </x:c>
      <x:c r="M197" s="100" t="n">
        <x:v>16</x:v>
      </x:c>
      <x:c r="N197" s="100" t="n">
        <x:v>0.9759515917737334</x:v>
      </x:c>
      <x:c r="O197" s="101" t="b">
        <x:v>1</x:v>
      </x:c>
      <x:c r="P197" t="str">
        <x:v>/Users/jvidale/Documents/Research/FaultScanR/output/20260722_181326_2487/CI_40353552</x:v>
      </x:c>
    </x:row>
    <x:row r="198">
      <x:c r="A198" t="str">
        <x:v>CI_40353552</x:v>
      </x:c>
      <x:c r="B198" s="99" t="str">
        <x:v>00246</x:v>
      </x:c>
      <x:c r="C198" t="str">
        <x:v>R</x:v>
      </x:c>
      <x:c r="D198" t="str">
        <x:v>R</x:v>
      </x:c>
      <x:c r="E198" t="str">
        <x:v>time shift</x:v>
      </x:c>
      <x:c r="F198" t="str">
        <x:v>S</x:v>
      </x:c>
      <x:c r="G198" s="100" t="n">
        <x:v>3</x:v>
      </x:c>
      <x:c r="H198" s="100" t="n">
        <x:v>10</x:v>
      </x:c>
      <x:c r="I198" s="100" t="n">
        <x:v>250</x:v>
      </x:c>
      <x:c r="J198" s="100" t="n">
        <x:v>0.076</x:v>
      </x:c>
      <x:c r="K198" s="100" t="n">
        <x:v>0.09808625023750661</x:v>
      </x:c>
      <x:c r="L198" s="100" t="n">
        <x:v>-0.02208625023750661</x:v>
      </x:c>
      <x:c r="M198" s="100" t="n">
        <x:v>19</x:v>
      </x:c>
      <x:c r="N198" s="100" t="n">
        <x:v>0.9846840996785943</x:v>
      </x:c>
      <x:c r="O198" s="101" t="b">
        <x:v>1</x:v>
      </x:c>
      <x:c r="P198" t="str">
        <x:v>/Users/jvidale/Documents/Research/FaultScanR/output/20260722_181326_2487/CI_40353552</x:v>
      </x:c>
    </x:row>
    <x:row r="199">
      <x:c r="A199" t="str">
        <x:v>CI_40353552</x:v>
      </x:c>
      <x:c r="B199" s="99" t="str">
        <x:v>00247</x:v>
      </x:c>
      <x:c r="C199" t="str">
        <x:v>R</x:v>
      </x:c>
      <x:c r="D199" t="str">
        <x:v>R</x:v>
      </x:c>
      <x:c r="E199" t="str">
        <x:v>time shift</x:v>
      </x:c>
      <x:c r="F199" t="str">
        <x:v>S</x:v>
      </x:c>
      <x:c r="G199" s="100" t="n">
        <x:v>3</x:v>
      </x:c>
      <x:c r="H199" s="100" t="n">
        <x:v>10</x:v>
      </x:c>
      <x:c r="I199" s="100" t="n">
        <x:v>250</x:v>
      </x:c>
      <x:c r="J199" s="100" t="n">
        <x:v>0.088</x:v>
      </x:c>
      <x:c r="K199" s="100" t="n">
        <x:v>0.1079549355551155</x:v>
      </x:c>
      <x:c r="L199" s="100" t="n">
        <x:v>-0.01995493555511549</x:v>
      </x:c>
      <x:c r="M199" s="100" t="n">
        <x:v>22</x:v>
      </x:c>
      <x:c r="N199" s="100" t="n">
        <x:v>0.9722023299990892</x:v>
      </x:c>
      <x:c r="O199" s="101" t="b">
        <x:v>1</x:v>
      </x:c>
      <x:c r="P199" t="str">
        <x:v>/Users/jvidale/Documents/Research/FaultScanR/output/20260722_181326_2487/CI_40353552</x:v>
      </x:c>
    </x:row>
    <x:row r="200">
      <x:c r="A200" t="str">
        <x:v>CI_40353552</x:v>
      </x:c>
      <x:c r="B200" s="99" t="str">
        <x:v>00248</x:v>
      </x:c>
      <x:c r="C200" t="str">
        <x:v>R</x:v>
      </x:c>
      <x:c r="D200" t="str">
        <x:v>R</x:v>
      </x:c>
      <x:c r="E200" t="str">
        <x:v>time shift</x:v>
      </x:c>
      <x:c r="F200" t="str">
        <x:v>S</x:v>
      </x:c>
      <x:c r="G200" s="100" t="n">
        <x:v>3</x:v>
      </x:c>
      <x:c r="H200" s="100" t="n">
        <x:v>10</x:v>
      </x:c>
      <x:c r="I200" s="100" t="n">
        <x:v>250</x:v>
      </x:c>
      <x:c r="J200" s="100" t="n">
        <x:v>0.1</x:v>
      </x:c>
      <x:c r="K200" s="100" t="n">
        <x:v>0.1188924498679942</x:v>
      </x:c>
      <x:c r="L200" s="100" t="n">
        <x:v>-0.01889244986799418</x:v>
      </x:c>
      <x:c r="M200" s="100" t="n">
        <x:v>25</x:v>
      </x:c>
      <x:c r="N200" s="100" t="n">
        <x:v>0.9708172565101618</x:v>
      </x:c>
      <x:c r="O200" s="101" t="b">
        <x:v>1</x:v>
      </x:c>
      <x:c r="P200" t="str">
        <x:v>/Users/jvidale/Documents/Research/FaultScanR/output/20260722_181326_2487/CI_40353552</x:v>
      </x:c>
    </x:row>
    <x:row r="201">
      <x:c r="A201" t="str">
        <x:v>CI_40353552</x:v>
      </x:c>
      <x:c r="B201" s="99" t="str">
        <x:v>00249</x:v>
      </x:c>
      <x:c r="C201" t="str">
        <x:v>R</x:v>
      </x:c>
      <x:c r="D201" t="str">
        <x:v>R</x:v>
      </x:c>
      <x:c r="E201" t="str">
        <x:v>time shift</x:v>
      </x:c>
      <x:c r="F201" t="str">
        <x:v>S</x:v>
      </x:c>
      <x:c r="G201" s="100" t="n">
        <x:v>3</x:v>
      </x:c>
      <x:c r="H201" s="100" t="n">
        <x:v>10</x:v>
      </x:c>
      <x:c r="I201" s="100" t="n">
        <x:v>250</x:v>
      </x:c>
      <x:c r="J201" s="100" t="n">
        <x:v>0.108</x:v>
      </x:c>
      <x:c r="K201" s="100" t="n">
        <x:v>0.1261953007066525</x:v>
      </x:c>
      <x:c r="L201" s="100" t="n">
        <x:v>-0.01819530070665253</x:v>
      </x:c>
      <x:c r="M201" s="100" t="n">
        <x:v>27</x:v>
      </x:c>
      <x:c r="N201" s="100" t="n">
        <x:v>0.9528503433002191</x:v>
      </x:c>
      <x:c r="O201" s="101" t="b">
        <x:v>1</x:v>
      </x:c>
      <x:c r="P201" t="str">
        <x:v>/Users/jvidale/Documents/Research/FaultScanR/output/20260722_181326_2487/CI_40353552</x:v>
      </x:c>
    </x:row>
    <x:row r="202">
      <x:c r="A202" t="str">
        <x:v>CI_40353552</x:v>
      </x:c>
      <x:c r="B202" s="99" t="str">
        <x:v>00250</x:v>
      </x:c>
      <x:c r="C202" t="str">
        <x:v>R</x:v>
      </x:c>
      <x:c r="D202" t="str">
        <x:v>R</x:v>
      </x:c>
      <x:c r="E202" t="str">
        <x:v>time shift</x:v>
      </x:c>
      <x:c r="F202" t="str">
        <x:v>S</x:v>
      </x:c>
      <x:c r="G202" s="100" t="n">
        <x:v>3</x:v>
      </x:c>
      <x:c r="H202" s="100" t="n">
        <x:v>10</x:v>
      </x:c>
      <x:c r="I202" s="100" t="n">
        <x:v>250</x:v>
      </x:c>
      <x:c r="J202" s="100" t="n">
        <x:v>0.124</x:v>
      </x:c>
      <x:c r="K202" s="100" t="n">
        <x:v>0.13342211967956</x:v>
      </x:c>
      <x:c r="L202" s="100" t="n">
        <x:v>-0.00942211967955997</x:v>
      </x:c>
      <x:c r="M202" s="100" t="n">
        <x:v>31</x:v>
      </x:c>
      <x:c r="N202" s="100" t="n">
        <x:v>0.9085388430588052</x:v>
      </x:c>
      <x:c r="O202" s="101" t="b">
        <x:v>1</x:v>
      </x:c>
      <x:c r="P202" t="str">
        <x:v>/Users/jvidale/Documents/Research/FaultScanR/output/20260722_181326_2487/CI_40353552</x:v>
      </x:c>
    </x:row>
    <x:row r="203">
      <x:c r="A203" t="str">
        <x:v>CI_40353552</x:v>
      </x:c>
      <x:c r="B203" s="99" t="str">
        <x:v>00251</x:v>
      </x:c>
      <x:c r="C203" t="str">
        <x:v>R</x:v>
      </x:c>
      <x:c r="D203" t="str">
        <x:v>R</x:v>
      </x:c>
      <x:c r="E203" t="str">
        <x:v>time shift</x:v>
      </x:c>
      <x:c r="F203" t="str">
        <x:v>S</x:v>
      </x:c>
      <x:c r="G203" s="100" t="n">
        <x:v>3</x:v>
      </x:c>
      <x:c r="H203" s="100" t="n">
        <x:v>10</x:v>
      </x:c>
      <x:c r="I203" s="100" t="n">
        <x:v>250</x:v>
      </x:c>
      <x:c r="J203" s="100" t="n">
        <x:v>0.14</x:v>
      </x:c>
      <x:c r="K203" s="100" t="n">
        <x:v>0.1443179660615481</x:v>
      </x:c>
      <x:c r="L203" s="100" t="n">
        <x:v>-0.004317966061548106</x:v>
      </x:c>
      <x:c r="M203" s="100" t="n">
        <x:v>35</x:v>
      </x:c>
      <x:c r="N203" s="100" t="n">
        <x:v>0.8846430082649006</x:v>
      </x:c>
      <x:c r="O203" s="101" t="b">
        <x:v>1</x:v>
      </x:c>
      <x:c r="P203" t="str">
        <x:v>/Users/jvidale/Documents/Research/FaultScanR/output/20260722_181326_2487/CI_40353552</x:v>
      </x:c>
    </x:row>
    <x:row r="204">
      <x:c r="A204" t="str">
        <x:v>CI_40353552</x:v>
      </x:c>
      <x:c r="B204" s="99" t="str">
        <x:v>00252</x:v>
      </x:c>
      <x:c r="C204" t="str">
        <x:v>R</x:v>
      </x:c>
      <x:c r="D204" t="str">
        <x:v>R</x:v>
      </x:c>
      <x:c r="E204" t="str">
        <x:v>time shift</x:v>
      </x:c>
      <x:c r="F204" t="str">
        <x:v>S</x:v>
      </x:c>
      <x:c r="G204" s="100" t="n">
        <x:v>3</x:v>
      </x:c>
      <x:c r="H204" s="100" t="n">
        <x:v>10</x:v>
      </x:c>
      <x:c r="I204" s="100" t="n">
        <x:v>250</x:v>
      </x:c>
      <x:c r="J204" s="100" t="n">
        <x:v>0.144</x:v>
      </x:c>
      <x:c r="K204" s="100" t="n">
        <x:v>0.1553165024413579</x:v>
      </x:c>
      <x:c r="L204" s="100" t="n">
        <x:v>-0.01131650244135787</x:v>
      </x:c>
      <x:c r="M204" s="100" t="n">
        <x:v>36</x:v>
      </x:c>
      <x:c r="N204" s="100" t="n">
        <x:v>0.9837844321523658</x:v>
      </x:c>
      <x:c r="O204" s="101" t="b">
        <x:v>1</x:v>
      </x:c>
      <x:c r="P204" t="str">
        <x:v>/Users/jvidale/Documents/Research/FaultScanR/output/20260722_181326_2487/CI_40353552</x:v>
      </x:c>
    </x:row>
    <x:row r="205">
      <x:c r="A205" t="str">
        <x:v>CI_40353552</x:v>
      </x:c>
      <x:c r="B205" s="99" t="str">
        <x:v>00253</x:v>
      </x:c>
      <x:c r="C205" t="str">
        <x:v>R</x:v>
      </x:c>
      <x:c r="D205" t="str">
        <x:v>R</x:v>
      </x:c>
      <x:c r="E205" t="str">
        <x:v>time shift</x:v>
      </x:c>
      <x:c r="F205" t="str">
        <x:v>S</x:v>
      </x:c>
      <x:c r="G205" s="100" t="n">
        <x:v>3</x:v>
      </x:c>
      <x:c r="H205" s="100" t="n">
        <x:v>10</x:v>
      </x:c>
      <x:c r="I205" s="100" t="n">
        <x:v>250</x:v>
      </x:c>
      <x:c r="J205" s="100" t="n">
        <x:v>0.14</x:v>
      </x:c>
      <x:c r="K205" s="100" t="n">
        <x:v>0.1614072279223802</x:v>
      </x:c>
      <x:c r="L205" s="100" t="n">
        <x:v>-0.02140722792238015</x:v>
      </x:c>
      <x:c r="M205" s="100" t="n">
        <x:v>35</x:v>
      </x:c>
      <x:c r="N205" s="100" t="n">
        <x:v>0.9708995980406402</x:v>
      </x:c>
      <x:c r="O205" s="101" t="b">
        <x:v>1</x:v>
      </x:c>
      <x:c r="P205" t="str">
        <x:v>/Users/jvidale/Documents/Research/FaultScanR/output/20260722_181326_2487/CI_40353552</x:v>
      </x:c>
    </x:row>
    <x:row r="206">
      <x:c r="A206" t="str">
        <x:v>CI_40353552</x:v>
      </x:c>
      <x:c r="B206" s="99" t="str">
        <x:v>00254</x:v>
      </x:c>
      <x:c r="C206" t="str">
        <x:v>R</x:v>
      </x:c>
      <x:c r="D206" t="str">
        <x:v>R</x:v>
      </x:c>
      <x:c r="E206" t="str">
        <x:v>time shift</x:v>
      </x:c>
      <x:c r="F206" t="str">
        <x:v>S</x:v>
      </x:c>
      <x:c r="G206" s="100" t="n">
        <x:v>3</x:v>
      </x:c>
      <x:c r="H206" s="100" t="n">
        <x:v>10</x:v>
      </x:c>
      <x:c r="I206" s="100" t="n">
        <x:v>250</x:v>
      </x:c>
      <x:c r="J206" s="100" t="n">
        <x:v>0.032</x:v>
      </x:c>
      <x:c r="K206" s="100" t="n">
        <x:v>0.05749066379268353</x:v>
      </x:c>
      <x:c r="L206" s="100" t="n">
        <x:v>-0.02549066379268353</x:v>
      </x:c>
      <x:c r="M206" s="100" t="n">
        <x:v>8</x:v>
      </x:c>
      <x:c r="N206" s="100" t="n">
        <x:v>0.9379894020130881</x:v>
      </x:c>
      <x:c r="O206" s="101" t="b">
        <x:v>1</x:v>
      </x:c>
      <x:c r="P206" t="str">
        <x:v>/Users/jvidale/Documents/Research/FaultScanR/output/20260722_181326_2487/CI_40353552</x:v>
      </x:c>
    </x:row>
    <x:row r="207">
      <x:c r="A207" t="str">
        <x:v>CI_40353552</x:v>
      </x:c>
      <x:c r="B207" s="99" t="str">
        <x:v>00255</x:v>
      </x:c>
      <x:c r="C207" t="str">
        <x:v>R</x:v>
      </x:c>
      <x:c r="D207" t="str">
        <x:v>R</x:v>
      </x:c>
      <x:c r="E207" t="str">
        <x:v>time shift</x:v>
      </x:c>
      <x:c r="F207" t="str">
        <x:v>S</x:v>
      </x:c>
      <x:c r="G207" s="100" t="n">
        <x:v>3</x:v>
      </x:c>
      <x:c r="H207" s="100" t="n">
        <x:v>10</x:v>
      </x:c>
      <x:c r="I207" s="100" t="n">
        <x:v>250</x:v>
      </x:c>
      <x:c r="J207" s="100" t="n">
        <x:v>0.044</x:v>
      </x:c>
      <x:c r="K207" s="100" t="n">
        <x:v>0.06523842005272673</x:v>
      </x:c>
      <x:c r="L207" s="100" t="n">
        <x:v>-0.02123842005272673</x:v>
      </x:c>
      <x:c r="M207" s="100" t="n">
        <x:v>11</x:v>
      </x:c>
      <x:c r="N207" s="100" t="n">
        <x:v>0.944720965960858</x:v>
      </x:c>
      <x:c r="O207" s="101" t="b">
        <x:v>1</x:v>
      </x:c>
      <x:c r="P207" t="str">
        <x:v>/Users/jvidale/Documents/Research/FaultScanR/output/20260722_181326_2487/CI_40353552</x:v>
      </x:c>
    </x:row>
    <x:row r="208">
      <x:c r="A208" t="str">
        <x:v>CI_40353552</x:v>
      </x:c>
      <x:c r="B208" s="99" t="str">
        <x:v>00256</x:v>
      </x:c>
      <x:c r="C208" t="str">
        <x:v>R</x:v>
      </x:c>
      <x:c r="D208" t="str">
        <x:v>R</x:v>
      </x:c>
      <x:c r="E208" t="str">
        <x:v>time shift</x:v>
      </x:c>
      <x:c r="F208" t="str">
        <x:v>S</x:v>
      </x:c>
      <x:c r="G208" s="100" t="n">
        <x:v>3</x:v>
      </x:c>
      <x:c r="H208" s="100" t="n">
        <x:v>10</x:v>
      </x:c>
      <x:c r="I208" s="100" t="n">
        <x:v>250</x:v>
      </x:c>
      <x:c r="J208" s="100" t="n">
        <x:v>0.056</x:v>
      </x:c>
      <x:c r="K208" s="100" t="n">
        <x:v>0.07269341327940548</x:v>
      </x:c>
      <x:c r="L208" s="100" t="n">
        <x:v>-0.01669341327940548</x:v>
      </x:c>
      <x:c r="M208" s="100" t="n">
        <x:v>14</x:v>
      </x:c>
      <x:c r="N208" s="100" t="n">
        <x:v>0.9534399725888949</x:v>
      </x:c>
      <x:c r="O208" s="101" t="b">
        <x:v>1</x:v>
      </x:c>
      <x:c r="P208" t="str">
        <x:v>/Users/jvidale/Documents/Research/FaultScanR/output/20260722_181326_2487/CI_40353552</x:v>
      </x:c>
    </x:row>
    <x:row r="209">
      <x:c r="A209" t="str">
        <x:v>CI_40353552</x:v>
      </x:c>
      <x:c r="B209" s="99" t="str">
        <x:v>00257</x:v>
      </x:c>
      <x:c r="C209" t="str">
        <x:v>R</x:v>
      </x:c>
      <x:c r="D209" t="str">
        <x:v>R</x:v>
      </x:c>
      <x:c r="E209" t="str">
        <x:v>time shift</x:v>
      </x:c>
      <x:c r="F209" t="str">
        <x:v>S</x:v>
      </x:c>
      <x:c r="G209" s="100" t="n">
        <x:v>3</x:v>
      </x:c>
      <x:c r="H209" s="100" t="n">
        <x:v>10</x:v>
      </x:c>
      <x:c r="I209" s="100" t="n">
        <x:v>250</x:v>
      </x:c>
      <x:c r="J209" s="100" t="n">
        <x:v>0.06</x:v>
      </x:c>
      <x:c r="K209" s="100" t="n">
        <x:v>0.07969051856003695</x:v>
      </x:c>
      <x:c r="L209" s="100" t="n">
        <x:v>-0.01969051856003695</x:v>
      </x:c>
      <x:c r="M209" s="100" t="n">
        <x:v>15</x:v>
      </x:c>
      <x:c r="N209" s="100" t="n">
        <x:v>0.9301887073429231</x:v>
      </x:c>
      <x:c r="O209" s="101" t="b">
        <x:v>1</x:v>
      </x:c>
      <x:c r="P209" t="str">
        <x:v>/Users/jvidale/Documents/Research/FaultScanR/output/20260722_181326_2487/CI_40353552</x:v>
      </x:c>
    </x:row>
    <x:row r="210">
      <x:c r="A210" t="str">
        <x:v>CI_40353552</x:v>
      </x:c>
      <x:c r="B210" s="99" t="str">
        <x:v>00258</x:v>
      </x:c>
      <x:c r="C210" t="str">
        <x:v>R</x:v>
      </x:c>
      <x:c r="D210" t="str">
        <x:v>R</x:v>
      </x:c>
      <x:c r="E210" t="str">
        <x:v>time shift</x:v>
      </x:c>
      <x:c r="F210" t="str">
        <x:v>S</x:v>
      </x:c>
      <x:c r="G210" s="100" t="n">
        <x:v>3</x:v>
      </x:c>
      <x:c r="H210" s="100" t="n">
        <x:v>10</x:v>
      </x:c>
      <x:c r="I210" s="100" t="n">
        <x:v>250</x:v>
      </x:c>
      <x:c r="J210" s="100" t="n">
        <x:v>0.068</x:v>
      </x:c>
      <x:c r="K210" s="100" t="n">
        <x:v>0.08696109228987048</x:v>
      </x:c>
      <x:c r="L210" s="100" t="n">
        <x:v>-0.01896109228987047</x:v>
      </x:c>
      <x:c r="M210" s="100" t="n">
        <x:v>17</x:v>
      </x:c>
      <x:c r="N210" s="100" t="n">
        <x:v>0.9784793024873253</x:v>
      </x:c>
      <x:c r="O210" s="101" t="b">
        <x:v>1</x:v>
      </x:c>
      <x:c r="P210" t="str">
        <x:v>/Users/jvidale/Documents/Research/FaultScanR/output/20260722_181326_2487/CI_40353552</x:v>
      </x:c>
    </x:row>
    <x:row r="211">
      <x:c r="A211" t="str">
        <x:v>CI_40353552</x:v>
      </x:c>
      <x:c r="B211" s="99" t="str">
        <x:v>00259</x:v>
      </x:c>
      <x:c r="C211" t="str">
        <x:v>R</x:v>
      </x:c>
      <x:c r="D211" t="str">
        <x:v>R</x:v>
      </x:c>
      <x:c r="E211" t="str">
        <x:v>time shift</x:v>
      </x:c>
      <x:c r="F211" t="str">
        <x:v>S</x:v>
      </x:c>
      <x:c r="G211" s="100" t="n">
        <x:v>3</x:v>
      </x:c>
      <x:c r="H211" s="100" t="n">
        <x:v>10</x:v>
      </x:c>
      <x:c r="I211" s="100" t="n">
        <x:v>250</x:v>
      </x:c>
      <x:c r="J211" s="100" t="n">
        <x:v>0.068</x:v>
      </x:c>
      <x:c r="K211" s="100" t="n">
        <x:v>0.09443675120499417</x:v>
      </x:c>
      <x:c r="L211" s="100" t="n">
        <x:v>-0.02643675120499417</x:v>
      </x:c>
      <x:c r="M211" s="100" t="n">
        <x:v>17</x:v>
      </x:c>
      <x:c r="N211" s="100" t="n">
        <x:v>0.9850930015994502</x:v>
      </x:c>
      <x:c r="O211" s="101" t="b">
        <x:v>1</x:v>
      </x:c>
      <x:c r="P211" t="str">
        <x:v>/Users/jvidale/Documents/Research/FaultScanR/output/20260722_181326_2487/CI_40353552</x:v>
      </x:c>
    </x:row>
    <x:row r="212">
      <x:c r="A212" t="str">
        <x:v>CI_40353552</x:v>
      </x:c>
      <x:c r="B212" s="99" t="str">
        <x:v>00260</x:v>
      </x:c>
      <x:c r="C212" t="str">
        <x:v>R</x:v>
      </x:c>
      <x:c r="D212" t="str">
        <x:v>R</x:v>
      </x:c>
      <x:c r="E212" t="str">
        <x:v>time shift</x:v>
      </x:c>
      <x:c r="F212" t="str">
        <x:v>S</x:v>
      </x:c>
      <x:c r="G212" s="100" t="n">
        <x:v>3</x:v>
      </x:c>
      <x:c r="H212" s="100" t="n">
        <x:v>10</x:v>
      </x:c>
      <x:c r="I212" s="100" t="n">
        <x:v>250</x:v>
      </x:c>
      <x:c r="J212" s="100" t="n">
        <x:v>0.08</x:v>
      </x:c>
      <x:c r="K212" s="100" t="n">
        <x:v>0.1033824595557133</x:v>
      </x:c>
      <x:c r="L212" s="100" t="n">
        <x:v>-0.02338245955571334</x:v>
      </x:c>
      <x:c r="M212" s="100" t="n">
        <x:v>20</x:v>
      </x:c>
      <x:c r="N212" s="100" t="n">
        <x:v>0.9961760568513428</x:v>
      </x:c>
      <x:c r="O212" s="101" t="b">
        <x:v>1</x:v>
      </x:c>
      <x:c r="P212" t="str">
        <x:v>/Users/jvidale/Documents/Research/FaultScanR/output/20260722_181326_2487/CI_40353552</x:v>
      </x:c>
    </x:row>
    <x:row r="213">
      <x:c r="A213" t="str">
        <x:v>CI_40353552</x:v>
      </x:c>
      <x:c r="B213" s="99" t="str">
        <x:v>00261</x:v>
      </x:c>
      <x:c r="C213" t="str">
        <x:v>R</x:v>
      </x:c>
      <x:c r="D213" t="str">
        <x:v>R</x:v>
      </x:c>
      <x:c r="E213" t="str">
        <x:v>time shift</x:v>
      </x:c>
      <x:c r="F213" t="str">
        <x:v>S</x:v>
      </x:c>
      <x:c r="G213" s="100" t="n">
        <x:v>3</x:v>
      </x:c>
      <x:c r="H213" s="100" t="n">
        <x:v>10</x:v>
      </x:c>
      <x:c r="I213" s="100" t="n">
        <x:v>250</x:v>
      </x:c>
      <x:c r="J213" s="100" t="n">
        <x:v>0.088</x:v>
      </x:c>
      <x:c r="K213" s="100" t="n">
        <x:v>0.11321583075941</x:v>
      </x:c>
      <x:c r="L213" s="100" t="n">
        <x:v>-0.02521583075941</x:v>
      </x:c>
      <x:c r="M213" s="100" t="n">
        <x:v>22</x:v>
      </x:c>
      <x:c r="N213" s="100" t="n">
        <x:v>0.985275034528456</x:v>
      </x:c>
      <x:c r="O213" s="101" t="b">
        <x:v>1</x:v>
      </x:c>
      <x:c r="P213" t="str">
        <x:v>/Users/jvidale/Documents/Research/FaultScanR/output/20260722_181326_2487/CI_40353552</x:v>
      </x:c>
    </x:row>
    <x:row r="214">
      <x:c r="A214" t="str">
        <x:v>CI_40353552</x:v>
      </x:c>
      <x:c r="B214" s="99" t="str">
        <x:v>00262</x:v>
      </x:c>
      <x:c r="C214" t="str">
        <x:v>R</x:v>
      </x:c>
      <x:c r="D214" t="str">
        <x:v>R</x:v>
      </x:c>
      <x:c r="E214" t="str">
        <x:v>time shift</x:v>
      </x:c>
      <x:c r="F214" t="str">
        <x:v>S</x:v>
      </x:c>
      <x:c r="G214" s="100" t="n">
        <x:v>3</x:v>
      </x:c>
      <x:c r="H214" s="100" t="n">
        <x:v>10</x:v>
      </x:c>
      <x:c r="I214" s="100" t="n">
        <x:v>250</x:v>
      </x:c>
      <x:c r="J214" s="100" t="n">
        <x:v>0.092</x:v>
      </x:c>
      <x:c r="K214" s="100" t="n">
        <x:v>0.1211827332282791</x:v>
      </x:c>
      <x:c r="L214" s="100" t="n">
        <x:v>-0.02918273322827911</x:v>
      </x:c>
      <x:c r="M214" s="100" t="n">
        <x:v>23</x:v>
      </x:c>
      <x:c r="N214" s="100" t="n">
        <x:v>0.9890452028865642</x:v>
      </x:c>
      <x:c r="O214" s="101" t="b">
        <x:v>1</x:v>
      </x:c>
      <x:c r="P214" t="str">
        <x:v>/Users/jvidale/Documents/Research/FaultScanR/output/20260722_181326_2487/CI_40353552</x:v>
      </x:c>
    </x:row>
    <x:row r="215">
      <x:c r="A215" t="str">
        <x:v>CI_40353552</x:v>
      </x:c>
      <x:c r="B215" s="99" t="str">
        <x:v>00263</x:v>
      </x:c>
      <x:c r="C215" t="str">
        <x:v>R</x:v>
      </x:c>
      <x:c r="D215" t="str">
        <x:v>R</x:v>
      </x:c>
      <x:c r="E215" t="str">
        <x:v>time shift</x:v>
      </x:c>
      <x:c r="F215" t="str">
        <x:v>S</x:v>
      </x:c>
      <x:c r="G215" s="100" t="n">
        <x:v>3</x:v>
      </x:c>
      <x:c r="H215" s="100" t="n">
        <x:v>10</x:v>
      </x:c>
      <x:c r="I215" s="100" t="n">
        <x:v>250</x:v>
      </x:c>
      <x:c r="J215" s="100" t="n">
        <x:v>0.104</x:v>
      </x:c>
      <x:c r="K215" s="100" t="n">
        <x:v>0.1298143923749979</x:v>
      </x:c>
      <x:c r="L215" s="100" t="n">
        <x:v>-0.02581439237499793</x:v>
      </x:c>
      <x:c r="M215" s="100" t="n">
        <x:v>26</x:v>
      </x:c>
      <x:c r="N215" s="100" t="n">
        <x:v>0.9723432993212796</x:v>
      </x:c>
      <x:c r="O215" s="101" t="b">
        <x:v>1</x:v>
      </x:c>
      <x:c r="P215" t="str">
        <x:v>/Users/jvidale/Documents/Research/FaultScanR/output/20260722_181326_2487/CI_40353552</x:v>
      </x:c>
    </x:row>
    <x:row r="216">
      <x:c r="A216" t="str">
        <x:v>CI_40353552</x:v>
      </x:c>
      <x:c r="B216" s="99" t="str">
        <x:v>00265</x:v>
      </x:c>
      <x:c r="C216" t="str">
        <x:v>R</x:v>
      </x:c>
      <x:c r="D216" t="str">
        <x:v>R</x:v>
      </x:c>
      <x:c r="E216" t="str">
        <x:v>time shift</x:v>
      </x:c>
      <x:c r="F216" t="str">
        <x:v>S</x:v>
      </x:c>
      <x:c r="G216" s="100" t="n">
        <x:v>3</x:v>
      </x:c>
      <x:c r="H216" s="100" t="n">
        <x:v>10</x:v>
      </x:c>
      <x:c r="I216" s="100" t="n">
        <x:v>250</x:v>
      </x:c>
      <x:c r="J216" s="100" t="n">
        <x:v>0.124</x:v>
      </x:c>
      <x:c r="K216" s="100" t="n">
        <x:v>0.1467796450296603</x:v>
      </x:c>
      <x:c r="L216" s="100" t="n">
        <x:v>-0.02277964502966034</x:v>
      </x:c>
      <x:c r="M216" s="100" t="n">
        <x:v>31</x:v>
      </x:c>
      <x:c r="N216" s="100" t="n">
        <x:v>0.9648630660582169</x:v>
      </x:c>
      <x:c r="O216" s="101" t="b">
        <x:v>1</x:v>
      </x:c>
      <x:c r="P216" t="str">
        <x:v>/Users/jvidale/Documents/Research/FaultScanR/output/20260722_181326_2487/CI_40353552</x:v>
      </x:c>
    </x:row>
    <x:row r="217">
      <x:c r="A217" t="str">
        <x:v>CI_40353552</x:v>
      </x:c>
      <x:c r="B217" s="99" t="str">
        <x:v>00266</x:v>
      </x:c>
      <x:c r="C217" t="str">
        <x:v>R</x:v>
      </x:c>
      <x:c r="D217" t="str">
        <x:v>R</x:v>
      </x:c>
      <x:c r="E217" t="str">
        <x:v>time shift</x:v>
      </x:c>
      <x:c r="F217" t="str">
        <x:v>S</x:v>
      </x:c>
      <x:c r="G217" s="100" t="n">
        <x:v>3</x:v>
      </x:c>
      <x:c r="H217" s="100" t="n">
        <x:v>10</x:v>
      </x:c>
      <x:c r="I217" s="100" t="n">
        <x:v>250</x:v>
      </x:c>
      <x:c r="J217" s="100" t="n">
        <x:v>0.144</x:v>
      </x:c>
      <x:c r="K217" s="100" t="n">
        <x:v>0.1554360993891342</x:v>
      </x:c>
      <x:c r="L217" s="100" t="n">
        <x:v>-0.01143609938913417</x:v>
      </x:c>
      <x:c r="M217" s="100" t="n">
        <x:v>36</x:v>
      </x:c>
      <x:c r="N217" s="100" t="n">
        <x:v>0.8847749921937895</x:v>
      </x:c>
      <x:c r="O217" s="101" t="b">
        <x:v>1</x:v>
      </x:c>
      <x:c r="P217" t="str">
        <x:v>/Users/jvidale/Documents/Research/FaultScanR/output/20260722_181326_2487/CI_40353552</x:v>
      </x:c>
    </x:row>
    <x:row r="218">
      <x:c r="A218" t="str">
        <x:v>CI_40353552</x:v>
      </x:c>
      <x:c r="B218" s="99" t="str">
        <x:v>00267</x:v>
      </x:c>
      <x:c r="C218" t="str">
        <x:v>R</x:v>
      </x:c>
      <x:c r="D218" t="str">
        <x:v>R</x:v>
      </x:c>
      <x:c r="E218" t="str">
        <x:v>time shift</x:v>
      </x:c>
      <x:c r="F218" t="str">
        <x:v>S</x:v>
      </x:c>
      <x:c r="G218" s="100" t="n">
        <x:v>3</x:v>
      </x:c>
      <x:c r="H218" s="100" t="n">
        <x:v>10</x:v>
      </x:c>
      <x:c r="I218" s="100" t="n">
        <x:v>250</x:v>
      </x:c>
      <x:c r="J218" s="100" t="n">
        <x:v>0.152</x:v>
      </x:c>
      <x:c r="K218" s="100" t="n">
        <x:v>0.1647048340490267</x:v>
      </x:c>
      <x:c r="L218" s="100" t="n">
        <x:v>-0.0127048340490267</x:v>
      </x:c>
      <x:c r="M218" s="100" t="n">
        <x:v>38</x:v>
      </x:c>
      <x:c r="N218" s="100" t="n">
        <x:v>0.8997307681013784</x:v>
      </x:c>
      <x:c r="O218" s="101" t="b">
        <x:v>1</x:v>
      </x:c>
      <x:c r="P218" t="str">
        <x:v>/Users/jvidale/Documents/Research/FaultScanR/output/20260722_181326_2487/CI_40353552</x:v>
      </x:c>
    </x:row>
    <x:row r="219">
      <x:c r="A219" t="str">
        <x:v>CI_40353552</x:v>
      </x:c>
      <x:c r="B219" s="99" t="str">
        <x:v>00268</x:v>
      </x:c>
      <x:c r="C219" t="str">
        <x:v>R</x:v>
      </x:c>
      <x:c r="D219" t="str">
        <x:v>R</x:v>
      </x:c>
      <x:c r="E219" t="str">
        <x:v>time shift</x:v>
      </x:c>
      <x:c r="F219" t="str">
        <x:v>S</x:v>
      </x:c>
      <x:c r="G219" s="100" t="n">
        <x:v>3</x:v>
      </x:c>
      <x:c r="H219" s="100" t="n">
        <x:v>10</x:v>
      </x:c>
      <x:c r="I219" s="100" t="n">
        <x:v>250</x:v>
      </x:c>
      <x:c r="J219" s="100" t="n">
        <x:v>0.164</x:v>
      </x:c>
      <x:c r="K219" s="100" t="n">
        <x:v>0.172309340071445</x:v>
      </x:c>
      <x:c r="L219" s="100" t="n">
        <x:v>-0.008309340071445043</x:v>
      </x:c>
      <x:c r="M219" s="100" t="n">
        <x:v>41</x:v>
      </x:c>
      <x:c r="N219" s="100" t="n">
        <x:v>0.9042358838480488</x:v>
      </x:c>
      <x:c r="O219" s="101" t="b">
        <x:v>1</x:v>
      </x:c>
      <x:c r="P219" t="str">
        <x:v>/Users/jvidale/Documents/Research/FaultScanR/output/20260722_181326_2487/CI_40353552</x:v>
      </x:c>
    </x:row>
    <x:row r="220">
      <x:c r="A220" t="str">
        <x:v>CI_40353552</x:v>
      </x:c>
      <x:c r="B220" s="99" t="str">
        <x:v>00269</x:v>
      </x:c>
      <x:c r="C220" t="str">
        <x:v>R</x:v>
      </x:c>
      <x:c r="D220" t="str">
        <x:v>R</x:v>
      </x:c>
      <x:c r="E220" t="str">
        <x:v>time shift</x:v>
      </x:c>
      <x:c r="F220" t="str">
        <x:v>S</x:v>
      </x:c>
      <x:c r="G220" s="100" t="n">
        <x:v>3</x:v>
      </x:c>
      <x:c r="H220" s="100" t="n">
        <x:v>10</x:v>
      </x:c>
      <x:c r="I220" s="100" t="n">
        <x:v>250</x:v>
      </x:c>
      <x:c r="J220" s="100" t="n">
        <x:v>0.168</x:v>
      </x:c>
      <x:c r="K220" s="100" t="n">
        <x:v>0.1824140611405731</x:v>
      </x:c>
      <x:c r="L220" s="100" t="n">
        <x:v>-0.01441406114057311</x:v>
      </x:c>
      <x:c r="M220" s="100" t="n">
        <x:v>42</x:v>
      </x:c>
      <x:c r="N220" s="100" t="n">
        <x:v>0.9389748955323486</x:v>
      </x:c>
      <x:c r="O220" s="101" t="b">
        <x:v>1</x:v>
      </x:c>
      <x:c r="P220" t="str">
        <x:v>/Users/jvidale/Documents/Research/FaultScanR/output/20260722_181326_2487/CI_40353552</x:v>
      </x:c>
    </x:row>
    <x:row r="221">
      <x:c r="A221" t="str">
        <x:v>CI_40353552</x:v>
      </x:c>
      <x:c r="B221" s="99" t="str">
        <x:v>00270</x:v>
      </x:c>
      <x:c r="C221" t="str">
        <x:v>R</x:v>
      </x:c>
      <x:c r="D221" t="str">
        <x:v>R</x:v>
      </x:c>
      <x:c r="E221" t="str">
        <x:v>time shift</x:v>
      </x:c>
      <x:c r="F221" t="str">
        <x:v>S</x:v>
      </x:c>
      <x:c r="G221" s="100" t="n">
        <x:v>3</x:v>
      </x:c>
      <x:c r="H221" s="100" t="n">
        <x:v>10</x:v>
      </x:c>
      <x:c r="I221" s="100" t="n">
        <x:v>250</x:v>
      </x:c>
      <x:c r="J221" s="100" t="n">
        <x:v>0.052</x:v>
      </x:c>
      <x:c r="K221" s="100" t="n">
        <x:v>0.07973306542646341</x:v>
      </x:c>
      <x:c r="L221" s="100" t="n">
        <x:v>-0.02773306542646341</x:v>
      </x:c>
      <x:c r="M221" s="100" t="n">
        <x:v>13</x:v>
      </x:c>
      <x:c r="N221" s="100" t="n">
        <x:v>0.9470736385262702</x:v>
      </x:c>
      <x:c r="O221" s="101" t="b">
        <x:v>1</x:v>
      </x:c>
      <x:c r="P221" t="str">
        <x:v>/Users/jvidale/Documents/Research/FaultScanR/output/20260722_181326_2487/CI_40353552</x:v>
      </x:c>
    </x:row>
    <x:row r="222">
      <x:c r="A222" t="str">
        <x:v>CI_40353552</x:v>
      </x:c>
      <x:c r="B222" s="99" t="str">
        <x:v>00271</x:v>
      </x:c>
      <x:c r="C222" t="str">
        <x:v>R</x:v>
      </x:c>
      <x:c r="D222" t="str">
        <x:v>R</x:v>
      </x:c>
      <x:c r="E222" t="str">
        <x:v>time shift</x:v>
      </x:c>
      <x:c r="F222" t="str">
        <x:v>S</x:v>
      </x:c>
      <x:c r="G222" s="100" t="n">
        <x:v>3</x:v>
      </x:c>
      <x:c r="H222" s="100" t="n">
        <x:v>10</x:v>
      </x:c>
      <x:c r="I222" s="100" t="n">
        <x:v>250</x:v>
      </x:c>
      <x:c r="J222" s="100" t="n">
        <x:v>0.068</x:v>
      </x:c>
      <x:c r="K222" s="100" t="n">
        <x:v>0.08840395916646937</x:v>
      </x:c>
      <x:c r="L222" s="100" t="n">
        <x:v>-0.02040395916646937</x:v>
      </x:c>
      <x:c r="M222" s="100" t="n">
        <x:v>17</x:v>
      </x:c>
      <x:c r="N222" s="100" t="n">
        <x:v>0.9620785980832991</x:v>
      </x:c>
      <x:c r="O222" s="101" t="b">
        <x:v>1</x:v>
      </x:c>
      <x:c r="P222" t="str">
        <x:v>/Users/jvidale/Documents/Research/FaultScanR/output/20260722_181326_2487/CI_40353552</x:v>
      </x:c>
    </x:row>
    <x:row r="223">
      <x:c r="A223" t="str">
        <x:v>CI_40353552</x:v>
      </x:c>
      <x:c r="B223" s="99" t="str">
        <x:v>00272</x:v>
      </x:c>
      <x:c r="C223" t="str">
        <x:v>R</x:v>
      </x:c>
      <x:c r="D223" t="str">
        <x:v>R</x:v>
      </x:c>
      <x:c r="E223" t="str">
        <x:v>time shift</x:v>
      </x:c>
      <x:c r="F223" t="str">
        <x:v>S</x:v>
      </x:c>
      <x:c r="G223" s="100" t="n">
        <x:v>3</x:v>
      </x:c>
      <x:c r="H223" s="100" t="n">
        <x:v>10</x:v>
      </x:c>
      <x:c r="I223" s="100" t="n">
        <x:v>250</x:v>
      </x:c>
      <x:c r="J223" s="100" t="n">
        <x:v>0.072</x:v>
      </x:c>
      <x:c r="K223" s="100" t="n">
        <x:v>0.094981817329864</x:v>
      </x:c>
      <x:c r="L223" s="100" t="n">
        <x:v>-0.022981817329864</x:v>
      </x:c>
      <x:c r="M223" s="100" t="n">
        <x:v>18</x:v>
      </x:c>
      <x:c r="N223" s="100" t="n">
        <x:v>0.9628220392930004</x:v>
      </x:c>
      <x:c r="O223" s="101" t="b">
        <x:v>1</x:v>
      </x:c>
      <x:c r="P223" t="str">
        <x:v>/Users/jvidale/Documents/Research/FaultScanR/output/20260722_181326_2487/CI_40353552</x:v>
      </x:c>
    </x:row>
    <x:row r="224">
      <x:c r="A224" t="str">
        <x:v>CI_40353552</x:v>
      </x:c>
      <x:c r="B224" s="99" t="str">
        <x:v>00273</x:v>
      </x:c>
      <x:c r="C224" t="str">
        <x:v>R</x:v>
      </x:c>
      <x:c r="D224" t="str">
        <x:v>R</x:v>
      </x:c>
      <x:c r="E224" t="str">
        <x:v>time shift</x:v>
      </x:c>
      <x:c r="F224" t="str">
        <x:v>S</x:v>
      </x:c>
      <x:c r="G224" s="100" t="n">
        <x:v>3</x:v>
      </x:c>
      <x:c r="H224" s="100" t="n">
        <x:v>10</x:v>
      </x:c>
      <x:c r="I224" s="100" t="n">
        <x:v>250</x:v>
      </x:c>
      <x:c r="J224" s="100" t="n">
        <x:v>0.08</x:v>
      </x:c>
      <x:c r="K224" s="100" t="n">
        <x:v>0.1027146432078299</x:v>
      </x:c>
      <x:c r="L224" s="100" t="n">
        <x:v>-0.02271464320782986</x:v>
      </x:c>
      <x:c r="M224" s="100" t="n">
        <x:v>20</x:v>
      </x:c>
      <x:c r="N224" s="100" t="n">
        <x:v>0.9176747569438019</x:v>
      </x:c>
      <x:c r="O224" s="101" t="b">
        <x:v>1</x:v>
      </x:c>
      <x:c r="P224" t="str">
        <x:v>/Users/jvidale/Documents/Research/FaultScanR/output/20260722_181326_2487/CI_40353552</x:v>
      </x:c>
    </x:row>
    <x:row r="225">
      <x:c r="A225" t="str">
        <x:v>CI_40353552</x:v>
      </x:c>
      <x:c r="B225" s="99" t="str">
        <x:v>00274</x:v>
      </x:c>
      <x:c r="C225" t="str">
        <x:v>R</x:v>
      </x:c>
      <x:c r="D225" t="str">
        <x:v>R</x:v>
      </x:c>
      <x:c r="E225" t="str">
        <x:v>time shift</x:v>
      </x:c>
      <x:c r="F225" t="str">
        <x:v>S</x:v>
      </x:c>
      <x:c r="G225" s="100" t="n">
        <x:v>3</x:v>
      </x:c>
      <x:c r="H225" s="100" t="n">
        <x:v>10</x:v>
      </x:c>
      <x:c r="I225" s="100" t="n">
        <x:v>250</x:v>
      </x:c>
      <x:c r="J225" s="100" t="n">
        <x:v>0.088</x:v>
      </x:c>
      <x:c r="K225" s="100" t="n">
        <x:v>0.1093830952984467</x:v>
      </x:c>
      <x:c r="L225" s="100" t="n">
        <x:v>-0.0213830952984467</x:v>
      </x:c>
      <x:c r="M225" s="100" t="n">
        <x:v>22</x:v>
      </x:c>
      <x:c r="N225" s="100" t="n">
        <x:v>0.9579055266103446</x:v>
      </x:c>
      <x:c r="O225" s="101" t="b">
        <x:v>1</x:v>
      </x:c>
      <x:c r="P225" t="str">
        <x:v>/Users/jvidale/Documents/Research/FaultScanR/output/20260722_181326_2487/CI_40353552</x:v>
      </x:c>
    </x:row>
    <x:row r="226">
      <x:c r="A226" t="str">
        <x:v>CI_40353552</x:v>
      </x:c>
      <x:c r="B226" s="99" t="str">
        <x:v>00275</x:v>
      </x:c>
      <x:c r="C226" t="str">
        <x:v>R</x:v>
      </x:c>
      <x:c r="D226" t="str">
        <x:v>R</x:v>
      </x:c>
      <x:c r="E226" t="str">
        <x:v>time shift</x:v>
      </x:c>
      <x:c r="F226" t="str">
        <x:v>S</x:v>
      </x:c>
      <x:c r="G226" s="100" t="n">
        <x:v>3</x:v>
      </x:c>
      <x:c r="H226" s="100" t="n">
        <x:v>10</x:v>
      </x:c>
      <x:c r="I226" s="100" t="n">
        <x:v>250</x:v>
      </x:c>
      <x:c r="J226" s="100" t="n">
        <x:v>0.084</x:v>
      </x:c>
      <x:c r="K226" s="100" t="n">
        <x:v>0.1172708363354991</x:v>
      </x:c>
      <x:c r="L226" s="100" t="n">
        <x:v>-0.03327083633549906</x:v>
      </x:c>
      <x:c r="M226" s="100" t="n">
        <x:v>21</x:v>
      </x:c>
      <x:c r="N226" s="100" t="n">
        <x:v>0.9421974555644335</x:v>
      </x:c>
      <x:c r="O226" s="101" t="b">
        <x:v>1</x:v>
      </x:c>
      <x:c r="P226" t="str">
        <x:v>/Users/jvidale/Documents/Research/FaultScanR/output/20260722_181326_2487/CI_40353552</x:v>
      </x:c>
    </x:row>
    <x:row r="227">
      <x:c r="A227" t="str">
        <x:v>CI_40353552</x:v>
      </x:c>
      <x:c r="B227" s="99" t="str">
        <x:v>00276</x:v>
      </x:c>
      <x:c r="C227" t="str">
        <x:v>R</x:v>
      </x:c>
      <x:c r="D227" t="str">
        <x:v>R</x:v>
      </x:c>
      <x:c r="E227" t="str">
        <x:v>time shift</x:v>
      </x:c>
      <x:c r="F227" t="str">
        <x:v>S</x:v>
      </x:c>
      <x:c r="G227" s="100" t="n">
        <x:v>3</x:v>
      </x:c>
      <x:c r="H227" s="100" t="n">
        <x:v>10</x:v>
      </x:c>
      <x:c r="I227" s="100" t="n">
        <x:v>250</x:v>
      </x:c>
      <x:c r="J227" s="100" t="n">
        <x:v>0.096</x:v>
      </x:c>
      <x:c r="K227" s="100" t="n">
        <x:v>0.1256464997214293</x:v>
      </x:c>
      <x:c r="L227" s="100" t="n">
        <x:v>-0.02964649972142927</x:v>
      </x:c>
      <x:c r="M227" s="100" t="n">
        <x:v>24</x:v>
      </x:c>
      <x:c r="N227" s="100" t="n">
        <x:v>0.9885467384857393</x:v>
      </x:c>
      <x:c r="O227" s="101" t="b">
        <x:v>1</x:v>
      </x:c>
      <x:c r="P227" t="str">
        <x:v>/Users/jvidale/Documents/Research/FaultScanR/output/20260722_181326_2487/CI_40353552</x:v>
      </x:c>
    </x:row>
    <x:row r="228">
      <x:c r="A228" t="str">
        <x:v>CI_40353552</x:v>
      </x:c>
      <x:c r="B228" s="99" t="str">
        <x:v>00277</x:v>
      </x:c>
      <x:c r="C228" t="str">
        <x:v>R</x:v>
      </x:c>
      <x:c r="D228" t="str">
        <x:v>R</x:v>
      </x:c>
      <x:c r="E228" t="str">
        <x:v>time shift</x:v>
      </x:c>
      <x:c r="F228" t="str">
        <x:v>S</x:v>
      </x:c>
      <x:c r="G228" s="100" t="n">
        <x:v>3</x:v>
      </x:c>
      <x:c r="H228" s="100" t="n">
        <x:v>10</x:v>
      </x:c>
      <x:c r="I228" s="100" t="n">
        <x:v>250</x:v>
      </x:c>
      <x:c r="J228" s="100" t="n">
        <x:v>0.1</x:v>
      </x:c>
      <x:c r="K228" s="100" t="n">
        <x:v>0.1350993605254827</x:v>
      </x:c>
      <x:c r="L228" s="100" t="n">
        <x:v>-0.03509936052548265</x:v>
      </x:c>
      <x:c r="M228" s="100" t="n">
        <x:v>25</x:v>
      </x:c>
      <x:c r="N228" s="100" t="n">
        <x:v>0.9253500927703594</x:v>
      </x:c>
      <x:c r="O228" s="101" t="b">
        <x:v>1</x:v>
      </x:c>
      <x:c r="P228" t="str">
        <x:v>/Users/jvidale/Documents/Research/FaultScanR/output/20260722_181326_2487/CI_40353552</x:v>
      </x:c>
    </x:row>
    <x:row r="229">
      <x:c r="A229" t="str">
        <x:v>CI_40353552</x:v>
      </x:c>
      <x:c r="B229" s="99" t="str">
        <x:v>00278</x:v>
      </x:c>
      <x:c r="C229" t="str">
        <x:v>R</x:v>
      </x:c>
      <x:c r="D229" t="str">
        <x:v>R</x:v>
      </x:c>
      <x:c r="E229" t="str">
        <x:v>time shift</x:v>
      </x:c>
      <x:c r="F229" t="str">
        <x:v>S</x:v>
      </x:c>
      <x:c r="G229" s="100" t="n">
        <x:v>3</x:v>
      </x:c>
      <x:c r="H229" s="100" t="n">
        <x:v>10</x:v>
      </x:c>
      <x:c r="I229" s="100" t="n">
        <x:v>250</x:v>
      </x:c>
      <x:c r="J229" s="100" t="n">
        <x:v>0.108</x:v>
      </x:c>
      <x:c r="K229" s="100" t="n">
        <x:v>0.1449361560745093</x:v>
      </x:c>
      <x:c r="L229" s="100" t="n">
        <x:v>-0.03693615607450927</x:v>
      </x:c>
      <x:c r="M229" s="100" t="n">
        <x:v>27</x:v>
      </x:c>
      <x:c r="N229" s="100" t="n">
        <x:v>0.9930736254748678</x:v>
      </x:c>
      <x:c r="O229" s="101" t="b">
        <x:v>1</x:v>
      </x:c>
      <x:c r="P229" t="str">
        <x:v>/Users/jvidale/Documents/Research/FaultScanR/output/20260722_181326_2487/CI_40353552</x:v>
      </x:c>
    </x:row>
    <x:row r="230">
      <x:c r="A230" t="str">
        <x:v>CI_40353552</x:v>
      </x:c>
      <x:c r="B230" s="99" t="str">
        <x:v>00279</x:v>
      </x:c>
      <x:c r="C230" t="str">
        <x:v>R</x:v>
      </x:c>
      <x:c r="D230" t="str">
        <x:v>R</x:v>
      </x:c>
      <x:c r="E230" t="str">
        <x:v>time shift</x:v>
      </x:c>
      <x:c r="F230" t="str">
        <x:v>S</x:v>
      </x:c>
      <x:c r="G230" s="100" t="n">
        <x:v>3</x:v>
      </x:c>
      <x:c r="H230" s="100" t="n">
        <x:v>10</x:v>
      </x:c>
      <x:c r="I230" s="100" t="n">
        <x:v>250</x:v>
      </x:c>
      <x:c r="J230" s="100" t="n">
        <x:v>0.116</x:v>
      </x:c>
      <x:c r="K230" s="100" t="n">
        <x:v>0.1502151791541193</x:v>
      </x:c>
      <x:c r="L230" s="100" t="n">
        <x:v>-0.0342151791541193</x:v>
      </x:c>
      <x:c r="M230" s="100" t="n">
        <x:v>29</x:v>
      </x:c>
      <x:c r="N230" s="100" t="n">
        <x:v>0.9849639204690681</x:v>
      </x:c>
      <x:c r="O230" s="101" t="b">
        <x:v>1</x:v>
      </x:c>
      <x:c r="P230" t="str">
        <x:v>/Users/jvidale/Documents/Research/FaultScanR/output/20260722_181326_2487/CI_40353552</x:v>
      </x:c>
    </x:row>
    <x:row r="231">
      <x:c r="A231" t="str">
        <x:v>CI_40353552</x:v>
      </x:c>
      <x:c r="B231" s="99" t="str">
        <x:v>00281</x:v>
      </x:c>
      <x:c r="C231" t="str">
        <x:v>R</x:v>
      </x:c>
      <x:c r="D231" t="str">
        <x:v>R</x:v>
      </x:c>
      <x:c r="E231" t="str">
        <x:v>time shift</x:v>
      </x:c>
      <x:c r="F231" t="str">
        <x:v>S</x:v>
      </x:c>
      <x:c r="G231" s="100" t="n">
        <x:v>3</x:v>
      </x:c>
      <x:c r="H231" s="100" t="n">
        <x:v>10</x:v>
      </x:c>
      <x:c r="I231" s="100" t="n">
        <x:v>250</x:v>
      </x:c>
      <x:c r="J231" s="100" t="n">
        <x:v>0.148</x:v>
      </x:c>
      <x:c r="K231" s="100" t="n">
        <x:v>0.167340971794296</x:v>
      </x:c>
      <x:c r="L231" s="100" t="n">
        <x:v>-0.01934097179429597</x:v>
      </x:c>
      <x:c r="M231" s="100" t="n">
        <x:v>37</x:v>
      </x:c>
      <x:c r="N231" s="100" t="n">
        <x:v>0.9514094433664161</x:v>
      </x:c>
      <x:c r="O231" s="101" t="b">
        <x:v>1</x:v>
      </x:c>
      <x:c r="P231" t="str">
        <x:v>/Users/jvidale/Documents/Research/FaultScanR/output/20260722_181326_2487/CI_40353552</x:v>
      </x:c>
    </x:row>
    <x:row r="232">
      <x:c r="A232" t="str">
        <x:v>CI_40353552</x:v>
      </x:c>
      <x:c r="B232" s="99" t="str">
        <x:v>00282</x:v>
      </x:c>
      <x:c r="C232" t="str">
        <x:v>R</x:v>
      </x:c>
      <x:c r="D232" t="str">
        <x:v>R</x:v>
      </x:c>
      <x:c r="E232" t="str">
        <x:v>time shift</x:v>
      </x:c>
      <x:c r="F232" t="str">
        <x:v>S</x:v>
      </x:c>
      <x:c r="G232" s="100" t="n">
        <x:v>3</x:v>
      </x:c>
      <x:c r="H232" s="100" t="n">
        <x:v>10</x:v>
      </x:c>
      <x:c r="I232" s="100" t="n">
        <x:v>250</x:v>
      </x:c>
      <x:c r="J232" s="100" t="n">
        <x:v>0.156</x:v>
      </x:c>
      <x:c r="K232" s="100" t="n">
        <x:v>0.1786510706127622</x:v>
      </x:c>
      <x:c r="L232" s="100" t="n">
        <x:v>-0.0226510706127622</x:v>
      </x:c>
      <x:c r="M232" s="100" t="n">
        <x:v>39</x:v>
      </x:c>
      <x:c r="N232" s="100" t="n">
        <x:v>0.909503090187063</x:v>
      </x:c>
      <x:c r="O232" s="101" t="b">
        <x:v>1</x:v>
      </x:c>
      <x:c r="P232" t="str">
        <x:v>/Users/jvidale/Documents/Research/FaultScanR/output/20260722_181326_2487/CI_40353552</x:v>
      </x:c>
    </x:row>
    <x:row r="233">
      <x:c r="A233" t="str">
        <x:v>CI_40353552</x:v>
      </x:c>
      <x:c r="B233" s="99" t="str">
        <x:v>00283</x:v>
      </x:c>
      <x:c r="C233" t="str">
        <x:v>R</x:v>
      </x:c>
      <x:c r="D233" t="str">
        <x:v>R</x:v>
      </x:c>
      <x:c r="E233" t="str">
        <x:v>time shift</x:v>
      </x:c>
      <x:c r="F233" t="str">
        <x:v>S</x:v>
      </x:c>
      <x:c r="G233" s="100" t="n">
        <x:v>3</x:v>
      </x:c>
      <x:c r="H233" s="100" t="n">
        <x:v>10</x:v>
      </x:c>
      <x:c r="I233" s="100" t="n">
        <x:v>250</x:v>
      </x:c>
      <x:c r="J233" s="100" t="n">
        <x:v>0.164</x:v>
      </x:c>
      <x:c r="K233" s="100" t="n">
        <x:v>0.1853741188452043</x:v>
      </x:c>
      <x:c r="L233" s="100" t="n">
        <x:v>-0.02137411884520427</x:v>
      </x:c>
      <x:c r="M233" s="100" t="n">
        <x:v>41</x:v>
      </x:c>
      <x:c r="N233" s="100" t="n">
        <x:v>0.9350563641716986</x:v>
      </x:c>
      <x:c r="O233" s="101" t="b">
        <x:v>1</x:v>
      </x:c>
      <x:c r="P233" t="str">
        <x:v>/Users/jvidale/Documents/Research/FaultScanR/output/20260722_181326_2487/CI_40353552</x:v>
      </x:c>
    </x:row>
    <x:row r="234">
      <x:c r="A234" t="str">
        <x:v>CI_40353552</x:v>
      </x:c>
      <x:c r="B234" s="99" t="str">
        <x:v>00284</x:v>
      </x:c>
      <x:c r="C234" t="str">
        <x:v>R</x:v>
      </x:c>
      <x:c r="D234" t="str">
        <x:v>R</x:v>
      </x:c>
      <x:c r="E234" t="str">
        <x:v>time shift</x:v>
      </x:c>
      <x:c r="F234" t="str">
        <x:v>S</x:v>
      </x:c>
      <x:c r="G234" s="100" t="n">
        <x:v>3</x:v>
      </x:c>
      <x:c r="H234" s="100" t="n">
        <x:v>10</x:v>
      </x:c>
      <x:c r="I234" s="100" t="n">
        <x:v>250</x:v>
      </x:c>
      <x:c r="J234" s="100" t="n">
        <x:v>0.184</x:v>
      </x:c>
      <x:c r="K234" s="100" t="n">
        <x:v>0.1964997901143688</x:v>
      </x:c>
      <x:c r="L234" s="100" t="n">
        <x:v>-0.0124997901143688</x:v>
      </x:c>
      <x:c r="M234" s="100" t="n">
        <x:v>46</x:v>
      </x:c>
      <x:c r="N234" s="100" t="n">
        <x:v>0.8876948858560036</x:v>
      </x:c>
      <x:c r="O234" s="101" t="b">
        <x:v>1</x:v>
      </x:c>
      <x:c r="P234" t="str">
        <x:v>/Users/jvidale/Documents/Research/FaultScanR/output/20260722_181326_2487/CI_40353552</x:v>
      </x:c>
    </x:row>
    <x:row r="235">
      <x:c r="A235" t="str">
        <x:v>CI_40353552</x:v>
      </x:c>
      <x:c r="B235" s="99" t="str">
        <x:v>00285</x:v>
      </x:c>
      <x:c r="C235" t="str">
        <x:v>R</x:v>
      </x:c>
      <x:c r="D235" t="str">
        <x:v>R</x:v>
      </x:c>
      <x:c r="E235" t="str">
        <x:v>time shift</x:v>
      </x:c>
      <x:c r="F235" t="str">
        <x:v>S</x:v>
      </x:c>
      <x:c r="G235" s="100" t="n">
        <x:v>3</x:v>
      </x:c>
      <x:c r="H235" s="100" t="n">
        <x:v>10</x:v>
      </x:c>
      <x:c r="I235" s="100" t="n">
        <x:v>250</x:v>
      </x:c>
      <x:c r="J235" s="100" t="n">
        <x:v>0.18</x:v>
      </x:c>
      <x:c r="K235" s="100" t="n">
        <x:v>0.2054618818768903</x:v>
      </x:c>
      <x:c r="L235" s="100" t="n">
        <x:v>-0.0254618818768903</x:v>
      </x:c>
      <x:c r="M235" s="100" t="n">
        <x:v>45</x:v>
      </x:c>
      <x:c r="N235" s="100" t="n">
        <x:v>0.9281735894524376</x:v>
      </x:c>
      <x:c r="O235" s="101" t="b">
        <x:v>1</x:v>
      </x:c>
      <x:c r="P235" t="str">
        <x:v>/Users/jvidale/Documents/Research/FaultScanR/output/20260722_181326_2487/CI_40353552</x:v>
      </x:c>
    </x:row>
    <x:row r="236">
      <x:c r="A236" t="str">
        <x:v>CI_40353552</x:v>
      </x:c>
      <x:c r="B236" s="99" t="str">
        <x:v>00286</x:v>
      </x:c>
      <x:c r="C236" t="str">
        <x:v>R</x:v>
      </x:c>
      <x:c r="D236" t="str">
        <x:v>R</x:v>
      </x:c>
      <x:c r="E236" t="str">
        <x:v>time shift</x:v>
      </x:c>
      <x:c r="F236" t="str">
        <x:v>S</x:v>
      </x:c>
      <x:c r="G236" s="100" t="n">
        <x:v>3</x:v>
      </x:c>
      <x:c r="H236" s="100" t="n">
        <x:v>10</x:v>
      </x:c>
      <x:c r="I236" s="100" t="n">
        <x:v>250</x:v>
      </x:c>
      <x:c r="J236" s="100" t="n">
        <x:v>0.072</x:v>
      </x:c>
      <x:c r="K236" s="100" t="n">
        <x:v>0.1035394256037065</x:v>
      </x:c>
      <x:c r="L236" s="100" t="n">
        <x:v>-0.03153942560370655</x:v>
      </x:c>
      <x:c r="M236" s="100" t="n">
        <x:v>18</x:v>
      </x:c>
      <x:c r="N236" s="100" t="n">
        <x:v>0.9695462393743619</x:v>
      </x:c>
      <x:c r="O236" s="101" t="b">
        <x:v>1</x:v>
      </x:c>
      <x:c r="P236" t="str">
        <x:v>/Users/jvidale/Documents/Research/FaultScanR/output/20260722_181326_2487/CI_40353552</x:v>
      </x:c>
    </x:row>
    <x:row r="237">
      <x:c r="A237" t="str">
        <x:v>CI_40353552</x:v>
      </x:c>
      <x:c r="B237" s="99" t="str">
        <x:v>00287</x:v>
      </x:c>
      <x:c r="C237" t="str">
        <x:v>R</x:v>
      </x:c>
      <x:c r="D237" t="str">
        <x:v>R</x:v>
      </x:c>
      <x:c r="E237" t="str">
        <x:v>time shift</x:v>
      </x:c>
      <x:c r="F237" t="str">
        <x:v>S</x:v>
      </x:c>
      <x:c r="G237" s="100" t="n">
        <x:v>3</x:v>
      </x:c>
      <x:c r="H237" s="100" t="n">
        <x:v>10</x:v>
      </x:c>
      <x:c r="I237" s="100" t="n">
        <x:v>250</x:v>
      </x:c>
      <x:c r="J237" s="100" t="n">
        <x:v>0.084</x:v>
      </x:c>
      <x:c r="K237" s="100" t="n">
        <x:v>0.1086551626098187</x:v>
      </x:c>
      <x:c r="L237" s="100" t="n">
        <x:v>-0.02465516260981866</x:v>
      </x:c>
      <x:c r="M237" s="100" t="n">
        <x:v>21</x:v>
      </x:c>
      <x:c r="N237" s="100" t="n">
        <x:v>0.9638756857489487</x:v>
      </x:c>
      <x:c r="O237" s="101" t="b">
        <x:v>1</x:v>
      </x:c>
      <x:c r="P237" t="str">
        <x:v>/Users/jvidale/Documents/Research/FaultScanR/output/20260722_181326_2487/CI_40353552</x:v>
      </x:c>
    </x:row>
    <x:row r="238">
      <x:c r="A238" t="str">
        <x:v>CI_40353552</x:v>
      </x:c>
      <x:c r="B238" s="99" t="str">
        <x:v>00288</x:v>
      </x:c>
      <x:c r="C238" t="str">
        <x:v>R</x:v>
      </x:c>
      <x:c r="D238" t="str">
        <x:v>R</x:v>
      </x:c>
      <x:c r="E238" t="str">
        <x:v>time shift</x:v>
      </x:c>
      <x:c r="F238" t="str">
        <x:v>S</x:v>
      </x:c>
      <x:c r="G238" s="100" t="n">
        <x:v>3</x:v>
      </x:c>
      <x:c r="H238" s="100" t="n">
        <x:v>10</x:v>
      </x:c>
      <x:c r="I238" s="100" t="n">
        <x:v>250</x:v>
      </x:c>
      <x:c r="J238" s="100" t="n">
        <x:v>0.088</x:v>
      </x:c>
      <x:c r="K238" s="100" t="n">
        <x:v>0.1155386165796806</x:v>
      </x:c>
      <x:c r="L238" s="100" t="n">
        <x:v>-0.02753861657968057</x:v>
      </x:c>
      <x:c r="M238" s="100" t="n">
        <x:v>22</x:v>
      </x:c>
      <x:c r="N238" s="100" t="n">
        <x:v>0.9632139792272122</x:v>
      </x:c>
      <x:c r="O238" s="101" t="b">
        <x:v>1</x:v>
      </x:c>
      <x:c r="P238" t="str">
        <x:v>/Users/jvidale/Documents/Research/FaultScanR/output/20260722_181326_2487/CI_40353552</x:v>
      </x:c>
    </x:row>
    <x:row r="239">
      <x:c r="A239" t="str">
        <x:v>CI_40353552</x:v>
      </x:c>
      <x:c r="B239" s="99" t="str">
        <x:v>00289</x:v>
      </x:c>
      <x:c r="C239" t="str">
        <x:v>R</x:v>
      </x:c>
      <x:c r="D239" t="str">
        <x:v>R</x:v>
      </x:c>
      <x:c r="E239" t="str">
        <x:v>time shift</x:v>
      </x:c>
      <x:c r="F239" t="str">
        <x:v>S</x:v>
      </x:c>
      <x:c r="G239" s="100" t="n">
        <x:v>3</x:v>
      </x:c>
      <x:c r="H239" s="100" t="n">
        <x:v>10</x:v>
      </x:c>
      <x:c r="I239" s="100" t="n">
        <x:v>250</x:v>
      </x:c>
      <x:c r="J239" s="100" t="n">
        <x:v>0.1</x:v>
      </x:c>
      <x:c r="K239" s="100" t="n">
        <x:v>0.1258556313150301</x:v>
      </x:c>
      <x:c r="L239" s="100" t="n">
        <x:v>-0.02585563131503008</x:v>
      </x:c>
      <x:c r="M239" s="100" t="n">
        <x:v>25</x:v>
      </x:c>
      <x:c r="N239" s="100" t="n">
        <x:v>0.8822064632892734</x:v>
      </x:c>
      <x:c r="O239" s="101" t="b">
        <x:v>1</x:v>
      </x:c>
      <x:c r="P239" t="str">
        <x:v>/Users/jvidale/Documents/Research/FaultScanR/output/20260722_181326_2487/CI_40353552</x:v>
      </x:c>
    </x:row>
    <x:row r="240">
      <x:c r="A240" t="str">
        <x:v>CI_40353552</x:v>
      </x:c>
      <x:c r="B240" s="99" t="str">
        <x:v>00290</x:v>
      </x:c>
      <x:c r="C240" t="str">
        <x:v>R</x:v>
      </x:c>
      <x:c r="D240" t="str">
        <x:v>R</x:v>
      </x:c>
      <x:c r="E240" t="str">
        <x:v>time shift</x:v>
      </x:c>
      <x:c r="F240" t="str">
        <x:v>S</x:v>
      </x:c>
      <x:c r="G240" s="100" t="n">
        <x:v>3</x:v>
      </x:c>
      <x:c r="H240" s="100" t="n">
        <x:v>10</x:v>
      </x:c>
      <x:c r="I240" s="100" t="n">
        <x:v>250</x:v>
      </x:c>
      <x:c r="J240" s="100" t="n">
        <x:v>0.108</x:v>
      </x:c>
      <x:c r="K240" s="100" t="n">
        <x:v>0.1326855625541157</x:v>
      </x:c>
      <x:c r="L240" s="100" t="n">
        <x:v>-0.02468556255411568</x:v>
      </x:c>
      <x:c r="M240" s="100" t="n">
        <x:v>27</x:v>
      </x:c>
      <x:c r="N240" s="100" t="n">
        <x:v>0.9849270970454814</x:v>
      </x:c>
      <x:c r="O240" s="101" t="b">
        <x:v>1</x:v>
      </x:c>
      <x:c r="P240" t="str">
        <x:v>/Users/jvidale/Documents/Research/FaultScanR/output/20260722_181326_2487/CI_40353552</x:v>
      </x:c>
    </x:row>
    <x:row r="241">
      <x:c r="A241" t="str">
        <x:v>CI_40353552</x:v>
      </x:c>
      <x:c r="B241" s="99" t="str">
        <x:v>00291</x:v>
      </x:c>
      <x:c r="C241" t="str">
        <x:v>R</x:v>
      </x:c>
      <x:c r="D241" t="str">
        <x:v>R</x:v>
      </x:c>
      <x:c r="E241" t="str">
        <x:v>time shift</x:v>
      </x:c>
      <x:c r="F241" t="str">
        <x:v>S</x:v>
      </x:c>
      <x:c r="G241" s="100" t="n">
        <x:v>3</x:v>
      </x:c>
      <x:c r="H241" s="100" t="n">
        <x:v>10</x:v>
      </x:c>
      <x:c r="I241" s="100" t="n">
        <x:v>250</x:v>
      </x:c>
      <x:c r="J241" s="100" t="n">
        <x:v>0.12</x:v>
      </x:c>
      <x:c r="K241" s="100" t="n">
        <x:v>0.1415107363999422</x:v>
      </x:c>
      <x:c r="L241" s="100" t="n">
        <x:v>-0.02151073639994217</x:v>
      </x:c>
      <x:c r="M241" s="100" t="n">
        <x:v>30</x:v>
      </x:c>
      <x:c r="N241" s="100" t="n">
        <x:v>0.983705878123162</x:v>
      </x:c>
      <x:c r="O241" s="101" t="b">
        <x:v>1</x:v>
      </x:c>
      <x:c r="P241" t="str">
        <x:v>/Users/jvidale/Documents/Research/FaultScanR/output/20260722_181326_2487/CI_40353552</x:v>
      </x:c>
    </x:row>
    <x:row r="242">
      <x:c r="A242" t="str">
        <x:v>CI_40353552</x:v>
      </x:c>
      <x:c r="B242" s="99" t="str">
        <x:v>00292</x:v>
      </x:c>
      <x:c r="C242" t="str">
        <x:v>R</x:v>
      </x:c>
      <x:c r="D242" t="str">
        <x:v>R</x:v>
      </x:c>
      <x:c r="E242" t="str">
        <x:v>time shift</x:v>
      </x:c>
      <x:c r="F242" t="str">
        <x:v>S</x:v>
      </x:c>
      <x:c r="G242" s="100" t="n">
        <x:v>3</x:v>
      </x:c>
      <x:c r="H242" s="100" t="n">
        <x:v>10</x:v>
      </x:c>
      <x:c r="I242" s="100" t="n">
        <x:v>250</x:v>
      </x:c>
      <x:c r="J242" s="100" t="n">
        <x:v>0.124</x:v>
      </x:c>
      <x:c r="K242" s="100" t="n">
        <x:v>0.1479981690429097</x:v>
      </x:c>
      <x:c r="L242" s="100" t="n">
        <x:v>-0.02399816904290974</x:v>
      </x:c>
      <x:c r="M242" s="100" t="n">
        <x:v>31</x:v>
      </x:c>
      <x:c r="N242" s="100" t="n">
        <x:v>0.9484806915868204</x:v>
      </x:c>
      <x:c r="O242" s="101" t="b">
        <x:v>1</x:v>
      </x:c>
      <x:c r="P242" t="str">
        <x:v>/Users/jvidale/Documents/Research/FaultScanR/output/20260722_181326_2487/CI_40353552</x:v>
      </x:c>
    </x:row>
    <x:row r="243">
      <x:c r="A243" t="str">
        <x:v>CI_40353552</x:v>
      </x:c>
      <x:c r="B243" s="99" t="str">
        <x:v>00293</x:v>
      </x:c>
      <x:c r="C243" t="str">
        <x:v>R</x:v>
      </x:c>
      <x:c r="D243" t="str">
        <x:v>R</x:v>
      </x:c>
      <x:c r="E243" t="str">
        <x:v>time shift</x:v>
      </x:c>
      <x:c r="F243" t="str">
        <x:v>S</x:v>
      </x:c>
      <x:c r="G243" s="100" t="n">
        <x:v>3</x:v>
      </x:c>
      <x:c r="H243" s="100" t="n">
        <x:v>10</x:v>
      </x:c>
      <x:c r="I243" s="100" t="n">
        <x:v>250</x:v>
      </x:c>
      <x:c r="J243" s="100" t="n">
        <x:v>0.116</x:v>
      </x:c>
      <x:c r="K243" s="100" t="n">
        <x:v>0.1576057366504724</x:v>
      </x:c>
      <x:c r="L243" s="100" t="n">
        <x:v>-0.04160573665047239</x:v>
      </x:c>
      <x:c r="M243" s="100" t="n">
        <x:v>29</x:v>
      </x:c>
      <x:c r="N243" s="100" t="n">
        <x:v>0.9288255247491949</x:v>
      </x:c>
      <x:c r="O243" s="101" t="b">
        <x:v>1</x:v>
      </x:c>
      <x:c r="P243" t="str">
        <x:v>/Users/jvidale/Documents/Research/FaultScanR/output/20260722_181326_2487/CI_40353552</x:v>
      </x:c>
    </x:row>
    <x:row r="244">
      <x:c r="A244" t="str">
        <x:v>CI_40353552</x:v>
      </x:c>
      <x:c r="B244" s="99" t="str">
        <x:v>00294</x:v>
      </x:c>
      <x:c r="C244" t="str">
        <x:v>R</x:v>
      </x:c>
      <x:c r="D244" t="str">
        <x:v>R</x:v>
      </x:c>
      <x:c r="E244" t="str">
        <x:v>time shift</x:v>
      </x:c>
      <x:c r="F244" t="str">
        <x:v>S</x:v>
      </x:c>
      <x:c r="G244" s="100" t="n">
        <x:v>3</x:v>
      </x:c>
      <x:c r="H244" s="100" t="n">
        <x:v>10</x:v>
      </x:c>
      <x:c r="I244" s="100" t="n">
        <x:v>250</x:v>
      </x:c>
      <x:c r="J244" s="100" t="n">
        <x:v>0.132</x:v>
      </x:c>
      <x:c r="K244" s="100" t="n">
        <x:v>0.165491062365561</x:v>
      </x:c>
      <x:c r="L244" s="100" t="n">
        <x:v>-0.03349106236556099</x:v>
      </x:c>
      <x:c r="M244" s="100" t="n">
        <x:v>33</x:v>
      </x:c>
      <x:c r="N244" s="100" t="n">
        <x:v>0.9708838492740192</x:v>
      </x:c>
      <x:c r="O244" s="101" t="b">
        <x:v>1</x:v>
      </x:c>
      <x:c r="P244" t="str">
        <x:v>/Users/jvidale/Documents/Research/FaultScanR/output/20260722_181326_2487/CI_40353552</x:v>
      </x:c>
    </x:row>
    <x:row r="245">
      <x:c r="A245" t="str">
        <x:v>CI_40353552</x:v>
      </x:c>
      <x:c r="B245" s="99" t="str">
        <x:v>00295</x:v>
      </x:c>
      <x:c r="C245" t="str">
        <x:v>R</x:v>
      </x:c>
      <x:c r="D245" t="str">
        <x:v>R</x:v>
      </x:c>
      <x:c r="E245" t="str">
        <x:v>time shift</x:v>
      </x:c>
      <x:c r="F245" t="str">
        <x:v>S</x:v>
      </x:c>
      <x:c r="G245" s="100" t="n">
        <x:v>3</x:v>
      </x:c>
      <x:c r="H245" s="100" t="n">
        <x:v>10</x:v>
      </x:c>
      <x:c r="I245" s="100" t="n">
        <x:v>250</x:v>
      </x:c>
      <x:c r="J245" s="100" t="n">
        <x:v>0.148</x:v>
      </x:c>
      <x:c r="K245" s="100" t="n">
        <x:v>0.1759933038776849</x:v>
      </x:c>
      <x:c r="L245" s="100" t="n">
        <x:v>-0.02799330387768487</x:v>
      </x:c>
      <x:c r="M245" s="100" t="n">
        <x:v>37</x:v>
      </x:c>
      <x:c r="N245" s="100" t="n">
        <x:v>0.9888635671740379</x:v>
      </x:c>
      <x:c r="O245" s="101" t="b">
        <x:v>1</x:v>
      </x:c>
      <x:c r="P245" t="str">
        <x:v>/Users/jvidale/Documents/Research/FaultScanR/output/20260722_181326_2487/CI_40353552</x:v>
      </x:c>
    </x:row>
    <x:row r="246">
      <x:c r="A246" t="str">
        <x:v>CI_40353552</x:v>
      </x:c>
      <x:c r="B246" s="99" t="str">
        <x:v>00297</x:v>
      </x:c>
      <x:c r="C246" t="str">
        <x:v>R</x:v>
      </x:c>
      <x:c r="D246" t="str">
        <x:v>R</x:v>
      </x:c>
      <x:c r="E246" t="str">
        <x:v>time shift</x:v>
      </x:c>
      <x:c r="F246" t="str">
        <x:v>S</x:v>
      </x:c>
      <x:c r="G246" s="100" t="n">
        <x:v>3</x:v>
      </x:c>
      <x:c r="H246" s="100" t="n">
        <x:v>10</x:v>
      </x:c>
      <x:c r="I246" s="100" t="n">
        <x:v>250</x:v>
      </x:c>
      <x:c r="J246" s="100" t="n">
        <x:v>0.164</x:v>
      </x:c>
      <x:c r="K246" s="100" t="n">
        <x:v>0.1931365414110031</x:v>
      </x:c>
      <x:c r="L246" s="100" t="n">
        <x:v>-0.02913654141100311</x:v>
      </x:c>
      <x:c r="M246" s="100" t="n">
        <x:v>41</x:v>
      </x:c>
      <x:c r="N246" s="100" t="n">
        <x:v>0.9285507524752303</x:v>
      </x:c>
      <x:c r="O246" s="101" t="b">
        <x:v>1</x:v>
      </x:c>
      <x:c r="P246" t="str">
        <x:v>/Users/jvidale/Documents/Research/FaultScanR/output/20260722_181326_2487/CI_40353552</x:v>
      </x:c>
    </x:row>
    <x:row r="247">
      <x:c r="A247" t="str">
        <x:v>CI_40353552</x:v>
      </x:c>
      <x:c r="B247" s="99" t="str">
        <x:v>00298</x:v>
      </x:c>
      <x:c r="C247" t="str">
        <x:v>R</x:v>
      </x:c>
      <x:c r="D247" t="str">
        <x:v>R</x:v>
      </x:c>
      <x:c r="E247" t="str">
        <x:v>time shift</x:v>
      </x:c>
      <x:c r="F247" t="str">
        <x:v>S</x:v>
      </x:c>
      <x:c r="G247" s="100" t="n">
        <x:v>3</x:v>
      </x:c>
      <x:c r="H247" s="100" t="n">
        <x:v>10</x:v>
      </x:c>
      <x:c r="I247" s="100" t="n">
        <x:v>250</x:v>
      </x:c>
      <x:c r="J247" s="100" t="n">
        <x:v>0.176</x:v>
      </x:c>
      <x:c r="K247" s="100" t="n">
        <x:v>0.1987389462890441</x:v>
      </x:c>
      <x:c r="L247" s="100" t="n">
        <x:v>-0.0227389462890441</x:v>
      </x:c>
      <x:c r="M247" s="100" t="n">
        <x:v>44</x:v>
      </x:c>
      <x:c r="N247" s="100" t="n">
        <x:v>0.9200202320692683</x:v>
      </x:c>
      <x:c r="O247" s="101" t="b">
        <x:v>1</x:v>
      </x:c>
      <x:c r="P247" t="str">
        <x:v>/Users/jvidale/Documents/Research/FaultScanR/output/20260722_181326_2487/CI_40353552</x:v>
      </x:c>
    </x:row>
    <x:row r="248">
      <x:c r="A248" t="str">
        <x:v>CI_40353552</x:v>
      </x:c>
      <x:c r="B248" s="99" t="str">
        <x:v>00299</x:v>
      </x:c>
      <x:c r="C248" t="str">
        <x:v>R</x:v>
      </x:c>
      <x:c r="D248" t="str">
        <x:v>R</x:v>
      </x:c>
      <x:c r="E248" t="str">
        <x:v>time shift</x:v>
      </x:c>
      <x:c r="F248" t="str">
        <x:v>S</x:v>
      </x:c>
      <x:c r="G248" s="100" t="n">
        <x:v>3</x:v>
      </x:c>
      <x:c r="H248" s="100" t="n">
        <x:v>10</x:v>
      </x:c>
      <x:c r="I248" s="100" t="n">
        <x:v>250</x:v>
      </x:c>
      <x:c r="J248" s="100" t="n">
        <x:v>0.184</x:v>
      </x:c>
      <x:c r="K248" s="100" t="n">
        <x:v>0.2103511122896862</x:v>
      </x:c>
      <x:c r="L248" s="100" t="n">
        <x:v>-0.02635111228968617</x:v>
      </x:c>
      <x:c r="M248" s="100" t="n">
        <x:v>46</x:v>
      </x:c>
      <x:c r="N248" s="100" t="n">
        <x:v>0.9479890964975854</x:v>
      </x:c>
      <x:c r="O248" s="101" t="b">
        <x:v>1</x:v>
      </x:c>
      <x:c r="P248" t="str">
        <x:v>/Users/jvidale/Documents/Research/FaultScanR/output/20260722_181326_2487/CI_40353552</x:v>
      </x:c>
    </x:row>
    <x:row r="249">
      <x:c r="A249" t="str">
        <x:v>CI_40353552</x:v>
      </x:c>
      <x:c r="B249" s="99" t="str">
        <x:v>00300</x:v>
      </x:c>
      <x:c r="C249" t="str">
        <x:v>R</x:v>
      </x:c>
      <x:c r="D249" t="str">
        <x:v>R</x:v>
      </x:c>
      <x:c r="E249" t="str">
        <x:v>time shift</x:v>
      </x:c>
      <x:c r="F249" t="str">
        <x:v>S</x:v>
      </x:c>
      <x:c r="G249" s="100" t="n">
        <x:v>3</x:v>
      </x:c>
      <x:c r="H249" s="100" t="n">
        <x:v>10</x:v>
      </x:c>
      <x:c r="I249" s="100" t="n">
        <x:v>250</x:v>
      </x:c>
      <x:c r="J249" s="100" t="n">
        <x:v>0.196</x:v>
      </x:c>
      <x:c r="K249" s="100" t="n">
        <x:v>0.2185384941603212</x:v>
      </x:c>
      <x:c r="L249" s="100" t="n">
        <x:v>-0.02253849416032122</x:v>
      </x:c>
      <x:c r="M249" s="100" t="n">
        <x:v>49</x:v>
      </x:c>
      <x:c r="N249" s="100" t="n">
        <x:v>0.9169947766904518</x:v>
      </x:c>
      <x:c r="O249" s="101" t="b">
        <x:v>1</x:v>
      </x:c>
      <x:c r="P249" t="str">
        <x:v>/Users/jvidale/Documents/Research/FaultScanR/output/20260722_181326_2487/CI_40353552</x:v>
      </x:c>
    </x:row>
    <x:row r="250">
      <x:c r="A250" t="str">
        <x:v>CI_40353552</x:v>
      </x:c>
      <x:c r="B250" s="99" t="str">
        <x:v>00301</x:v>
      </x:c>
      <x:c r="C250" t="str">
        <x:v>R</x:v>
      </x:c>
      <x:c r="D250" t="str">
        <x:v>R</x:v>
      </x:c>
      <x:c r="E250" t="str">
        <x:v>time shift</x:v>
      </x:c>
      <x:c r="F250" t="str">
        <x:v>S</x:v>
      </x:c>
      <x:c r="G250" s="100" t="n">
        <x:v>3</x:v>
      </x:c>
      <x:c r="H250" s="100" t="n">
        <x:v>10</x:v>
      </x:c>
      <x:c r="I250" s="100" t="n">
        <x:v>250</x:v>
      </x:c>
      <x:c r="J250" s="100" t="n">
        <x:v>0.2</x:v>
      </x:c>
      <x:c r="K250" s="100" t="n">
        <x:v>0.2257409342570886</x:v>
      </x:c>
      <x:c r="L250" s="100" t="n">
        <x:v>-0.02574093425708862</x:v>
      </x:c>
      <x:c r="M250" s="100" t="n">
        <x:v>50</x:v>
      </x:c>
      <x:c r="N250" s="100" t="n">
        <x:v>0.9391439975739871</x:v>
      </x:c>
      <x:c r="O250" s="101" t="b">
        <x:v>1</x:v>
      </x:c>
      <x:c r="P250" t="str">
        <x:v>/Users/jvidale/Documents/Research/FaultScanR/output/20260722_181326_2487/CI_40353552</x:v>
      </x:c>
    </x:row>
    <x:row r="251">
      <x:c r="A251" t="str">
        <x:v>CI_40353552</x:v>
      </x:c>
      <x:c r="B251" s="99" t="str">
        <x:v>00302</x:v>
      </x:c>
      <x:c r="C251" t="str">
        <x:v>R</x:v>
      </x:c>
      <x:c r="D251" t="str">
        <x:v>R</x:v>
      </x:c>
      <x:c r="E251" t="str">
        <x:v>time shift</x:v>
      </x:c>
      <x:c r="F251" t="str">
        <x:v>S</x:v>
      </x:c>
      <x:c r="G251" s="100" t="n">
        <x:v>3</x:v>
      </x:c>
      <x:c r="H251" s="100" t="n">
        <x:v>10</x:v>
      </x:c>
      <x:c r="I251" s="100" t="n">
        <x:v>250</x:v>
      </x:c>
      <x:c r="J251" s="100" t="n">
        <x:v>0.096</x:v>
      </x:c>
      <x:c r="K251" s="100" t="n">
        <x:v>0.1244417388069721</x:v>
      </x:c>
      <x:c r="L251" s="100" t="n">
        <x:v>-0.02844173880697207</x:v>
      </x:c>
      <x:c r="M251" s="100" t="n">
        <x:v>24</x:v>
      </x:c>
      <x:c r="N251" s="100" t="n">
        <x:v>0.9793993763340876</x:v>
      </x:c>
      <x:c r="O251" s="101" t="b">
        <x:v>1</x:v>
      </x:c>
      <x:c r="P251" t="str">
        <x:v>/Users/jvidale/Documents/Research/FaultScanR/output/20260722_181326_2487/CI_40353552</x:v>
      </x:c>
    </x:row>
    <x:row r="252">
      <x:c r="A252" t="str">
        <x:v>CI_40353552</x:v>
      </x:c>
      <x:c r="B252" s="99" t="str">
        <x:v>00304</x:v>
      </x:c>
      <x:c r="C252" t="str">
        <x:v>R</x:v>
      </x:c>
      <x:c r="D252" t="str">
        <x:v>R</x:v>
      </x:c>
      <x:c r="E252" t="str">
        <x:v>time shift</x:v>
      </x:c>
      <x:c r="F252" t="str">
        <x:v>S</x:v>
      </x:c>
      <x:c r="G252" s="100" t="n">
        <x:v>3</x:v>
      </x:c>
      <x:c r="H252" s="100" t="n">
        <x:v>10</x:v>
      </x:c>
      <x:c r="I252" s="100" t="n">
        <x:v>250</x:v>
      </x:c>
      <x:c r="J252" s="100" t="n">
        <x:v>0.112</x:v>
      </x:c>
      <x:c r="K252" s="100" t="n">
        <x:v>0.1407428920537477</x:v>
      </x:c>
      <x:c r="L252" s="100" t="n">
        <x:v>-0.02874289205374768</x:v>
      </x:c>
      <x:c r="M252" s="100" t="n">
        <x:v>28</x:v>
      </x:c>
      <x:c r="N252" s="100" t="n">
        <x:v>0.9367047164034458</x:v>
      </x:c>
      <x:c r="O252" s="101" t="b">
        <x:v>1</x:v>
      </x:c>
      <x:c r="P252" t="str">
        <x:v>/Users/jvidale/Documents/Research/FaultScanR/output/20260722_181326_2487/CI_40353552</x:v>
      </x:c>
    </x:row>
    <x:row r="253">
      <x:c r="A253" t="str">
        <x:v>CI_40353552</x:v>
      </x:c>
      <x:c r="B253" s="99" t="str">
        <x:v>00305</x:v>
      </x:c>
      <x:c r="C253" t="str">
        <x:v>R</x:v>
      </x:c>
      <x:c r="D253" t="str">
        <x:v>R</x:v>
      </x:c>
      <x:c r="E253" t="str">
        <x:v>time shift</x:v>
      </x:c>
      <x:c r="F253" t="str">
        <x:v>S</x:v>
      </x:c>
      <x:c r="G253" s="100" t="n">
        <x:v>3</x:v>
      </x:c>
      <x:c r="H253" s="100" t="n">
        <x:v>10</x:v>
      </x:c>
      <x:c r="I253" s="100" t="n">
        <x:v>250</x:v>
      </x:c>
      <x:c r="J253" s="100" t="n">
        <x:v>0.12</x:v>
      </x:c>
      <x:c r="K253" s="100" t="n">
        <x:v>0.1484134785440707</x:v>
      </x:c>
      <x:c r="L253" s="100" t="n">
        <x:v>-0.02841347854407072</x:v>
      </x:c>
      <x:c r="M253" s="100" t="n">
        <x:v>30</x:v>
      </x:c>
      <x:c r="N253" s="100" t="n">
        <x:v>0.9299630108411163</x:v>
      </x:c>
      <x:c r="O253" s="101" t="b">
        <x:v>1</x:v>
      </x:c>
      <x:c r="P253" t="str">
        <x:v>/Users/jvidale/Documents/Research/FaultScanR/output/20260722_181326_2487/CI_40353552</x:v>
      </x:c>
    </x:row>
    <x:row r="254">
      <x:c r="A254" t="str">
        <x:v>CI_40353552</x:v>
      </x:c>
      <x:c r="B254" s="99" t="str">
        <x:v>00306</x:v>
      </x:c>
      <x:c r="C254" t="str">
        <x:v>R</x:v>
      </x:c>
      <x:c r="D254" t="str">
        <x:v>R</x:v>
      </x:c>
      <x:c r="E254" t="str">
        <x:v>time shift</x:v>
      </x:c>
      <x:c r="F254" t="str">
        <x:v>S</x:v>
      </x:c>
      <x:c r="G254" s="100" t="n">
        <x:v>3</x:v>
      </x:c>
      <x:c r="H254" s="100" t="n">
        <x:v>10</x:v>
      </x:c>
      <x:c r="I254" s="100" t="n">
        <x:v>250</x:v>
      </x:c>
      <x:c r="J254" s="100" t="n">
        <x:v>0.132</x:v>
      </x:c>
      <x:c r="K254" s="100" t="n">
        <x:v>0.1555519647502752</x:v>
      </x:c>
      <x:c r="L254" s="100" t="n">
        <x:v>-0.02355196475027521</x:v>
      </x:c>
      <x:c r="M254" s="100" t="n">
        <x:v>33</x:v>
      </x:c>
      <x:c r="N254" s="100" t="n">
        <x:v>0.9842475615458759</x:v>
      </x:c>
      <x:c r="O254" s="101" t="b">
        <x:v>1</x:v>
      </x:c>
      <x:c r="P254" t="str">
        <x:v>/Users/jvidale/Documents/Research/FaultScanR/output/20260722_181326_2487/CI_40353552</x:v>
      </x:c>
    </x:row>
    <x:row r="255">
      <x:c r="A255" t="str">
        <x:v>CI_40353552</x:v>
      </x:c>
      <x:c r="B255" s="99" t="str">
        <x:v>00307</x:v>
      </x:c>
      <x:c r="C255" t="str">
        <x:v>R</x:v>
      </x:c>
      <x:c r="D255" t="str">
        <x:v>R</x:v>
      </x:c>
      <x:c r="E255" t="str">
        <x:v>time shift</x:v>
      </x:c>
      <x:c r="F255" t="str">
        <x:v>S</x:v>
      </x:c>
      <x:c r="G255" s="100" t="n">
        <x:v>3</x:v>
      </x:c>
      <x:c r="H255" s="100" t="n">
        <x:v>10</x:v>
      </x:c>
      <x:c r="I255" s="100" t="n">
        <x:v>250</x:v>
      </x:c>
      <x:c r="J255" s="100" t="n">
        <x:v>0.136</x:v>
      </x:c>
      <x:c r="K255" s="100" t="n">
        <x:v>0.1640585728300437</x:v>
      </x:c>
      <x:c r="L255" s="100" t="n">
        <x:v>-0.02805857283004365</x:v>
      </x:c>
      <x:c r="M255" s="100" t="n">
        <x:v>34</x:v>
      </x:c>
      <x:c r="N255" s="100" t="n">
        <x:v>0.9553038513790657</x:v>
      </x:c>
      <x:c r="O255" s="101" t="b">
        <x:v>1</x:v>
      </x:c>
      <x:c r="P255" t="str">
        <x:v>/Users/jvidale/Documents/Research/FaultScanR/output/20260722_181326_2487/CI_40353552</x:v>
      </x:c>
    </x:row>
    <x:row r="256">
      <x:c r="A256" t="str">
        <x:v>CI_40353552</x:v>
      </x:c>
      <x:c r="B256" s="99" t="str">
        <x:v>00308</x:v>
      </x:c>
      <x:c r="C256" t="str">
        <x:v>R</x:v>
      </x:c>
      <x:c r="D256" t="str">
        <x:v>R</x:v>
      </x:c>
      <x:c r="E256" t="str">
        <x:v>time shift</x:v>
      </x:c>
      <x:c r="F256" t="str">
        <x:v>S</x:v>
      </x:c>
      <x:c r="G256" s="100" t="n">
        <x:v>3</x:v>
      </x:c>
      <x:c r="H256" s="100" t="n">
        <x:v>10</x:v>
      </x:c>
      <x:c r="I256" s="100" t="n">
        <x:v>250</x:v>
      </x:c>
      <x:c r="J256" s="100" t="n">
        <x:v>0.144</x:v>
      </x:c>
      <x:c r="K256" s="100" t="n">
        <x:v>0.1713900579094174</x:v>
      </x:c>
      <x:c r="L256" s="100" t="n">
        <x:v>-0.02739005790941743</x:v>
      </x:c>
      <x:c r="M256" s="100" t="n">
        <x:v>36</x:v>
      </x:c>
      <x:c r="N256" s="100" t="n">
        <x:v>0.9661799013462268</x:v>
      </x:c>
      <x:c r="O256" s="101" t="b">
        <x:v>1</x:v>
      </x:c>
      <x:c r="P256" t="str">
        <x:v>/Users/jvidale/Documents/Research/FaultScanR/output/20260722_181326_2487/CI_40353552</x:v>
      </x:c>
    </x:row>
    <x:row r="257">
      <x:c r="A257" t="str">
        <x:v>CI_40353552</x:v>
      </x:c>
      <x:c r="B257" s="99" t="str">
        <x:v>00309</x:v>
      </x:c>
      <x:c r="C257" t="str">
        <x:v>R</x:v>
      </x:c>
      <x:c r="D257" t="str">
        <x:v>R</x:v>
      </x:c>
      <x:c r="E257" t="str">
        <x:v>time shift</x:v>
      </x:c>
      <x:c r="F257" t="str">
        <x:v>S</x:v>
      </x:c>
      <x:c r="G257" s="100" t="n">
        <x:v>3</x:v>
      </x:c>
      <x:c r="H257" s="100" t="n">
        <x:v>10</x:v>
      </x:c>
      <x:c r="I257" s="100" t="n">
        <x:v>250</x:v>
      </x:c>
      <x:c r="J257" s="100" t="n">
        <x:v>0.144</x:v>
      </x:c>
      <x:c r="K257" s="100" t="n">
        <x:v>0.1802188061584946</x:v>
      </x:c>
      <x:c r="L257" s="100" t="n">
        <x:v>-0.03621880615849463</x:v>
      </x:c>
      <x:c r="M257" s="100" t="n">
        <x:v>36</x:v>
      </x:c>
      <x:c r="N257" s="100" t="n">
        <x:v>0.9657953922504657</x:v>
      </x:c>
      <x:c r="O257" s="101" t="b">
        <x:v>1</x:v>
      </x:c>
      <x:c r="P257" t="str">
        <x:v>/Users/jvidale/Documents/Research/FaultScanR/output/20260722_181326_2487/CI_40353552</x:v>
      </x:c>
    </x:row>
    <x:row r="258">
      <x:c r="A258" t="str">
        <x:v>CI_40353552</x:v>
      </x:c>
      <x:c r="B258" s="99" t="str">
        <x:v>00310</x:v>
      </x:c>
      <x:c r="C258" t="str">
        <x:v>R</x:v>
      </x:c>
      <x:c r="D258" t="str">
        <x:v>R</x:v>
      </x:c>
      <x:c r="E258" t="str">
        <x:v>time shift</x:v>
      </x:c>
      <x:c r="F258" t="str">
        <x:v>S</x:v>
      </x:c>
      <x:c r="G258" s="100" t="n">
        <x:v>3</x:v>
      </x:c>
      <x:c r="H258" s="100" t="n">
        <x:v>10</x:v>
      </x:c>
      <x:c r="I258" s="100" t="n">
        <x:v>250</x:v>
      </x:c>
      <x:c r="J258" s="100" t="n">
        <x:v>0.156</x:v>
      </x:c>
      <x:c r="K258" s="100" t="n">
        <x:v>0.1876614539807093</x:v>
      </x:c>
      <x:c r="L258" s="100" t="n">
        <x:v>-0.03166145398070933</x:v>
      </x:c>
      <x:c r="M258" s="100" t="n">
        <x:v>39</x:v>
      </x:c>
      <x:c r="N258" s="100" t="n">
        <x:v>0.9945929341160968</x:v>
      </x:c>
      <x:c r="O258" s="101" t="b">
        <x:v>1</x:v>
      </x:c>
      <x:c r="P258" t="str">
        <x:v>/Users/jvidale/Documents/Research/FaultScanR/output/20260722_181326_2487/CI_40353552</x:v>
      </x:c>
    </x:row>
    <x:row r="259">
      <x:c r="A259" t="str">
        <x:v>CI_40353552</x:v>
      </x:c>
      <x:c r="B259" s="99" t="str">
        <x:v>00311</x:v>
      </x:c>
      <x:c r="C259" t="str">
        <x:v>R</x:v>
      </x:c>
      <x:c r="D259" t="str">
        <x:v>R</x:v>
      </x:c>
      <x:c r="E259" t="str">
        <x:v>time shift</x:v>
      </x:c>
      <x:c r="F259" t="str">
        <x:v>S</x:v>
      </x:c>
      <x:c r="G259" s="100" t="n">
        <x:v>3</x:v>
      </x:c>
      <x:c r="H259" s="100" t="n">
        <x:v>10</x:v>
      </x:c>
      <x:c r="I259" s="100" t="n">
        <x:v>250</x:v>
      </x:c>
      <x:c r="J259" s="100" t="n">
        <x:v>0.156</x:v>
      </x:c>
      <x:c r="K259" s="100" t="n">
        <x:v>0.1931850482449615</x:v>
      </x:c>
      <x:c r="L259" s="100" t="n">
        <x:v>-0.03718504824496152</x:v>
      </x:c>
      <x:c r="M259" s="100" t="n">
        <x:v>39</x:v>
      </x:c>
      <x:c r="N259" s="100" t="n">
        <x:v>0.9877930105593674</x:v>
      </x:c>
      <x:c r="O259" s="101" t="b">
        <x:v>1</x:v>
      </x:c>
      <x:c r="P259" t="str">
        <x:v>/Users/jvidale/Documents/Research/FaultScanR/output/20260722_181326_2487/CI_40353552</x:v>
      </x:c>
    </x:row>
    <x:row r="260">
      <x:c r="A260" t="str">
        <x:v>CI_40353552</x:v>
      </x:c>
      <x:c r="B260" s="99" t="str">
        <x:v>00313</x:v>
      </x:c>
      <x:c r="C260" t="str">
        <x:v>R</x:v>
      </x:c>
      <x:c r="D260" t="str">
        <x:v>R</x:v>
      </x:c>
      <x:c r="E260" t="str">
        <x:v>time shift</x:v>
      </x:c>
      <x:c r="F260" t="str">
        <x:v>S</x:v>
      </x:c>
      <x:c r="G260" s="100" t="n">
        <x:v>3</x:v>
      </x:c>
      <x:c r="H260" s="100" t="n">
        <x:v>10</x:v>
      </x:c>
      <x:c r="I260" s="100" t="n">
        <x:v>250</x:v>
      </x:c>
      <x:c r="J260" s="100" t="n">
        <x:v>0.192</x:v>
      </x:c>
      <x:c r="K260" s="100" t="n">
        <x:v>0.21486871833552</x:v>
      </x:c>
      <x:c r="L260" s="100" t="n">
        <x:v>-0.02286871833552001</x:v>
      </x:c>
      <x:c r="M260" s="100" t="n">
        <x:v>48</x:v>
      </x:c>
      <x:c r="N260" s="100" t="n">
        <x:v>0.9497486485737994</x:v>
      </x:c>
      <x:c r="O260" s="101" t="b">
        <x:v>1</x:v>
      </x:c>
      <x:c r="P260" t="str">
        <x:v>/Users/jvidale/Documents/Research/FaultScanR/output/20260722_181326_2487/CI_40353552</x:v>
      </x:c>
    </x:row>
    <x:row r="261">
      <x:c r="A261" t="str">
        <x:v>CI_40353552</x:v>
      </x:c>
      <x:c r="B261" s="99" t="str">
        <x:v>00314</x:v>
      </x:c>
      <x:c r="C261" t="str">
        <x:v>R</x:v>
      </x:c>
      <x:c r="D261" t="str">
        <x:v>R</x:v>
      </x:c>
      <x:c r="E261" t="str">
        <x:v>time shift</x:v>
      </x:c>
      <x:c r="F261" t="str">
        <x:v>S</x:v>
      </x:c>
      <x:c r="G261" s="100" t="n">
        <x:v>3</x:v>
      </x:c>
      <x:c r="H261" s="100" t="n">
        <x:v>10</x:v>
      </x:c>
      <x:c r="I261" s="100" t="n">
        <x:v>250</x:v>
      </x:c>
      <x:c r="J261" s="100" t="n">
        <x:v>0.196</x:v>
      </x:c>
      <x:c r="K261" s="100" t="n">
        <x:v>0.2221460715588925</x:v>
      </x:c>
      <x:c r="L261" s="100" t="n">
        <x:v>-0.02614607155889254</x:v>
      </x:c>
      <x:c r="M261" s="100" t="n">
        <x:v>49</x:v>
      </x:c>
      <x:c r="N261" s="100" t="n">
        <x:v>0.9604458161783775</x:v>
      </x:c>
      <x:c r="O261" s="101" t="b">
        <x:v>1</x:v>
      </x:c>
      <x:c r="P261" t="str">
        <x:v>/Users/jvidale/Documents/Research/FaultScanR/output/20260722_181326_2487/CI_40353552</x:v>
      </x:c>
    </x:row>
    <x:row r="262">
      <x:c r="A262" t="str">
        <x:v>CI_40353552</x:v>
      </x:c>
      <x:c r="B262" s="99" t="str">
        <x:v>00315</x:v>
      </x:c>
      <x:c r="C262" t="str">
        <x:v>R</x:v>
      </x:c>
      <x:c r="D262" t="str">
        <x:v>R</x:v>
      </x:c>
      <x:c r="E262" t="str">
        <x:v>time shift</x:v>
      </x:c>
      <x:c r="F262" t="str">
        <x:v>S</x:v>
      </x:c>
      <x:c r="G262" s="100" t="n">
        <x:v>3</x:v>
      </x:c>
      <x:c r="H262" s="100" t="n">
        <x:v>10</x:v>
      </x:c>
      <x:c r="I262" s="100" t="n">
        <x:v>250</x:v>
      </x:c>
      <x:c r="J262" s="100" t="n">
        <x:v>0.2</x:v>
      </x:c>
      <x:c r="K262" s="100" t="n">
        <x:v>0.2302851796598393</x:v>
      </x:c>
      <x:c r="L262" s="100" t="n">
        <x:v>-0.03028517965983929</x:v>
      </x:c>
      <x:c r="M262" s="100" t="n">
        <x:v>50</x:v>
      </x:c>
      <x:c r="N262" s="100" t="n">
        <x:v>0.9908899770987375</x:v>
      </x:c>
      <x:c r="O262" s="101" t="b">
        <x:v>1</x:v>
      </x:c>
      <x:c r="P262" t="str">
        <x:v>/Users/jvidale/Documents/Research/FaultScanR/output/20260722_181326_2487/CI_40353552</x:v>
      </x:c>
    </x:row>
    <x:row r="263">
      <x:c r="A263" t="str">
        <x:v>CI_40353552</x:v>
      </x:c>
      <x:c r="B263" s="99" t="str">
        <x:v>00316</x:v>
      </x:c>
      <x:c r="C263" t="str">
        <x:v>R</x:v>
      </x:c>
      <x:c r="D263" t="str">
        <x:v>R</x:v>
      </x:c>
      <x:c r="E263" t="str">
        <x:v>time shift</x:v>
      </x:c>
      <x:c r="F263" t="str">
        <x:v>S</x:v>
      </x:c>
      <x:c r="G263" s="100" t="n">
        <x:v>3</x:v>
      </x:c>
      <x:c r="H263" s="100" t="n">
        <x:v>10</x:v>
      </x:c>
      <x:c r="I263" s="100" t="n">
        <x:v>250</x:v>
      </x:c>
      <x:c r="J263" s="100" t="n">
        <x:v>0.216</x:v>
      </x:c>
      <x:c r="K263" s="100" t="n">
        <x:v>0.241130893687421</x:v>
      </x:c>
      <x:c r="L263" s="100" t="n">
        <x:v>-0.02513089368742102</x:v>
      </x:c>
      <x:c r="M263" s="100" t="n">
        <x:v>54</x:v>
      </x:c>
      <x:c r="N263" s="100" t="n">
        <x:v>0.958173705516339</x:v>
      </x:c>
      <x:c r="O263" s="101" t="b">
        <x:v>1</x:v>
      </x:c>
      <x:c r="P263" t="str">
        <x:v>/Users/jvidale/Documents/Research/FaultScanR/output/20260722_181326_2487/CI_40353552</x:v>
      </x:c>
    </x:row>
    <x:row r="264">
      <x:c r="A264" t="str">
        <x:v>CI_40353552</x:v>
      </x:c>
      <x:c r="B264" s="99" t="str">
        <x:v>00317</x:v>
      </x:c>
      <x:c r="C264" t="str">
        <x:v>R</x:v>
      </x:c>
      <x:c r="D264" t="str">
        <x:v>R</x:v>
      </x:c>
      <x:c r="E264" t="str">
        <x:v>time shift</x:v>
      </x:c>
      <x:c r="F264" t="str">
        <x:v>S</x:v>
      </x:c>
      <x:c r="G264" s="100" t="n">
        <x:v>3</x:v>
      </x:c>
      <x:c r="H264" s="100" t="n">
        <x:v>10</x:v>
      </x:c>
      <x:c r="I264" s="100" t="n">
        <x:v>250</x:v>
      </x:c>
      <x:c r="J264" s="100" t="n">
        <x:v>0.224</x:v>
      </x:c>
      <x:c r="K264" s="100" t="n">
        <x:v>0.2509861109420557</x:v>
      </x:c>
      <x:c r="L264" s="100" t="n">
        <x:v>-0.02698611094205569</x:v>
      </x:c>
      <x:c r="M264" s="100" t="n">
        <x:v>56</x:v>
      </x:c>
      <x:c r="N264" s="100" t="n">
        <x:v>0.9373176949184584</x:v>
      </x:c>
      <x:c r="O264" s="101" t="b">
        <x:v>1</x:v>
      </x:c>
      <x:c r="P264" t="str">
        <x:v>/Users/jvidale/Documents/Research/FaultScanR/output/20260722_181326_2487/CI_40353552</x:v>
      </x:c>
    </x:row>
    <x:row r="265">
      <x:c r="A265" t="str">
        <x:v>CI_40353552</x:v>
      </x:c>
      <x:c r="B265" s="99" t="str">
        <x:v>00318</x:v>
      </x:c>
      <x:c r="C265" t="str">
        <x:v>R</x:v>
      </x:c>
      <x:c r="D265" t="str">
        <x:v>R</x:v>
      </x:c>
      <x:c r="E265" t="str">
        <x:v>time shift</x:v>
      </x:c>
      <x:c r="F265" t="str">
        <x:v>S</x:v>
      </x:c>
      <x:c r="G265" s="100" t="n">
        <x:v>3</x:v>
      </x:c>
      <x:c r="H265" s="100" t="n">
        <x:v>10</x:v>
      </x:c>
      <x:c r="I265" s="100" t="n">
        <x:v>250</x:v>
      </x:c>
      <x:c r="J265" s="100" t="n">
        <x:v>0.12</x:v>
      </x:c>
      <x:c r="K265" s="100" t="n">
        <x:v>0.1477536982211758</x:v>
      </x:c>
      <x:c r="L265" s="100" t="n">
        <x:v>-0.02775369822117579</x:v>
      </x:c>
      <x:c r="M265" s="100" t="n">
        <x:v>30</x:v>
      </x:c>
      <x:c r="N265" s="100" t="n">
        <x:v>0.9517868045532947</x:v>
      </x:c>
      <x:c r="O265" s="101" t="b">
        <x:v>1</x:v>
      </x:c>
      <x:c r="P265" t="str">
        <x:v>/Users/jvidale/Documents/Research/FaultScanR/output/20260722_181326_2487/CI_40353552</x:v>
      </x:c>
    </x:row>
    <x:row r="266">
      <x:c r="A266" t="str">
        <x:v>CI_40353552</x:v>
      </x:c>
      <x:c r="B266" s="99" t="str">
        <x:v>00319</x:v>
      </x:c>
      <x:c r="C266" t="str">
        <x:v>R</x:v>
      </x:c>
      <x:c r="D266" t="str">
        <x:v>R</x:v>
      </x:c>
      <x:c r="E266" t="str">
        <x:v>time shift</x:v>
      </x:c>
      <x:c r="F266" t="str">
        <x:v>S</x:v>
      </x:c>
      <x:c r="G266" s="100" t="n">
        <x:v>3</x:v>
      </x:c>
      <x:c r="H266" s="100" t="n">
        <x:v>10</x:v>
      </x:c>
      <x:c r="I266" s="100" t="n">
        <x:v>250</x:v>
      </x:c>
      <x:c r="J266" s="100" t="n">
        <x:v>0.148</x:v>
      </x:c>
      <x:c r="K266" s="100" t="n">
        <x:v>0.1556524284427869</x:v>
      </x:c>
      <x:c r="L266" s="100" t="n">
        <x:v>-0.007652428442786935</x:v>
      </x:c>
      <x:c r="M266" s="100" t="n">
        <x:v>37</x:v>
      </x:c>
      <x:c r="N266" s="100" t="n">
        <x:v>0.9720601475938009</x:v>
      </x:c>
      <x:c r="O266" s="101" t="b">
        <x:v>1</x:v>
      </x:c>
      <x:c r="P266" t="str">
        <x:v>/Users/jvidale/Documents/Research/FaultScanR/output/20260722_181326_2487/CI_40353552</x:v>
      </x:c>
    </x:row>
    <x:row r="267">
      <x:c r="A267" t="str">
        <x:v>CI_40353552</x:v>
      </x:c>
      <x:c r="B267" s="99" t="str">
        <x:v>00320</x:v>
      </x:c>
      <x:c r="C267" t="str">
        <x:v>R</x:v>
      </x:c>
      <x:c r="D267" t="str">
        <x:v>R</x:v>
      </x:c>
      <x:c r="E267" t="str">
        <x:v>time shift</x:v>
      </x:c>
      <x:c r="F267" t="str">
        <x:v>S</x:v>
      </x:c>
      <x:c r="G267" s="100" t="n">
        <x:v>3</x:v>
      </x:c>
      <x:c r="H267" s="100" t="n">
        <x:v>10</x:v>
      </x:c>
      <x:c r="I267" s="100" t="n">
        <x:v>250</x:v>
      </x:c>
      <x:c r="J267" s="100" t="n">
        <x:v>0.156</x:v>
      </x:c>
      <x:c r="K267" s="100" t="n">
        <x:v>0.162410499812216</x:v>
      </x:c>
      <x:c r="L267" s="100" t="n">
        <x:v>-0.006410499812216003</x:v>
      </x:c>
      <x:c r="M267" s="100" t="n">
        <x:v>39</x:v>
      </x:c>
      <x:c r="N267" s="100" t="n">
        <x:v>0.953191525385019</x:v>
      </x:c>
      <x:c r="O267" s="101" t="b">
        <x:v>1</x:v>
      </x:c>
      <x:c r="P267" t="str">
        <x:v>/Users/jvidale/Documents/Research/FaultScanR/output/20260722_181326_2487/CI_40353552</x:v>
      </x:c>
    </x:row>
    <x:row r="268">
      <x:c r="A268" t="str">
        <x:v>CI_40353552</x:v>
      </x:c>
      <x:c r="B268" s="99" t="str">
        <x:v>00321</x:v>
      </x:c>
      <x:c r="C268" t="str">
        <x:v>R</x:v>
      </x:c>
      <x:c r="D268" t="str">
        <x:v>R</x:v>
      </x:c>
      <x:c r="E268" t="str">
        <x:v>time shift</x:v>
      </x:c>
      <x:c r="F268" t="str">
        <x:v>S</x:v>
      </x:c>
      <x:c r="G268" s="100" t="n">
        <x:v>3</x:v>
      </x:c>
      <x:c r="H268" s="100" t="n">
        <x:v>10</x:v>
      </x:c>
      <x:c r="I268" s="100" t="n">
        <x:v>250</x:v>
      </x:c>
      <x:c r="J268" s="100" t="n">
        <x:v>0.164</x:v>
      </x:c>
      <x:c r="K268" s="100" t="n">
        <x:v>0.1707439271295739</x:v>
      </x:c>
      <x:c r="L268" s="100" t="n">
        <x:v>-0.006743927129573862</x:v>
      </x:c>
      <x:c r="M268" s="100" t="n">
        <x:v>41</x:v>
      </x:c>
      <x:c r="N268" s="100" t="n">
        <x:v>0.9140803560803825</x:v>
      </x:c>
      <x:c r="O268" s="101" t="b">
        <x:v>1</x:v>
      </x:c>
      <x:c r="P268" t="str">
        <x:v>/Users/jvidale/Documents/Research/FaultScanR/output/20260722_181326_2487/CI_40353552</x:v>
      </x:c>
    </x:row>
    <x:row r="269">
      <x:c r="A269" t="str">
        <x:v>CI_40353552</x:v>
      </x:c>
      <x:c r="B269" s="99" t="str">
        <x:v>00322</x:v>
      </x:c>
      <x:c r="C269" t="str">
        <x:v>R</x:v>
      </x:c>
      <x:c r="D269" t="str">
        <x:v>R</x:v>
      </x:c>
      <x:c r="E269" t="str">
        <x:v>time shift</x:v>
      </x:c>
      <x:c r="F269" t="str">
        <x:v>S</x:v>
      </x:c>
      <x:c r="G269" s="100" t="n">
        <x:v>3</x:v>
      </x:c>
      <x:c r="H269" s="100" t="n">
        <x:v>10</x:v>
      </x:c>
      <x:c r="I269" s="100" t="n">
        <x:v>250</x:v>
      </x:c>
      <x:c r="J269" s="100" t="n">
        <x:v>0.156</x:v>
      </x:c>
      <x:c r="K269" s="100" t="n">
        <x:v>0.1785103485255375</x:v>
      </x:c>
      <x:c r="L269" s="100" t="n">
        <x:v>-0.02251034852553749</x:v>
      </x:c>
      <x:c r="M269" s="100" t="n">
        <x:v>39</x:v>
      </x:c>
      <x:c r="N269" s="100" t="n">
        <x:v>0.9342344108402245</x:v>
      </x:c>
      <x:c r="O269" s="101" t="b">
        <x:v>1</x:v>
      </x:c>
      <x:c r="P269" t="str">
        <x:v>/Users/jvidale/Documents/Research/FaultScanR/output/20260722_181326_2487/CI_40353552</x:v>
      </x:c>
    </x:row>
    <x:row r="270">
      <x:c r="A270" t="str">
        <x:v>CI_40353552</x:v>
      </x:c>
      <x:c r="B270" s="99" t="str">
        <x:v>00323</x:v>
      </x:c>
      <x:c r="C270" t="str">
        <x:v>R</x:v>
      </x:c>
      <x:c r="D270" t="str">
        <x:v>R</x:v>
      </x:c>
      <x:c r="E270" t="str">
        <x:v>time shift</x:v>
      </x:c>
      <x:c r="F270" t="str">
        <x:v>S</x:v>
      </x:c>
      <x:c r="G270" s="100" t="n">
        <x:v>3</x:v>
      </x:c>
      <x:c r="H270" s="100" t="n">
        <x:v>10</x:v>
      </x:c>
      <x:c r="I270" s="100" t="n">
        <x:v>250</x:v>
      </x:c>
      <x:c r="J270" s="100" t="n">
        <x:v>0.152</x:v>
      </x:c>
      <x:c r="K270" s="100" t="n">
        <x:v>0.183659728904308</x:v>
      </x:c>
      <x:c r="L270" s="100" t="n">
        <x:v>-0.03165972890430804</x:v>
      </x:c>
      <x:c r="M270" s="100" t="n">
        <x:v>38</x:v>
      </x:c>
      <x:c r="N270" s="100" t="n">
        <x:v>0.9747229632186853</x:v>
      </x:c>
      <x:c r="O270" s="101" t="b">
        <x:v>1</x:v>
      </x:c>
      <x:c r="P270" t="str">
        <x:v>/Users/jvidale/Documents/Research/FaultScanR/output/20260722_181326_2487/CI_40353552</x:v>
      </x:c>
    </x:row>
    <x:row r="271">
      <x:c r="A271" t="str">
        <x:v>CI_40353552</x:v>
      </x:c>
      <x:c r="B271" s="99" t="str">
        <x:v>00324</x:v>
      </x:c>
      <x:c r="C271" t="str">
        <x:v>R</x:v>
      </x:c>
      <x:c r="D271" t="str">
        <x:v>R</x:v>
      </x:c>
      <x:c r="E271" t="str">
        <x:v>time shift</x:v>
      </x:c>
      <x:c r="F271" t="str">
        <x:v>S</x:v>
      </x:c>
      <x:c r="G271" s="100" t="n">
        <x:v>3</x:v>
      </x:c>
      <x:c r="H271" s="100" t="n">
        <x:v>10</x:v>
      </x:c>
      <x:c r="I271" s="100" t="n">
        <x:v>250</x:v>
      </x:c>
      <x:c r="J271" s="100" t="n">
        <x:v>0.16</x:v>
      </x:c>
      <x:c r="K271" s="100" t="n">
        <x:v>0.1963312030983673</x:v>
      </x:c>
      <x:c r="L271" s="100" t="n">
        <x:v>-0.03633120309836727</x:v>
      </x:c>
      <x:c r="M271" s="100" t="n">
        <x:v>40</x:v>
      </x:c>
      <x:c r="N271" s="100" t="n">
        <x:v>0.9799130014599998</x:v>
      </x:c>
      <x:c r="O271" s="101" t="b">
        <x:v>1</x:v>
      </x:c>
      <x:c r="P271" t="str">
        <x:v>/Users/jvidale/Documents/Research/FaultScanR/output/20260722_181326_2487/CI_40353552</x:v>
      </x:c>
    </x:row>
    <x:row r="272">
      <x:c r="A272" t="str">
        <x:v>CI_40353552</x:v>
      </x:c>
      <x:c r="B272" s="99" t="str">
        <x:v>00325</x:v>
      </x:c>
      <x:c r="C272" t="str">
        <x:v>R</x:v>
      </x:c>
      <x:c r="D272" t="str">
        <x:v>R</x:v>
      </x:c>
      <x:c r="E272" t="str">
        <x:v>time shift</x:v>
      </x:c>
      <x:c r="F272" t="str">
        <x:v>S</x:v>
      </x:c>
      <x:c r="G272" s="100" t="n">
        <x:v>3</x:v>
      </x:c>
      <x:c r="H272" s="100" t="n">
        <x:v>10</x:v>
      </x:c>
      <x:c r="I272" s="100" t="n">
        <x:v>250</x:v>
      </x:c>
      <x:c r="J272" s="100" t="n">
        <x:v>0.16</x:v>
      </x:c>
      <x:c r="K272" s="100" t="n">
        <x:v>0.1985355279103613</x:v>
      </x:c>
      <x:c r="L272" s="100" t="n">
        <x:v>-0.03853552791036133</x:v>
      </x:c>
      <x:c r="M272" s="100" t="n">
        <x:v>40</x:v>
      </x:c>
      <x:c r="N272" s="100" t="n">
        <x:v>0.9696663187441503</x:v>
      </x:c>
      <x:c r="O272" s="101" t="b">
        <x:v>1</x:v>
      </x:c>
      <x:c r="P272" t="str">
        <x:v>/Users/jvidale/Documents/Research/FaultScanR/output/20260722_181326_2487/CI_40353552</x:v>
      </x:c>
    </x:row>
    <x:row r="273">
      <x:c r="A273" t="str">
        <x:v>CI_40353552</x:v>
      </x:c>
      <x:c r="B273" s="99" t="str">
        <x:v>00326</x:v>
      </x:c>
      <x:c r="C273" t="str">
        <x:v>R</x:v>
      </x:c>
      <x:c r="D273" t="str">
        <x:v>R</x:v>
      </x:c>
      <x:c r="E273" t="str">
        <x:v>time shift</x:v>
      </x:c>
      <x:c r="F273" t="str">
        <x:v>S</x:v>
      </x:c>
      <x:c r="G273" s="100" t="n">
        <x:v>3</x:v>
      </x:c>
      <x:c r="H273" s="100" t="n">
        <x:v>10</x:v>
      </x:c>
      <x:c r="I273" s="100" t="n">
        <x:v>250</x:v>
      </x:c>
      <x:c r="J273" s="100" t="n">
        <x:v>0.176</x:v>
      </x:c>
      <x:c r="K273" s="100" t="n">
        <x:v>0.2109686347047415</x:v>
      </x:c>
      <x:c r="L273" s="100" t="n">
        <x:v>-0.03496863470474149</x:v>
      </x:c>
      <x:c r="M273" s="100" t="n">
        <x:v>44</x:v>
      </x:c>
      <x:c r="N273" s="100" t="n">
        <x:v>0.9269416911198186</x:v>
      </x:c>
      <x:c r="O273" s="101" t="b">
        <x:v>1</x:v>
      </x:c>
      <x:c r="P273" t="str">
        <x:v>/Users/jvidale/Documents/Research/FaultScanR/output/20260722_181326_2487/CI_40353552</x:v>
      </x:c>
    </x:row>
    <x:row r="274">
      <x:c r="A274" t="str">
        <x:v>CI_40353552</x:v>
      </x:c>
      <x:c r="B274" s="99" t="str">
        <x:v>00327</x:v>
      </x:c>
      <x:c r="C274" t="str">
        <x:v>R</x:v>
      </x:c>
      <x:c r="D274" t="str">
        <x:v>R</x:v>
      </x:c>
      <x:c r="E274" t="str">
        <x:v>time shift</x:v>
      </x:c>
      <x:c r="F274" t="str">
        <x:v>S</x:v>
      </x:c>
      <x:c r="G274" s="100" t="n">
        <x:v>3</x:v>
      </x:c>
      <x:c r="H274" s="100" t="n">
        <x:v>10</x:v>
      </x:c>
      <x:c r="I274" s="100" t="n">
        <x:v>250</x:v>
      </x:c>
      <x:c r="J274" s="100" t="n">
        <x:v>0.184</x:v>
      </x:c>
      <x:c r="K274" s="100" t="n">
        <x:v>0.2188787451422609</x:v>
      </x:c>
      <x:c r="L274" s="100" t="n">
        <x:v>-0.03487874514226091</x:v>
      </x:c>
      <x:c r="M274" s="100" t="n">
        <x:v>46</x:v>
      </x:c>
      <x:c r="N274" s="100" t="n">
        <x:v>0.9844587237114496</x:v>
      </x:c>
      <x:c r="O274" s="101" t="b">
        <x:v>1</x:v>
      </x:c>
      <x:c r="P274" t="str">
        <x:v>/Users/jvidale/Documents/Research/FaultScanR/output/20260722_181326_2487/CI_40353552</x:v>
      </x:c>
    </x:row>
    <x:row r="275">
      <x:c r="A275" t="str">
        <x:v>CI_40353552</x:v>
      </x:c>
      <x:c r="B275" s="99" t="str">
        <x:v>00328</x:v>
      </x:c>
      <x:c r="C275" t="str">
        <x:v>R</x:v>
      </x:c>
      <x:c r="D275" t="str">
        <x:v>R</x:v>
      </x:c>
      <x:c r="E275" t="str">
        <x:v>time shift</x:v>
      </x:c>
      <x:c r="F275" t="str">
        <x:v>S</x:v>
      </x:c>
      <x:c r="G275" s="100" t="n">
        <x:v>3</x:v>
      </x:c>
      <x:c r="H275" s="100" t="n">
        <x:v>10</x:v>
      </x:c>
      <x:c r="I275" s="100" t="n">
        <x:v>250</x:v>
      </x:c>
      <x:c r="J275" s="100" t="n">
        <x:v>0.208</x:v>
      </x:c>
      <x:c r="K275" s="100" t="n">
        <x:v>0.2259132920857647</x:v>
      </x:c>
      <x:c r="L275" s="100" t="n">
        <x:v>-0.01791329208576473</x:v>
      </x:c>
      <x:c r="M275" s="100" t="n">
        <x:v>52</x:v>
      </x:c>
      <x:c r="N275" s="100" t="n">
        <x:v>0.9085898704669504</x:v>
      </x:c>
      <x:c r="O275" s="101" t="b">
        <x:v>1</x:v>
      </x:c>
      <x:c r="P275" t="str">
        <x:v>/Users/jvidale/Documents/Research/FaultScanR/output/20260722_181326_2487/CI_40353552</x:v>
      </x:c>
    </x:row>
    <x:row r="276">
      <x:c r="A276" t="str">
        <x:v>CI_40353552</x:v>
      </x:c>
      <x:c r="B276" s="99" t="str">
        <x:v>00329</x:v>
      </x:c>
      <x:c r="C276" t="str">
        <x:v>R</x:v>
      </x:c>
      <x:c r="D276" t="str">
        <x:v>R</x:v>
      </x:c>
      <x:c r="E276" t="str">
        <x:v>time shift</x:v>
      </x:c>
      <x:c r="F276" t="str">
        <x:v>S</x:v>
      </x:c>
      <x:c r="G276" s="100" t="n">
        <x:v>3</x:v>
      </x:c>
      <x:c r="H276" s="100" t="n">
        <x:v>10</x:v>
      </x:c>
      <x:c r="I276" s="100" t="n">
        <x:v>250</x:v>
      </x:c>
      <x:c r="J276" s="100" t="n">
        <x:v>0.2</x:v>
      </x:c>
      <x:c r="K276" s="100" t="n">
        <x:v>0.2355735781674042</x:v>
      </x:c>
      <x:c r="L276" s="100" t="n">
        <x:v>-0.0355735781674042</x:v>
      </x:c>
      <x:c r="M276" s="100" t="n">
        <x:v>50</x:v>
      </x:c>
      <x:c r="N276" s="100" t="n">
        <x:v>0.9624542637360831</x:v>
      </x:c>
      <x:c r="O276" s="101" t="b">
        <x:v>1</x:v>
      </x:c>
      <x:c r="P276" t="str">
        <x:v>/Users/jvidale/Documents/Research/FaultScanR/output/20260722_181326_2487/CI_40353552</x:v>
      </x:c>
    </x:row>
    <x:row r="277">
      <x:c r="A277" t="str">
        <x:v>CI_40353552</x:v>
      </x:c>
      <x:c r="B277" s="99" t="str">
        <x:v>00330</x:v>
      </x:c>
      <x:c r="C277" t="str">
        <x:v>R</x:v>
      </x:c>
      <x:c r="D277" t="str">
        <x:v>R</x:v>
      </x:c>
      <x:c r="E277" t="str">
        <x:v>time shift</x:v>
      </x:c>
      <x:c r="F277" t="str">
        <x:v>S</x:v>
      </x:c>
      <x:c r="G277" s="100" t="n">
        <x:v>3</x:v>
      </x:c>
      <x:c r="H277" s="100" t="n">
        <x:v>10</x:v>
      </x:c>
      <x:c r="I277" s="100" t="n">
        <x:v>250</x:v>
      </x:c>
      <x:c r="J277" s="100" t="n">
        <x:v>0.216</x:v>
      </x:c>
      <x:c r="K277" s="100" t="n">
        <x:v>0.2447916804934724</x:v>
      </x:c>
      <x:c r="L277" s="100" t="n">
        <x:v>-0.02879168049347244</x:v>
      </x:c>
      <x:c r="M277" s="100" t="n">
        <x:v>54</x:v>
      </x:c>
      <x:c r="N277" s="100" t="n">
        <x:v>0.9855971615474391</x:v>
      </x:c>
      <x:c r="O277" s="101" t="b">
        <x:v>1</x:v>
      </x:c>
      <x:c r="P277" t="str">
        <x:v>/Users/jvidale/Documents/Research/FaultScanR/output/20260722_181326_2487/CI_40353552</x:v>
      </x:c>
    </x:row>
    <x:row r="278">
      <x:c r="A278" t="str">
        <x:v>CI_40353552</x:v>
      </x:c>
      <x:c r="B278" s="99" t="str">
        <x:v>00332</x:v>
      </x:c>
      <x:c r="C278" t="str">
        <x:v>R</x:v>
      </x:c>
      <x:c r="D278" t="str">
        <x:v>R</x:v>
      </x:c>
      <x:c r="E278" t="str">
        <x:v>time shift</x:v>
      </x:c>
      <x:c r="F278" t="str">
        <x:v>S</x:v>
      </x:c>
      <x:c r="G278" s="100" t="n">
        <x:v>3</x:v>
      </x:c>
      <x:c r="H278" s="100" t="n">
        <x:v>10</x:v>
      </x:c>
      <x:c r="I278" s="100" t="n">
        <x:v>250</x:v>
      </x:c>
      <x:c r="J278" s="100" t="n">
        <x:v>0.24</x:v>
      </x:c>
      <x:c r="K278" s="100" t="n">
        <x:v>0.2609053797889027</x:v>
      </x:c>
      <x:c r="L278" s="100" t="n">
        <x:v>-0.02090537978890272</x:v>
      </x:c>
      <x:c r="M278" s="100" t="n">
        <x:v>60</x:v>
      </x:c>
      <x:c r="N278" s="100" t="n">
        <x:v>0.8721399760311552</x:v>
      </x:c>
      <x:c r="O278" s="101" t="b">
        <x:v>1</x:v>
      </x:c>
      <x:c r="P278" t="str">
        <x:v>/Users/jvidale/Documents/Research/FaultScanR/output/20260722_181326_2487/CI_40353552</x:v>
      </x:c>
    </x:row>
    <x:row r="279">
      <x:c r="A279" t="str">
        <x:v>CI_40353552</x:v>
      </x:c>
      <x:c r="B279" s="99" t="str">
        <x:v>00333</x:v>
      </x:c>
      <x:c r="C279" t="str">
        <x:v>R</x:v>
      </x:c>
      <x:c r="D279" t="str">
        <x:v>R</x:v>
      </x:c>
      <x:c r="E279" t="str">
        <x:v>time shift</x:v>
      </x:c>
      <x:c r="F279" t="str">
        <x:v>S</x:v>
      </x:c>
      <x:c r="G279" s="100" t="n">
        <x:v>3</x:v>
      </x:c>
      <x:c r="H279" s="100" t="n">
        <x:v>10</x:v>
      </x:c>
      <x:c r="I279" s="100" t="n">
        <x:v>250</x:v>
      </x:c>
      <x:c r="J279" s="100" t="n">
        <x:v>0.244</x:v>
      </x:c>
      <x:c r="K279" s="100" t="n">
        <x:v>0.2709775612885563</x:v>
      </x:c>
      <x:c r="L279" s="100" t="n">
        <x:v>-0.02697756128855633</x:v>
      </x:c>
      <x:c r="M279" s="100" t="n">
        <x:v>61</x:v>
      </x:c>
      <x:c r="N279" s="100" t="n">
        <x:v>0.9506530050205427</x:v>
      </x:c>
      <x:c r="O279" s="101" t="b">
        <x:v>1</x:v>
      </x:c>
      <x:c r="P279" t="str">
        <x:v>/Users/jvidale/Documents/Research/FaultScanR/output/20260722_181326_2487/CI_40353552</x:v>
      </x:c>
    </x:row>
  </x:sheetData>
  <x:pageMargins left="0.7" right="0.7" top="0.75" bottom="0.75" header="0.3" footer="0.3"/>
  <x:tableParts count="1">
    <x:tablePart xmlns:r="http://schemas.openxmlformats.org/officeDocument/2006/relationships" r:id="R26f0e08271f049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16" hidden="0" customWidth="1"/>
    <x:col min="5" max="5" width="22" hidden="0" customWidth="1"/>
    <x:col min="6" max="6" width="15" hidden="0" customWidth="1"/>
    <x:col min="7" max="7" width="16" hidden="0" customWidth="1"/>
    <x:col min="8" max="8" width="16" hidden="0" customWidth="1"/>
    <x:col min="9" max="9" width="10" hidden="0" customWidth="1"/>
    <x:col min="10" max="10" width="14" hidden="0" customWidth="1"/>
    <x:col min="11" max="11" width="14" hidden="0" customWidth="1"/>
    <x:col min="12" max="12" width="17" hidden="0" customWidth="1"/>
    <x:col min="13" max="13" width="19" hidden="0" customWidth="1"/>
    <x:col min="14" max="14" width="16" hidden="0" customWidth="1"/>
  </x:cols>
  <x:sheetData>
    <x:row r="1" ht="28" customHeight="1">
      <x:c r="A1" s="3" t="str">
        <x:v>R — Radial stored vs correlation-estimated statics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08" t="str">
        <x:v>Robust event baseline (s)</x:v>
      </x:c>
      <x:c r="B2" s="112" t="n">
        <x:v>-0.01791329208576473</x:v>
      </x:c>
      <x:c r="C2" s="110" t="str">
        <x:v>Passed stations</x:v>
      </x:c>
      <x:c r="D2" s="113" t="n">
        <x:f>COUNT(J8:J285)</x:f>
        <x:v>278</x:v>
      </x:c>
      <x:c r="E2" s="110" t="str">
        <x:v>Pearson r (passed)</x:v>
      </x:c>
      <x:c r="F2" s="112" t="n">
        <x:f>CORREL(J8:J285,K8:K285)</x:f>
        <x:v>0.9616227564733563</x:v>
      </x:c>
      <x:c r="G2" s="115" t="str">
        <x:v>Median |difference| (passed, s)</x:v>
      </x:c>
      <x:c r="H2" s="116" t="n">
        <x:f>MEDIAN(L8:L285)</x:f>
        <x:v>0.0016414925935109134</x:v>
      </x:c>
    </x:row>
    <x:row r="3">
      <x:c r="A3" s="109" t="str">
        <x:v>Matched stations</x:v>
      </x:c>
      <x:c r="B3" s="114" t="n">
        <x:f>COUNTA(A8:A285)</x:f>
        <x:v>278</x:v>
      </x:c>
      <x:c r="C3" s="111" t="str">
        <x:v>RMSE (passed, s)</x:v>
      </x:c>
      <x:c r="D3" s="117" t="n">
        <x:f>SQRT(AVERAGE(M8:M285))</x:f>
        <x:v>0.00353128155136553</x:v>
      </x:c>
      <x:c r="E3" s="118" t="str">
        <x:v>Median difference (passed, s)</x:v>
      </x:c>
      <x:c r="F3" s="117" t="n">
        <x:f>MEDIAN(N8:N285)</x:f>
        <x:v>-0.0013338760517143597</x:v>
      </x:c>
      <x:c r="G3" s="111" t="str">
        <x:v>Within 4 ms (passed)</x:v>
      </x:c>
      <x:c r="H3" s="119" t="n">
        <x:f>COUNTIF(L8:L285,"&lt;=0.004")</x:f>
        <x:v>246</x:v>
      </x:c>
    </x:row>
    <x:row r="5">
      <x:c r="A5" s="121" t="str">
        <x:v>Baseline calculation: 277 robust inliers; raw MAD 0.008679 s. Primary metrics use only passed traces.</x:v>
      </x:c>
      <x:c r="B5" s="121"/>
      <x:c r="C5" s="121"/>
      <x:c r="D5" s="121"/>
      <x:c r="E5" s="121"/>
      <x:c r="F5" s="121"/>
      <x:c r="G5" s="121"/>
      <x:c r="H5" s="121"/>
      <x:c r="I5" s="121"/>
    </x:row>
    <x:row r="7" ht="30" customHeight="1">
      <x:c r="A7" s="14" t="str">
        <x:v>Station</x:v>
      </x:c>
      <x:c r="B7" s="15" t="str">
        <x:v>Stored static (s)</x:v>
      </x:c>
      <x:c r="C7" s="15" t="str">
        <x:v>Raw xcorr residual (s)</x:v>
      </x:c>
      <x:c r="D7" s="15" t="str">
        <x:v>Event baseline (s)</x:v>
      </x:c>
      <x:c r="E7" s="15" t="str">
        <x:v>Baseline-corrected xcorr (s)</x:v>
      </x:c>
      <x:c r="F7" s="15" t="str">
        <x:v>Difference (s)</x:v>
      </x:c>
      <x:c r="G7" s="15" t="str">
        <x:v>|Difference| (s)</x:v>
      </x:c>
      <x:c r="H7" s="15" t="str">
        <x:v>Station correlation</x:v>
      </x:c>
      <x:c r="I7" s="15" t="str">
        <x:v>Passed</x:v>
      </x:c>
      <x:c r="J7" s="15" t="str">
        <x:v>Passed stored</x:v>
      </x:c>
      <x:c r="K7" s="15" t="str">
        <x:v>Passed xcorr</x:v>
      </x:c>
      <x:c r="L7" s="15" t="str">
        <x:v>Passed |difference|</x:v>
      </x:c>
      <x:c r="M7" s="15" t="str">
        <x:v>Passed squared difference</x:v>
      </x:c>
      <x:c r="N7" s="16" t="str">
        <x:v>Passed difference</x:v>
      </x:c>
      <x:c r="P7" t="str">
        <x:v>Stored static (s)</x:v>
      </x:c>
      <x:c r="Q7" t="str">
        <x:v>Xcorr estimate (s)</x:v>
      </x:c>
      <x:c r="S7" t="str">
        <x:v>Identity x</x:v>
      </x:c>
      <x:c r="T7" t="str">
        <x:v>Identity y</x:v>
      </x:c>
    </x:row>
    <x:row r="8">
      <x:c r="A8" s="99" t="str">
        <x:f>'Raw R'!B2</x:f>
        <x:v>00036</x:v>
      </x:c>
      <x:c r="B8" s="100" t="n">
        <x:f>INDEX('Raw Stations'!$D$2:$D$299,MATCH(A8,'Raw Stations'!$A$2:$A$299,0))</x:f>
        <x:v>0.002324070776815849</x:v>
      </x:c>
      <x:c r="C8" s="100" t="n">
        <x:f>'Raw R'!L2</x:f>
        <x:v>-0.01723352786578913</x:v>
      </x:c>
      <x:c r="D8" s="100" t="n">
        <x:f>$B$2</x:f>
        <x:v>-0.01791329208576473</x:v>
      </x:c>
      <x:c r="E8" s="100" t="n">
        <x:f>C8-D8</x:f>
        <x:v>0.0006797642199755996</x:v>
      </x:c>
      <x:c r="F8" s="100" t="n">
        <x:f>E8-B8</x:f>
        <x:v>-0.0016443065568402496</x:v>
      </x:c>
      <x:c r="G8" s="100" t="n">
        <x:f>ABS(F8)</x:f>
        <x:v>0.0016443065568402496</x:v>
      </x:c>
      <x:c r="H8" s="100" t="n">
        <x:f>'Raw R'!N2</x:f>
        <x:v>0.9448306595993629</x:v>
      </x:c>
      <x:c r="I8" t="b">
        <x:f>'Raw R'!O2</x:f>
        <x:v>1</x:v>
      </x:c>
      <x:c r="J8" s="100" t="n">
        <x:f>IF(I8,B8,"")</x:f>
        <x:v>0.002324070776815849</x:v>
      </x:c>
      <x:c r="K8" s="100" t="n">
        <x:f>IF(I8,E8,"")</x:f>
        <x:v>0.0006797642199755996</x:v>
      </x:c>
      <x:c r="L8" s="100" t="n">
        <x:f>IF(I8,G8,"")</x:f>
        <x:v>0.0016443065568402496</x:v>
      </x:c>
      <x:c r="M8" s="100" t="n">
        <x:f>IF(I8,F8^2,"")</x:f>
        <x:v>0.000002703744052867837</x:v>
      </x:c>
      <x:c r="N8" s="100" t="n">
        <x:f>IF(I8,F8,"")</x:f>
        <x:v>-0.0016443065568402496</x:v>
      </x:c>
      <x:c r="P8" t="n">
        <x:f>J8</x:f>
        <x:v>0.002324070776815849</x:v>
      </x:c>
      <x:c r="Q8" t="n">
        <x:f>K8</x:f>
        <x:v>0.0006797642199755996</x:v>
      </x:c>
      <x:c r="S8" t="n">
        <x:v>-0.08</x:v>
      </x:c>
      <x:c r="T8" t="n">
        <x:v>-0.08</x:v>
      </x:c>
    </x:row>
    <x:row r="9">
      <x:c r="A9" s="99" t="str">
        <x:f>'Raw R'!B3</x:f>
        <x:v>00037</x:v>
      </x:c>
      <x:c r="B9" s="100" t="n">
        <x:f>INDEX('Raw Stations'!$D$2:$D$299,MATCH(A9,'Raw Stations'!$A$2:$A$299,0))</x:f>
        <x:v>0.008505758275836578</x:v>
      </x:c>
      <x:c r="C9" s="100" t="n">
        <x:f>'Raw R'!L3</x:f>
        <x:v>-0.009160953764419721</x:v>
      </x:c>
      <x:c r="D9" s="100" t="n">
        <x:f>$B$2</x:f>
        <x:v>-0.01791329208576473</x:v>
      </x:c>
      <x:c r="E9" s="100" t="n">
        <x:f>C9-D9</x:f>
        <x:v>0.008752338321345008</x:v>
      </x:c>
      <x:c r="F9" s="100" t="n">
        <x:f>E9-B9</x:f>
        <x:v>0.0002465800455084301</x:v>
      </x:c>
      <x:c r="G9" s="100" t="n">
        <x:f>ABS(F9)</x:f>
        <x:v>0.0002465800455084301</x:v>
      </x:c>
      <x:c r="H9" s="100" t="n">
        <x:f>'Raw R'!N3</x:f>
        <x:v>0.9846487196798428</x:v>
      </x:c>
      <x:c r="I9" t="b">
        <x:f>'Raw R'!O3</x:f>
        <x:v>1</x:v>
      </x:c>
      <x:c r="J9" s="100" t="n">
        <x:f>IF(I9,B9,"")</x:f>
        <x:v>0.008505758275836578</x:v>
      </x:c>
      <x:c r="K9" s="100" t="n">
        <x:f>IF(I9,E9,"")</x:f>
        <x:v>0.008752338321345008</x:v>
      </x:c>
      <x:c r="L9" s="100" t="n">
        <x:f>IF(I9,G9,"")</x:f>
        <x:v>0.0002465800455084301</x:v>
      </x:c>
      <x:c r="M9" s="100" t="n">
        <x:f>IF(I9,F9^2,"")</x:f>
        <x:v>6.080171884293945e-8</x:v>
      </x:c>
      <x:c r="N9" s="100" t="n">
        <x:f>IF(I9,F9,"")</x:f>
        <x:v>0.0002465800455084301</x:v>
      </x:c>
      <x:c r="P9" t="n">
        <x:f>J9</x:f>
        <x:v>0.008505758275836578</x:v>
      </x:c>
      <x:c r="Q9" t="n">
        <x:f>K9</x:f>
        <x:v>0.008752338321345008</x:v>
      </x:c>
      <x:c r="S9" t="n">
        <x:v>0.08</x:v>
      </x:c>
      <x:c r="T9" t="n">
        <x:v>0.08</x:v>
      </x:c>
    </x:row>
    <x:row r="10">
      <x:c r="A10" s="99" t="str">
        <x:f>'Raw R'!B4</x:f>
        <x:v>00038</x:v>
      </x:c>
      <x:c r="B10" s="100" t="n">
        <x:f>INDEX('Raw Stations'!$D$2:$D$299,MATCH(A10,'Raw Stations'!$A$2:$A$299,0))</x:f>
        <x:v>0.00470310700499235</x:v>
      </x:c>
      <x:c r="C10" s="100" t="n">
        <x:f>'Raw R'!L4</x:f>
        <x:v>-0.01296360503526395</x:v>
      </x:c>
      <x:c r="D10" s="100" t="n">
        <x:f>$B$2</x:f>
        <x:v>-0.01791329208576473</x:v>
      </x:c>
      <x:c r="E10" s="100" t="n">
        <x:f>C10-D10</x:f>
        <x:v>0.00494968705050078</x:v>
      </x:c>
      <x:c r="F10" s="100" t="n">
        <x:f>E10-B10</x:f>
        <x:v>0.0002465800455084301</x:v>
      </x:c>
      <x:c r="G10" s="100" t="n">
        <x:f>ABS(F10)</x:f>
        <x:v>0.0002465800455084301</x:v>
      </x:c>
      <x:c r="H10" s="100" t="n">
        <x:f>'Raw R'!N4</x:f>
        <x:v>0.9885476060249726</x:v>
      </x:c>
      <x:c r="I10" t="b">
        <x:f>'Raw R'!O4</x:f>
        <x:v>1</x:v>
      </x:c>
      <x:c r="J10" s="100" t="n">
        <x:f>IF(I10,B10,"")</x:f>
        <x:v>0.00470310700499235</x:v>
      </x:c>
      <x:c r="K10" s="100" t="n">
        <x:f>IF(I10,E10,"")</x:f>
        <x:v>0.00494968705050078</x:v>
      </x:c>
      <x:c r="L10" s="100" t="n">
        <x:f>IF(I10,G10,"")</x:f>
        <x:v>0.0002465800455084301</x:v>
      </x:c>
      <x:c r="M10" s="100" t="n">
        <x:f>IF(I10,F10^2,"")</x:f>
        <x:v>6.080171884293945e-8</x:v>
      </x:c>
      <x:c r="N10" s="100" t="n">
        <x:f>IF(I10,F10,"")</x:f>
        <x:v>0.0002465800455084301</x:v>
      </x:c>
      <x:c r="P10" t="n">
        <x:f>J10</x:f>
        <x:v>0.00470310700499235</x:v>
      </x:c>
      <x:c r="Q10" t="n">
        <x:f>K10</x:f>
        <x:v>0.00494968705050078</x:v>
      </x:c>
    </x:row>
    <x:row r="11">
      <x:c r="A11" s="99" t="str">
        <x:f>'Raw R'!B5</x:f>
        <x:v>00039</x:v>
      </x:c>
      <x:c r="B11" s="100" t="n">
        <x:f>INDEX('Raw Stations'!$D$2:$D$299,MATCH(A11,'Raw Stations'!$A$2:$A$299,0))</x:f>
        <x:v>0.003906768382867876</x:v>
      </x:c>
      <x:c r="C11" s="100" t="n">
        <x:f>'Raw R'!L5</x:f>
        <x:v>-0.01560822645704074</x:v>
      </x:c>
      <x:c r="D11" s="100" t="n">
        <x:f>$B$2</x:f>
        <x:v>-0.01791329208576473</x:v>
      </x:c>
      <x:c r="E11" s="100" t="n">
        <x:f>C11-D11</x:f>
        <x:v>0.0023050656287239898</x:v>
      </x:c>
      <x:c r="F11" s="100" t="n">
        <x:f>E11-B11</x:f>
        <x:v>-0.0016017027541438862</x:v>
      </x:c>
      <x:c r="G11" s="100" t="n">
        <x:f>ABS(F11)</x:f>
        <x:v>0.0016017027541438862</x:v>
      </x:c>
      <x:c r="H11" s="100" t="n">
        <x:f>'Raw R'!N5</x:f>
        <x:v>0.9567589168506458</x:v>
      </x:c>
      <x:c r="I11" t="b">
        <x:f>'Raw R'!O5</x:f>
        <x:v>1</x:v>
      </x:c>
      <x:c r="J11" s="100" t="n">
        <x:f>IF(I11,B11,"")</x:f>
        <x:v>0.003906768382867876</x:v>
      </x:c>
      <x:c r="K11" s="100" t="n">
        <x:f>IF(I11,E11,"")</x:f>
        <x:v>0.0023050656287239898</x:v>
      </x:c>
      <x:c r="L11" s="100" t="n">
        <x:f>IF(I11,G11,"")</x:f>
        <x:v>0.0016017027541438862</x:v>
      </x:c>
      <x:c r="M11" s="100" t="n">
        <x:f>IF(I11,F11^2,"")</x:f>
        <x:v>0.00000256545171263211</x:v>
      </x:c>
      <x:c r="N11" s="100" t="n">
        <x:f>IF(I11,F11,"")</x:f>
        <x:v>-0.0016017027541438862</x:v>
      </x:c>
      <x:c r="P11" t="n">
        <x:f>J11</x:f>
        <x:v>0.003906768382867876</x:v>
      </x:c>
      <x:c r="Q11" t="n">
        <x:f>K11</x:f>
        <x:v>0.0023050656287239898</x:v>
      </x:c>
    </x:row>
    <x:row r="12">
      <x:c r="A12" s="99" t="str">
        <x:f>'Raw R'!B6</x:f>
        <x:v>00040</x:v>
      </x:c>
      <x:c r="B12" s="100" t="n">
        <x:f>INDEX('Raw Stations'!$D$2:$D$299,MATCH(A12,'Raw Stations'!$A$2:$A$299,0))</x:f>
        <x:v>-0.0002087563125119027</x:v>
      </x:c>
      <x:c r="C12" s="100" t="n">
        <x:f>'Raw R'!L6</x:f>
        <x:v>-0.01737417284625375</x:v>
      </x:c>
      <x:c r="D12" s="100" t="n">
        <x:f>$B$2</x:f>
        <x:v>-0.01791329208576473</x:v>
      </x:c>
      <x:c r="E12" s="100" t="n">
        <x:f>C12-D12</x:f>
        <x:v>0.0005391192395109781</x:v>
      </x:c>
      <x:c r="F12" s="100" t="n">
        <x:f>E12-B12</x:f>
        <x:v>0.0007478755520228808</x:v>
      </x:c>
      <x:c r="G12" s="100" t="n">
        <x:f>ABS(F12)</x:f>
        <x:v>0.0007478755520228808</x:v>
      </x:c>
      <x:c r="H12" s="100" t="n">
        <x:f>'Raw R'!N6</x:f>
        <x:v>0.9655547373907961</x:v>
      </x:c>
      <x:c r="I12" t="b">
        <x:f>'Raw R'!O6</x:f>
        <x:v>1</x:v>
      </x:c>
      <x:c r="J12" s="100" t="n">
        <x:f>IF(I12,B12,"")</x:f>
        <x:v>-0.0002087563125119027</x:v>
      </x:c>
      <x:c r="K12" s="100" t="n">
        <x:f>IF(I12,E12,"")</x:f>
        <x:v>0.0005391192395109781</x:v>
      </x:c>
      <x:c r="L12" s="100" t="n">
        <x:f>IF(I12,G12,"")</x:f>
        <x:v>0.0007478755520228808</x:v>
      </x:c>
      <x:c r="M12" s="100" t="n">
        <x:f>IF(I12,F12^2,"")</x:f>
        <x:v>5.593178413135287e-7</x:v>
      </x:c>
      <x:c r="N12" s="100" t="n">
        <x:f>IF(I12,F12,"")</x:f>
        <x:v>0.0007478755520228808</x:v>
      </x:c>
      <x:c r="P12" t="n">
        <x:f>J12</x:f>
        <x:v>-0.0002087563125119027</x:v>
      </x:c>
      <x:c r="Q12" t="n">
        <x:f>K12</x:f>
        <x:v>0.0005391192395109781</x:v>
      </x:c>
    </x:row>
    <x:row r="13">
      <x:c r="A13" s="99" t="str">
        <x:f>'Raw R'!B7</x:f>
        <x:v>00041</x:v>
      </x:c>
      <x:c r="B13" s="100" t="n">
        <x:f>INDEX('Raw Stations'!$D$2:$D$299,MATCH(A13,'Raw Stations'!$A$2:$A$299,0))</x:f>
        <x:v>0.00358026977195911</x:v>
      </x:c>
      <x:c r="C13" s="100" t="n">
        <x:f>'Raw R'!L7</x:f>
        <x:v>-0.01342895521609158</x:v>
      </x:c>
      <x:c r="D13" s="100" t="n">
        <x:f>$B$2</x:f>
        <x:v>-0.01791329208576473</x:v>
      </x:c>
      <x:c r="E13" s="100" t="n">
        <x:f>C13-D13</x:f>
        <x:v>0.00448433686967315</x:v>
      </x:c>
      <x:c r="F13" s="100" t="n">
        <x:f>E13-B13</x:f>
        <x:v>0.0009040670977140397</x:v>
      </x:c>
      <x:c r="G13" s="100" t="n">
        <x:f>ABS(F13)</x:f>
        <x:v>0.0009040670977140397</x:v>
      </x:c>
      <x:c r="H13" s="100" t="n">
        <x:f>'Raw R'!N7</x:f>
        <x:v>0.9467278011918031</x:v>
      </x:c>
      <x:c r="I13" t="b">
        <x:f>'Raw R'!O7</x:f>
        <x:v>1</x:v>
      </x:c>
      <x:c r="J13" s="100" t="n">
        <x:f>IF(I13,B13,"")</x:f>
        <x:v>0.00358026977195911</x:v>
      </x:c>
      <x:c r="K13" s="100" t="n">
        <x:f>IF(I13,E13,"")</x:f>
        <x:v>0.00448433686967315</x:v>
      </x:c>
      <x:c r="L13" s="100" t="n">
        <x:f>IF(I13,G13,"")</x:f>
        <x:v>0.0009040670977140397</x:v>
      </x:c>
      <x:c r="M13" s="100" t="n">
        <x:f>IF(I13,F13^2,"")</x:f>
        <x:v>8.17337317169087e-7</x:v>
      </x:c>
      <x:c r="N13" s="100" t="n">
        <x:f>IF(I13,F13,"")</x:f>
        <x:v>0.0009040670977140397</x:v>
      </x:c>
      <x:c r="P13" t="n">
        <x:f>J13</x:f>
        <x:v>0.00358026977195911</x:v>
      </x:c>
      <x:c r="Q13" t="n">
        <x:f>K13</x:f>
        <x:v>0.00448433686967315</x:v>
      </x:c>
    </x:row>
    <x:row r="14">
      <x:c r="A14" s="99" t="str">
        <x:f>'Raw R'!B8</x:f>
        <x:v>00042</x:v>
      </x:c>
      <x:c r="B14" s="100" t="n">
        <x:f>INDEX('Raw Stations'!$D$2:$D$299,MATCH(A14,'Raw Stations'!$A$2:$A$299,0))</x:f>
        <x:v>0.004263097793196531</x:v>
      </x:c>
      <x:c r="C14" s="100" t="n">
        <x:f>'Raw R'!L8</x:f>
        <x:v>-0.01112486565226137</x:v>
      </x:c>
      <x:c r="D14" s="100" t="n">
        <x:f>$B$2</x:f>
        <x:v>-0.01791329208576473</x:v>
      </x:c>
      <x:c r="E14" s="100" t="n">
        <x:f>C14-D14</x:f>
        <x:v>0.00678842643350336</x:v>
      </x:c>
      <x:c r="F14" s="100" t="n">
        <x:f>E14-B14</x:f>
        <x:v>0.0025253286403068296</x:v>
      </x:c>
      <x:c r="G14" s="100" t="n">
        <x:f>ABS(F14)</x:f>
        <x:v>0.0025253286403068296</x:v>
      </x:c>
      <x:c r="H14" s="100" t="n">
        <x:f>'Raw R'!N8</x:f>
        <x:v>0.9522674562306476</x:v>
      </x:c>
      <x:c r="I14" t="b">
        <x:f>'Raw R'!O8</x:f>
        <x:v>1</x:v>
      </x:c>
      <x:c r="J14" s="100" t="n">
        <x:f>IF(I14,B14,"")</x:f>
        <x:v>0.004263097793196531</x:v>
      </x:c>
      <x:c r="K14" s="100" t="n">
        <x:f>IF(I14,E14,"")</x:f>
        <x:v>0.00678842643350336</x:v>
      </x:c>
      <x:c r="L14" s="100" t="n">
        <x:f>IF(I14,G14,"")</x:f>
        <x:v>0.0025253286403068296</x:v>
      </x:c>
      <x:c r="M14" s="100" t="n">
        <x:f>IF(I14,F14^2,"")</x:f>
        <x:v>0.00000637728474155394</x:v>
      </x:c>
      <x:c r="N14" s="100" t="n">
        <x:f>IF(I14,F14,"")</x:f>
        <x:v>0.0025253286403068296</x:v>
      </x:c>
      <x:c r="P14" t="n">
        <x:f>J14</x:f>
        <x:v>0.004263097793196531</x:v>
      </x:c>
      <x:c r="Q14" t="n">
        <x:f>K14</x:f>
        <x:v>0.00678842643350336</x:v>
      </x:c>
    </x:row>
    <x:row r="15">
      <x:c r="A15" s="99" t="str">
        <x:f>'Raw R'!B9</x:f>
        <x:v>00043</x:v>
      </x:c>
      <x:c r="B15" s="100" t="n">
        <x:f>INDEX('Raw Stations'!$D$2:$D$299,MATCH(A15,'Raw Stations'!$A$2:$A$299,0))</x:f>
        <x:v>0.009528350892782811</x:v>
      </x:c>
      <x:c r="C15" s="100" t="n">
        <x:f>'Raw R'!L9</x:f>
        <x:v>-0.007644008189578139</x:v>
      </x:c>
      <x:c r="D15" s="100" t="n">
        <x:f>$B$2</x:f>
        <x:v>-0.01791329208576473</x:v>
      </x:c>
      <x:c r="E15" s="100" t="n">
        <x:f>C15-D15</x:f>
        <x:v>0.01026928389618659</x:v>
      </x:c>
      <x:c r="F15" s="100" t="n">
        <x:f>E15-B15</x:f>
        <x:v>0.0007409330034037799</x:v>
      </x:c>
      <x:c r="G15" s="100" t="n">
        <x:f>ABS(F15)</x:f>
        <x:v>0.0007409330034037799</x:v>
      </x:c>
      <x:c r="H15" s="100" t="n">
        <x:f>'Raw R'!N9</x:f>
        <x:v>0.989843176633823</x:v>
      </x:c>
      <x:c r="I15" t="b">
        <x:f>'Raw R'!O9</x:f>
        <x:v>1</x:v>
      </x:c>
      <x:c r="J15" s="100" t="n">
        <x:f>IF(I15,B15,"")</x:f>
        <x:v>0.009528350892782811</x:v>
      </x:c>
      <x:c r="K15" s="100" t="n">
        <x:f>IF(I15,E15,"")</x:f>
        <x:v>0.01026928389618659</x:v>
      </x:c>
      <x:c r="L15" s="100" t="n">
        <x:f>IF(I15,G15,"")</x:f>
        <x:v>0.0007409330034037799</x:v>
      </x:c>
      <x:c r="M15" s="100" t="n">
        <x:f>IF(I15,F15^2,"")</x:f>
        <x:v>5.489817155329457e-7</x:v>
      </x:c>
      <x:c r="N15" s="100" t="n">
        <x:f>IF(I15,F15,"")</x:f>
        <x:v>0.0007409330034037799</x:v>
      </x:c>
      <x:c r="P15" t="n">
        <x:f>J15</x:f>
        <x:v>0.009528350892782811</x:v>
      </x:c>
      <x:c r="Q15" t="n">
        <x:f>K15</x:f>
        <x:v>0.01026928389618659</x:v>
      </x:c>
    </x:row>
    <x:row r="16">
      <x:c r="A16" s="99" t="str">
        <x:f>'Raw R'!B10</x:f>
        <x:v>00044</x:v>
      </x:c>
      <x:c r="B16" s="100" t="n">
        <x:f>INDEX('Raw Stations'!$D$2:$D$299,MATCH(A16,'Raw Stations'!$A$2:$A$299,0))</x:f>
        <x:v>0.009092824066710387</x:v>
      </x:c>
      <x:c r="C16" s="100" t="n">
        <x:f>'Raw R'!L10</x:f>
        <x:v>-0.009236536486295244</x:v>
      </x:c>
      <x:c r="D16" s="100" t="n">
        <x:f>$B$2</x:f>
        <x:v>-0.01791329208576473</x:v>
      </x:c>
      <x:c r="E16" s="100" t="n">
        <x:f>C16-D16</x:f>
        <x:v>0.008676755599469486</x:v>
      </x:c>
      <x:c r="F16" s="100" t="n">
        <x:f>E16-B16</x:f>
        <x:v>-0.0004160684672409008</x:v>
      </x:c>
      <x:c r="G16" s="100" t="n">
        <x:f>ABS(F16)</x:f>
        <x:v>0.0004160684672409008</x:v>
      </x:c>
      <x:c r="H16" s="100" t="n">
        <x:f>'Raw R'!N10</x:f>
        <x:v>0.9975876164829043</x:v>
      </x:c>
      <x:c r="I16" t="b">
        <x:f>'Raw R'!O10</x:f>
        <x:v>1</x:v>
      </x:c>
      <x:c r="J16" s="100" t="n">
        <x:f>IF(I16,B16,"")</x:f>
        <x:v>0.009092824066710387</x:v>
      </x:c>
      <x:c r="K16" s="100" t="n">
        <x:f>IF(I16,E16,"")</x:f>
        <x:v>0.008676755599469486</x:v>
      </x:c>
      <x:c r="L16" s="100" t="n">
        <x:f>IF(I16,G16,"")</x:f>
        <x:v>0.0004160684672409008</x:v>
      </x:c>
      <x:c r="M16" s="100" t="n">
        <x:f>IF(I16,F16^2,"")</x:f>
        <x:v>1.7311296943219257e-7</x:v>
      </x:c>
      <x:c r="N16" s="100" t="n">
        <x:f>IF(I16,F16,"")</x:f>
        <x:v>-0.0004160684672409008</x:v>
      </x:c>
      <x:c r="P16" t="n">
        <x:f>J16</x:f>
        <x:v>0.009092824066710387</x:v>
      </x:c>
      <x:c r="Q16" t="n">
        <x:f>K16</x:f>
        <x:v>0.008676755599469486</x:v>
      </x:c>
    </x:row>
    <x:row r="17">
      <x:c r="A17" s="99" t="str">
        <x:f>'Raw R'!B11</x:f>
        <x:v>00045</x:v>
      </x:c>
      <x:c r="B17" s="100" t="n">
        <x:f>INDEX('Raw Stations'!$D$2:$D$299,MATCH(A17,'Raw Stations'!$A$2:$A$299,0))</x:f>
        <x:v>0.02515142487555863</x:v>
      </x:c>
      <x:c r="C17" s="100" t="n">
        <x:f>'Raw R'!L11</x:f>
        <x:v>0.005904256738079539</x:v>
      </x:c>
      <x:c r="D17" s="100" t="n">
        <x:f>$B$2</x:f>
        <x:v>-0.01791329208576473</x:v>
      </x:c>
      <x:c r="E17" s="100" t="n">
        <x:f>C17-D17</x:f>
        <x:v>0.023817548823844268</x:v>
      </x:c>
      <x:c r="F17" s="100" t="n">
        <x:f>E17-B17</x:f>
        <x:v>-0.0013338760517143632</x:v>
      </x:c>
      <x:c r="G17" s="100" t="n">
        <x:f>ABS(F17)</x:f>
        <x:v>0.0013338760517143632</x:v>
      </x:c>
      <x:c r="H17" s="100" t="n">
        <x:f>'Raw R'!N11</x:f>
        <x:v>0.9667194569053343</x:v>
      </x:c>
      <x:c r="I17" t="b">
        <x:f>'Raw R'!O11</x:f>
        <x:v>1</x:v>
      </x:c>
      <x:c r="J17" s="100" t="n">
        <x:f>IF(I17,B17,"")</x:f>
        <x:v>0.02515142487555863</x:v>
      </x:c>
      <x:c r="K17" s="100" t="n">
        <x:f>IF(I17,E17,"")</x:f>
        <x:v>0.023817548823844268</x:v>
      </x:c>
      <x:c r="L17" s="100" t="n">
        <x:f>IF(I17,G17,"")</x:f>
        <x:v>0.0013338760517143632</x:v>
      </x:c>
      <x:c r="M17" s="100" t="n">
        <x:f>IF(I17,F17^2,"")</x:f>
        <x:v>0.0000017792253213370985</x:v>
      </x:c>
      <x:c r="N17" s="100" t="n">
        <x:f>IF(I17,F17,"")</x:f>
        <x:v>-0.0013338760517143632</x:v>
      </x:c>
      <x:c r="P17" t="n">
        <x:f>J17</x:f>
        <x:v>0.02515142487555863</x:v>
      </x:c>
      <x:c r="Q17" t="n">
        <x:f>K17</x:f>
        <x:v>0.023817548823844268</x:v>
      </x:c>
    </x:row>
    <x:row r="18">
      <x:c r="A18" s="99" t="str">
        <x:f>'Raw R'!B12</x:f>
        <x:v>00046</x:v>
      </x:c>
      <x:c r="B18" s="100" t="n">
        <x:f>INDEX('Raw Stations'!$D$2:$D$299,MATCH(A18,'Raw Stations'!$A$2:$A$299,0))</x:f>
        <x:v>0.02675773833592649</x:v>
      </x:c>
      <x:c r="C18" s="100" t="n">
        <x:f>'Raw R'!L12</x:f>
        <x:v>0.006483124880343333</x:v>
      </x:c>
      <x:c r="D18" s="100" t="n">
        <x:f>$B$2</x:f>
        <x:v>-0.01791329208576473</x:v>
      </x:c>
      <x:c r="E18" s="100" t="n">
        <x:f>C18-D18</x:f>
        <x:v>0.024396416966108062</x:v>
      </x:c>
      <x:c r="F18" s="100" t="n">
        <x:f>E18-B18</x:f>
        <x:v>-0.002361321369818429</x:v>
      </x:c>
      <x:c r="G18" s="100" t="n">
        <x:f>ABS(F18)</x:f>
        <x:v>0.002361321369818429</x:v>
      </x:c>
      <x:c r="H18" s="100" t="n">
        <x:f>'Raw R'!N12</x:f>
        <x:v>0.9524055154912634</x:v>
      </x:c>
      <x:c r="I18" t="b">
        <x:f>'Raw R'!O12</x:f>
        <x:v>1</x:v>
      </x:c>
      <x:c r="J18" s="100" t="n">
        <x:f>IF(I18,B18,"")</x:f>
        <x:v>0.02675773833592649</x:v>
      </x:c>
      <x:c r="K18" s="100" t="n">
        <x:f>IF(I18,E18,"")</x:f>
        <x:v>0.024396416966108062</x:v>
      </x:c>
      <x:c r="L18" s="100" t="n">
        <x:f>IF(I18,G18,"")</x:f>
        <x:v>0.002361321369818429</x:v>
      </x:c>
      <x:c r="M18" s="100" t="n">
        <x:f>IF(I18,F18^2,"")</x:f>
        <x:v>0.000005575838611561182</x:v>
      </x:c>
      <x:c r="N18" s="100" t="n">
        <x:f>IF(I18,F18,"")</x:f>
        <x:v>-0.002361321369818429</x:v>
      </x:c>
      <x:c r="P18" t="n">
        <x:f>J18</x:f>
        <x:v>0.02675773833592649</x:v>
      </x:c>
      <x:c r="Q18" t="n">
        <x:f>K18</x:f>
        <x:v>0.024396416966108062</x:v>
      </x:c>
    </x:row>
    <x:row r="19">
      <x:c r="A19" s="99" t="str">
        <x:f>'Raw R'!B13</x:f>
        <x:v>00047</x:v>
      </x:c>
      <x:c r="B19" s="100" t="n">
        <x:f>INDEX('Raw Stations'!$D$2:$D$299,MATCH(A19,'Raw Stations'!$A$2:$A$299,0))</x:f>
        <x:v>0.01528010894597948</x:v>
      </x:c>
      <x:c r="C19" s="100" t="n">
        <x:f>'Raw R'!L13</x:f>
        <x:v>-0.002543426963068945</x:v>
      </x:c>
      <x:c r="D19" s="100" t="n">
        <x:f>$B$2</x:f>
        <x:v>-0.01791329208576473</x:v>
      </x:c>
      <x:c r="E19" s="100" t="n">
        <x:f>C19-D19</x:f>
        <x:v>0.015369865122695784</x:v>
      </x:c>
      <x:c r="F19" s="100" t="n">
        <x:f>E19-B19</x:f>
        <x:v>0.00008975617671630465</x:v>
      </x:c>
      <x:c r="G19" s="100" t="n">
        <x:f>ABS(F19)</x:f>
        <x:v>0.00008975617671630465</x:v>
      </x:c>
      <x:c r="H19" s="100" t="n">
        <x:f>'Raw R'!N13</x:f>
        <x:v>0.9921160257763777</x:v>
      </x:c>
      <x:c r="I19" t="b">
        <x:f>'Raw R'!O13</x:f>
        <x:v>1</x:v>
      </x:c>
      <x:c r="J19" s="100" t="n">
        <x:f>IF(I19,B19,"")</x:f>
        <x:v>0.01528010894597948</x:v>
      </x:c>
      <x:c r="K19" s="100" t="n">
        <x:f>IF(I19,E19,"")</x:f>
        <x:v>0.015369865122695784</x:v>
      </x:c>
      <x:c r="L19" s="100" t="n">
        <x:f>IF(I19,G19,"")</x:f>
        <x:v>0.00008975617671630465</x:v>
      </x:c>
      <x:c r="M19" s="100" t="n">
        <x:f>IF(I19,F19^2,"")</x:f>
        <x:v>8.056171258728508e-9</x:v>
      </x:c>
      <x:c r="N19" s="100" t="n">
        <x:f>IF(I19,F19,"")</x:f>
        <x:v>0.00008975617671630465</x:v>
      </x:c>
      <x:c r="P19" t="n">
        <x:f>J19</x:f>
        <x:v>0.01528010894597948</x:v>
      </x:c>
      <x:c r="Q19" t="n">
        <x:f>K19</x:f>
        <x:v>0.015369865122695784</x:v>
      </x:c>
    </x:row>
    <x:row r="20">
      <x:c r="A20" s="99" t="str">
        <x:f>'Raw R'!B14</x:f>
        <x:v>00048</x:v>
      </x:c>
      <x:c r="B20" s="100" t="n">
        <x:f>INDEX('Raw Stations'!$D$2:$D$299,MATCH(A20,'Raw Stations'!$A$2:$A$299,0))</x:f>
        <x:v>0.01644389798776964</x:v>
      </x:c>
      <x:c r="C20" s="100" t="n">
        <x:f>'Raw R'!L14</x:f>
        <x:v>-0.004411894109061926</x:v>
      </x:c>
      <x:c r="D20" s="100" t="n">
        <x:f>$B$2</x:f>
        <x:v>-0.01791329208576473</x:v>
      </x:c>
      <x:c r="E20" s="100" t="n">
        <x:f>C20-D20</x:f>
        <x:v>0.013501397976702804</x:v>
      </x:c>
      <x:c r="F20" s="100" t="n">
        <x:f>E20-B20</x:f>
        <x:v>-0.0029425000110668356</x:v>
      </x:c>
      <x:c r="G20" s="100" t="n">
        <x:f>ABS(F20)</x:f>
        <x:v>0.0029425000110668356</x:v>
      </x:c>
      <x:c r="H20" s="100" t="n">
        <x:f>'Raw R'!N14</x:f>
        <x:v>0.9600347858773901</x:v>
      </x:c>
      <x:c r="I20" t="b">
        <x:f>'Raw R'!O14</x:f>
        <x:v>1</x:v>
      </x:c>
      <x:c r="J20" s="100" t="n">
        <x:f>IF(I20,B20,"")</x:f>
        <x:v>0.01644389798776964</x:v>
      </x:c>
      <x:c r="K20" s="100" t="n">
        <x:f>IF(I20,E20,"")</x:f>
        <x:v>0.013501397976702804</x:v>
      </x:c>
      <x:c r="L20" s="100" t="n">
        <x:f>IF(I20,G20,"")</x:f>
        <x:v>0.0029425000110668356</x:v>
      </x:c>
      <x:c r="M20" s="100" t="n">
        <x:f>IF(I20,F20^2,"")</x:f>
        <x:v>0.000008658306315128328</x:v>
      </x:c>
      <x:c r="N20" s="100" t="n">
        <x:f>IF(I20,F20,"")</x:f>
        <x:v>-0.0029425000110668356</x:v>
      </x:c>
      <x:c r="P20" t="n">
        <x:f>J20</x:f>
        <x:v>0.01644389798776964</x:v>
      </x:c>
      <x:c r="Q20" t="n">
        <x:f>K20</x:f>
        <x:v>0.013501397976702804</x:v>
      </x:c>
    </x:row>
    <x:row r="21">
      <x:c r="A21" s="99" t="str">
        <x:f>'Raw R'!B15</x:f>
        <x:v>00049</x:v>
      </x:c>
      <x:c r="B21" s="100" t="n">
        <x:f>INDEX('Raw Stations'!$D$2:$D$299,MATCH(A21,'Raw Stations'!$A$2:$A$299,0))</x:f>
        <x:v>0.002435572463590521</x:v>
      </x:c>
      <x:c r="C21" s="100" t="n">
        <x:f>'Raw R'!L15</x:f>
        <x:v>-0.0153879634454579</x:v>
      </x:c>
      <x:c r="D21" s="100" t="n">
        <x:f>$B$2</x:f>
        <x:v>-0.01791329208576473</x:v>
      </x:c>
      <x:c r="E21" s="100" t="n">
        <x:f>C21-D21</x:f>
        <x:v>0.0025253286403068287</x:v>
      </x:c>
      <x:c r="F21" s="100" t="n">
        <x:f>E21-B21</x:f>
        <x:v>0.00008975617671630768</x:v>
      </x:c>
      <x:c r="G21" s="100" t="n">
        <x:f>ABS(F21)</x:f>
        <x:v>0.00008975617671630768</x:v>
      </x:c>
      <x:c r="H21" s="100" t="n">
        <x:f>'Raw R'!N15</x:f>
        <x:v>0.9736660454629678</x:v>
      </x:c>
      <x:c r="I21" t="b">
        <x:f>'Raw R'!O15</x:f>
        <x:v>1</x:v>
      </x:c>
      <x:c r="J21" s="100" t="n">
        <x:f>IF(I21,B21,"")</x:f>
        <x:v>0.002435572463590521</x:v>
      </x:c>
      <x:c r="K21" s="100" t="n">
        <x:f>IF(I21,E21,"")</x:f>
        <x:v>0.0025253286403068287</x:v>
      </x:c>
      <x:c r="L21" s="100" t="n">
        <x:f>IF(I21,G21,"")</x:f>
        <x:v>0.00008975617671630768</x:v>
      </x:c>
      <x:c r="M21" s="100" t="n">
        <x:f>IF(I21,F21^2,"")</x:f>
        <x:v>8.056171258729054e-9</x:v>
      </x:c>
      <x:c r="N21" s="100" t="n">
        <x:f>IF(I21,F21,"")</x:f>
        <x:v>0.00008975617671630768</x:v>
      </x:c>
      <x:c r="P21" t="n">
        <x:f>J21</x:f>
        <x:v>0.002435572463590521</x:v>
      </x:c>
      <x:c r="Q21" t="n">
        <x:f>K21</x:f>
        <x:v>0.0025253286403068287</x:v>
      </x:c>
    </x:row>
    <x:row r="22">
      <x:c r="A22" s="99" t="str">
        <x:f>'Raw R'!B16</x:f>
        <x:v>00051</x:v>
      </x:c>
      <x:c r="B22" s="100" t="n">
        <x:f>INDEX('Raw Stations'!$D$2:$D$299,MATCH(A22,'Raw Stations'!$A$2:$A$299,0))</x:f>
        <x:v>-0.00304927875036071</x:v>
      </x:c>
      <x:c r="C22" s="100" t="n">
        <x:f>'Raw R'!L16</x:f>
        <x:v>-0.02282947604189878</x:v>
      </x:c>
      <x:c r="D22" s="100" t="n">
        <x:f>$B$2</x:f>
        <x:v>-0.01791329208576473</x:v>
      </x:c>
      <x:c r="E22" s="100" t="n">
        <x:f>C22-D22</x:f>
        <x:v>-0.0049161839561340515</x:v>
      </x:c>
      <x:c r="F22" s="100" t="n">
        <x:f>E22-B22</x:f>
        <x:v>-0.0018669052057733414</x:v>
      </x:c>
      <x:c r="G22" s="100" t="n">
        <x:f>ABS(F22)</x:f>
        <x:v>0.0018669052057733414</x:v>
      </x:c>
      <x:c r="H22" s="100" t="n">
        <x:f>'Raw R'!N16</x:f>
        <x:v>0.9524612893813336</x:v>
      </x:c>
      <x:c r="I22" t="b">
        <x:f>'Raw R'!O16</x:f>
        <x:v>1</x:v>
      </x:c>
      <x:c r="J22" s="100" t="n">
        <x:f>IF(I22,B22,"")</x:f>
        <x:v>-0.00304927875036071</x:v>
      </x:c>
      <x:c r="K22" s="100" t="n">
        <x:f>IF(I22,E22,"")</x:f>
        <x:v>-0.0049161839561340515</x:v>
      </x:c>
      <x:c r="L22" s="100" t="n">
        <x:f>IF(I22,G22,"")</x:f>
        <x:v>0.0018669052057733414</x:v>
      </x:c>
      <x:c r="M22" s="100" t="n">
        <x:f>IF(I22,F22^2,"")</x:f>
        <x:v>0.000003485335047343602</x:v>
      </x:c>
      <x:c r="N22" s="100" t="n">
        <x:f>IF(I22,F22,"")</x:f>
        <x:v>-0.0018669052057733414</x:v>
      </x:c>
      <x:c r="P22" t="n">
        <x:f>J22</x:f>
        <x:v>-0.00304927875036071</x:v>
      </x:c>
      <x:c r="Q22" t="n">
        <x:f>K22</x:f>
        <x:v>-0.0049161839561340515</x:v>
      </x:c>
    </x:row>
    <x:row r="23">
      <x:c r="A23" s="99" t="str">
        <x:f>'Raw R'!B17</x:f>
        <x:v>00052</x:v>
      </x:c>
      <x:c r="B23" s="100" t="n">
        <x:f>INDEX('Raw Stations'!$D$2:$D$299,MATCH(A23,'Raw Stations'!$A$2:$A$299,0))</x:f>
        <x:v>0.000814765883671513</x:v>
      </x:c>
      <x:c r="C23" s="100" t="n">
        <x:f>'Raw R'!L17</x:f>
        <x:v>-0.01627461345558315</x:v>
      </x:c>
      <x:c r="D23" s="100" t="n">
        <x:f>$B$2</x:f>
        <x:v>-0.01791329208576473</x:v>
      </x:c>
      <x:c r="E23" s="100" t="n">
        <x:f>C23-D23</x:f>
        <x:v>0.0016386786301815781</x:v>
      </x:c>
      <x:c r="F23" s="100" t="n">
        <x:f>E23-B23</x:f>
        <x:v>0.0008239127465100651</x:v>
      </x:c>
      <x:c r="G23" s="100" t="n">
        <x:f>ABS(F23)</x:f>
        <x:v>0.0008239127465100651</x:v>
      </x:c>
      <x:c r="H23" s="100" t="n">
        <x:f>'Raw R'!N17</x:f>
        <x:v>0.982320907111844</x:v>
      </x:c>
      <x:c r="I23" t="b">
        <x:f>'Raw R'!O17</x:f>
        <x:v>1</x:v>
      </x:c>
      <x:c r="J23" s="100" t="n">
        <x:f>IF(I23,B23,"")</x:f>
        <x:v>0.000814765883671513</x:v>
      </x:c>
      <x:c r="K23" s="100" t="n">
        <x:f>IF(I23,E23,"")</x:f>
        <x:v>0.0016386786301815781</x:v>
      </x:c>
      <x:c r="L23" s="100" t="n">
        <x:f>IF(I23,G23,"")</x:f>
        <x:v>0.0008239127465100651</x:v>
      </x:c>
      <x:c r="M23" s="100" t="n">
        <x:f>IF(I23,F23^2,"")</x:f>
        <x:v>6.788322138617589e-7</x:v>
      </x:c>
      <x:c r="N23" s="100" t="n">
        <x:f>IF(I23,F23,"")</x:f>
        <x:v>0.0008239127465100651</x:v>
      </x:c>
      <x:c r="P23" t="n">
        <x:f>J23</x:f>
        <x:v>0.000814765883671513</x:v>
      </x:c>
      <x:c r="Q23" t="n">
        <x:f>K23</x:f>
        <x:v>0.0016386786301815781</x:v>
      </x:c>
    </x:row>
    <x:row r="24">
      <x:c r="A24" s="99" t="str">
        <x:f>'Raw R'!B18</x:f>
        <x:v>00053</x:v>
      </x:c>
      <x:c r="B24" s="100" t="n">
        <x:f>INDEX('Raw Stations'!$D$2:$D$299,MATCH(A24,'Raw Stations'!$A$2:$A$299,0))</x:f>
        <x:v>-0.001777453088283948</x:v>
      </x:c>
      <x:c r="C24" s="100" t="n">
        <x:f>'Raw R'!L18</x:f>
        <x:v>-0.02116541653374185</x:v>
      </x:c>
      <x:c r="D24" s="100" t="n">
        <x:f>$B$2</x:f>
        <x:v>-0.01791329208576473</x:v>
      </x:c>
      <x:c r="E24" s="100" t="n">
        <x:f>C24-D24</x:f>
        <x:v>-0.0032521244479771193</x:v>
      </x:c>
      <x:c r="F24" s="100" t="n">
        <x:f>E24-B24</x:f>
        <x:v>-0.0014746713596931712</x:v>
      </x:c>
      <x:c r="G24" s="100" t="n">
        <x:f>ABS(F24)</x:f>
        <x:v>0.0014746713596931712</x:v>
      </x:c>
      <x:c r="H24" s="100" t="n">
        <x:f>'Raw R'!N18</x:f>
        <x:v>0.9836036200515975</x:v>
      </x:c>
      <x:c r="I24" t="b">
        <x:f>'Raw R'!O18</x:f>
        <x:v>1</x:v>
      </x:c>
      <x:c r="J24" s="100" t="n">
        <x:f>IF(I24,B24,"")</x:f>
        <x:v>-0.001777453088283948</x:v>
      </x:c>
      <x:c r="K24" s="100" t="n">
        <x:f>IF(I24,E24,"")</x:f>
        <x:v>-0.0032521244479771193</x:v>
      </x:c>
      <x:c r="L24" s="100" t="n">
        <x:f>IF(I24,G24,"")</x:f>
        <x:v>0.0014746713596931712</x:v>
      </x:c>
      <x:c r="M24" s="100" t="n">
        <x:f>IF(I24,F24^2,"")</x:f>
        <x:v>0.0000021746556190993063</x:v>
      </x:c>
      <x:c r="N24" s="100" t="n">
        <x:f>IF(I24,F24,"")</x:f>
        <x:v>-0.0014746713596931712</x:v>
      </x:c>
      <x:c r="P24" t="n">
        <x:f>J24</x:f>
        <x:v>-0.001777453088283948</x:v>
      </x:c>
      <x:c r="Q24" t="n">
        <x:f>K24</x:f>
        <x:v>-0.0032521244479771193</x:v>
      </x:c>
    </x:row>
    <x:row r="25">
      <x:c r="A25" s="99" t="str">
        <x:f>'Raw R'!B19</x:f>
        <x:v>00054</x:v>
      </x:c>
      <x:c r="B25" s="100" t="n">
        <x:f>INDEX('Raw Stations'!$D$2:$D$299,MATCH(A25,'Raw Stations'!$A$2:$A$299,0))</x:f>
        <x:v>-0.00139910433944199</x:v>
      </x:c>
      <x:c r="C25" s="100" t="n">
        <x:f>'Raw R'!L19</x:f>
        <x:v>-0.01717930163098005</x:v>
      </x:c>
      <x:c r="D25" s="100" t="n">
        <x:f>$B$2</x:f>
        <x:v>-0.01791329208576473</x:v>
      </x:c>
      <x:c r="E25" s="100" t="n">
        <x:f>C25-D25</x:f>
        <x:v>0.000733990454784679</x:v>
      </x:c>
      <x:c r="F25" s="100" t="n">
        <x:f>E25-B25</x:f>
        <x:v>0.002133094794226669</x:v>
      </x:c>
      <x:c r="G25" s="100" t="n">
        <x:f>ABS(F25)</x:f>
        <x:v>0.002133094794226669</x:v>
      </x:c>
      <x:c r="H25" s="100" t="n">
        <x:f>'Raw R'!N19</x:f>
        <x:v>0.9677010245935657</x:v>
      </x:c>
      <x:c r="I25" t="b">
        <x:f>'Raw R'!O19</x:f>
        <x:v>1</x:v>
      </x:c>
      <x:c r="J25" s="100" t="n">
        <x:f>IF(I25,B25,"")</x:f>
        <x:v>-0.00139910433944199</x:v>
      </x:c>
      <x:c r="K25" s="100" t="n">
        <x:f>IF(I25,E25,"")</x:f>
        <x:v>0.000733990454784679</x:v>
      </x:c>
      <x:c r="L25" s="100" t="n">
        <x:f>IF(I25,G25,"")</x:f>
        <x:v>0.002133094794226669</x:v>
      </x:c>
      <x:c r="M25" s="100" t="n">
        <x:f>IF(I25,F25^2,"")</x:f>
        <x:v>0.000004550093401156916</x:v>
      </x:c>
      <x:c r="N25" s="100" t="n">
        <x:f>IF(I25,F25,"")</x:f>
        <x:v>0.002133094794226669</x:v>
      </x:c>
      <x:c r="P25" t="n">
        <x:f>J25</x:f>
        <x:v>-0.00139910433944199</x:v>
      </x:c>
      <x:c r="Q25" t="n">
        <x:f>K25</x:f>
        <x:v>0.000733990454784679</x:v>
      </x:c>
    </x:row>
    <x:row r="26">
      <x:c r="A26" s="99" t="str">
        <x:f>'Raw R'!B20</x:f>
        <x:v>00055</x:v>
      </x:c>
      <x:c r="B26" s="100" t="n">
        <x:f>INDEX('Raw Stations'!$D$2:$D$299,MATCH(A26,'Raw Stations'!$A$2:$A$299,0))</x:f>
        <x:v>-0.0008299823692701699</x:v>
      </x:c>
      <x:c r="C26" s="100" t="n">
        <x:f>'Raw R'!L20</x:f>
        <x:v>-0.01383920735732086</x:v>
      </x:c>
      <x:c r="D26" s="100" t="n">
        <x:f>$B$2</x:f>
        <x:v>-0.01791329208576473</x:v>
      </x:c>
      <x:c r="E26" s="100" t="n">
        <x:f>C26-D26</x:f>
        <x:v>0.00407408472844387</x:v>
      </x:c>
      <x:c r="F26" s="100" t="n">
        <x:f>E26-B26</x:f>
        <x:v>0.00490406709771404</x:v>
      </x:c>
      <x:c r="G26" s="100" t="n">
        <x:f>ABS(F26)</x:f>
        <x:v>0.00490406709771404</x:v>
      </x:c>
      <x:c r="H26" s="100" t="n">
        <x:f>'Raw R'!N20</x:f>
        <x:v>0.9792848554674664</x:v>
      </x:c>
      <x:c r="I26" t="b">
        <x:f>'Raw R'!O20</x:f>
        <x:v>1</x:v>
      </x:c>
      <x:c r="J26" s="100" t="n">
        <x:f>IF(I26,B26,"")</x:f>
        <x:v>-0.0008299823692701699</x:v>
      </x:c>
      <x:c r="K26" s="100" t="n">
        <x:f>IF(I26,E26,"")</x:f>
        <x:v>0.00407408472844387</x:v>
      </x:c>
      <x:c r="L26" s="100" t="n">
        <x:f>IF(I26,G26,"")</x:f>
        <x:v>0.00490406709771404</x:v>
      </x:c>
      <x:c r="M26" s="100" t="n">
        <x:f>IF(I26,F26^2,"")</x:f>
        <x:v>0.000024049874098881407</x:v>
      </x:c>
      <x:c r="N26" s="100" t="n">
        <x:f>IF(I26,F26,"")</x:f>
        <x:v>0.00490406709771404</x:v>
      </x:c>
      <x:c r="P26" t="n">
        <x:f>J26</x:f>
        <x:v>-0.0008299823692701699</x:v>
      </x:c>
      <x:c r="Q26" t="n">
        <x:f>K26</x:f>
        <x:v>0.00407408472844387</x:v>
      </x:c>
    </x:row>
    <x:row r="27">
      <x:c r="A27" s="99" t="str">
        <x:f>'Raw R'!B21</x:f>
        <x:v>00056</x:v>
      </x:c>
      <x:c r="B27" s="100" t="n">
        <x:f>INDEX('Raw Stations'!$D$2:$D$299,MATCH(A27,'Raw Stations'!$A$2:$A$299,0))</x:f>
        <x:v>-0.0001455628683264855</x:v>
      </x:c>
      <x:c r="C27" s="100" t="n">
        <x:f>'Raw R'!L21</x:f>
        <x:v>-0.01745667829968217</x:v>
      </x:c>
      <x:c r="D27" s="100" t="n">
        <x:f>$B$2</x:f>
        <x:v>-0.01791329208576473</x:v>
      </x:c>
      <x:c r="E27" s="100" t="n">
        <x:f>C27-D27</x:f>
        <x:v>0.00045661378608255823</x:v>
      </x:c>
      <x:c r="F27" s="100" t="n">
        <x:f>E27-B27</x:f>
        <x:v>0.0006021766544090437</x:v>
      </x:c>
      <x:c r="G27" s="100" t="n">
        <x:f>ABS(F27)</x:f>
        <x:v>0.0006021766544090437</x:v>
      </x:c>
      <x:c r="H27" s="100" t="n">
        <x:f>'Raw R'!N21</x:f>
        <x:v>0.9864129926093869</x:v>
      </x:c>
      <x:c r="I27" t="b">
        <x:f>'Raw R'!O21</x:f>
        <x:v>1</x:v>
      </x:c>
      <x:c r="J27" s="100" t="n">
        <x:f>IF(I27,B27,"")</x:f>
        <x:v>-0.0001455628683264855</x:v>
      </x:c>
      <x:c r="K27" s="100" t="n">
        <x:f>IF(I27,E27,"")</x:f>
        <x:v>0.00045661378608255823</x:v>
      </x:c>
      <x:c r="L27" s="100" t="n">
        <x:f>IF(I27,G27,"")</x:f>
        <x:v>0.0006021766544090437</x:v>
      </x:c>
      <x:c r="M27" s="100" t="n">
        <x:f>IF(I27,F27^2,"")</x:f>
        <x:v>3.626167231152689e-7</x:v>
      </x:c>
      <x:c r="N27" s="100" t="n">
        <x:f>IF(I27,F27,"")</x:f>
        <x:v>0.0006021766544090437</x:v>
      </x:c>
      <x:c r="P27" t="n">
        <x:f>J27</x:f>
        <x:v>-0.0001455628683264855</x:v>
      </x:c>
      <x:c r="Q27" t="n">
        <x:f>K27</x:f>
        <x:v>0.00045661378608255823</x:v>
      </x:c>
    </x:row>
    <x:row r="28">
      <x:c r="A28" s="99" t="str">
        <x:f>'Raw R'!B22</x:f>
        <x:v>00057</x:v>
      </x:c>
      <x:c r="B28" s="100" t="n">
        <x:f>INDEX('Raw Stations'!$D$2:$D$299,MATCH(A28,'Raw Stations'!$A$2:$A$299,0))</x:f>
        <x:v>0.003210485626882521</x:v>
      </x:c>
      <x:c r="C28" s="100" t="n">
        <x:f>'Raw R'!L22</x:f>
        <x:v>-0.01324805801645762</x:v>
      </x:c>
      <x:c r="D28" s="100" t="n">
        <x:f>$B$2</x:f>
        <x:v>-0.01791329208576473</x:v>
      </x:c>
      <x:c r="E28" s="100" t="n">
        <x:f>C28-D28</x:f>
        <x:v>0.004665234069307109</x:v>
      </x:c>
      <x:c r="F28" s="100" t="n">
        <x:f>E28-B28</x:f>
        <x:v>0.0014547484424245883</x:v>
      </x:c>
      <x:c r="G28" s="100" t="n">
        <x:f>ABS(F28)</x:f>
        <x:v>0.0014547484424245883</x:v>
      </x:c>
      <x:c r="H28" s="100" t="n">
        <x:f>'Raw R'!N22</x:f>
        <x:v>0.9913176062323976</x:v>
      </x:c>
      <x:c r="I28" t="b">
        <x:f>'Raw R'!O22</x:f>
        <x:v>1</x:v>
      </x:c>
      <x:c r="J28" s="100" t="n">
        <x:f>IF(I28,B28,"")</x:f>
        <x:v>0.003210485626882521</x:v>
      </x:c>
      <x:c r="K28" s="100" t="n">
        <x:f>IF(I28,E28,"")</x:f>
        <x:v>0.004665234069307109</x:v>
      </x:c>
      <x:c r="L28" s="100" t="n">
        <x:f>IF(I28,G28,"")</x:f>
        <x:v>0.0014547484424245883</x:v>
      </x:c>
      <x:c r="M28" s="100" t="n">
        <x:f>IF(I28,F28^2,"")</x:f>
        <x:v>0.0000021162930307367657</x:v>
      </x:c>
      <x:c r="N28" s="100" t="n">
        <x:f>IF(I28,F28,"")</x:f>
        <x:v>0.0014547484424245883</x:v>
      </x:c>
      <x:c r="P28" t="n">
        <x:f>J28</x:f>
        <x:v>0.003210485626882521</x:v>
      </x:c>
      <x:c r="Q28" t="n">
        <x:f>K28</x:f>
        <x:v>0.004665234069307109</x:v>
      </x:c>
    </x:row>
    <x:row r="29">
      <x:c r="A29" s="99" t="str">
        <x:f>'Raw R'!B23</x:f>
        <x:v>00059</x:v>
      </x:c>
      <x:c r="B29" s="100" t="n">
        <x:f>INDEX('Raw Stations'!$D$2:$D$299,MATCH(A29,'Raw Stations'!$A$2:$A$299,0))</x:f>
        <x:v>0.01677899036493022</x:v>
      </x:c>
      <x:c r="C29" s="100" t="n">
        <x:f>'Raw R'!L23</x:f>
        <x:v>-0.004716469425865316</x:v>
      </x:c>
      <x:c r="D29" s="100" t="n">
        <x:f>$B$2</x:f>
        <x:v>-0.01791329208576473</x:v>
      </x:c>
      <x:c r="E29" s="100" t="n">
        <x:f>C29-D29</x:f>
        <x:v>0.013196822659899413</x:v>
      </x:c>
      <x:c r="F29" s="100" t="n">
        <x:f>E29-B29</x:f>
        <x:v>-0.0035821677050308053</x:v>
      </x:c>
      <x:c r="G29" s="100" t="n">
        <x:f>ABS(F29)</x:f>
        <x:v>0.0035821677050308053</x:v>
      </x:c>
      <x:c r="H29" s="100" t="n">
        <x:f>'Raw R'!N23</x:f>
        <x:v>0.9037000974668492</x:v>
      </x:c>
      <x:c r="I29" t="b">
        <x:f>'Raw R'!O23</x:f>
        <x:v>1</x:v>
      </x:c>
      <x:c r="J29" s="100" t="n">
        <x:f>IF(I29,B29,"")</x:f>
        <x:v>0.01677899036493022</x:v>
      </x:c>
      <x:c r="K29" s="100" t="n">
        <x:f>IF(I29,E29,"")</x:f>
        <x:v>0.013196822659899413</x:v>
      </x:c>
      <x:c r="L29" s="100" t="n">
        <x:f>IF(I29,G29,"")</x:f>
        <x:v>0.0035821677050308053</x:v>
      </x:c>
      <x:c r="M29" s="100" t="n">
        <x:f>IF(I29,F29^2,"")</x:f>
        <x:v>0.000012831925466965666</x:v>
      </x:c>
      <x:c r="N29" s="100" t="n">
        <x:f>IF(I29,F29,"")</x:f>
        <x:v>-0.0035821677050308053</x:v>
      </x:c>
      <x:c r="P29" t="n">
        <x:f>J29</x:f>
        <x:v>0.01677899036493022</x:v>
      </x:c>
      <x:c r="Q29" t="n">
        <x:f>K29</x:f>
        <x:v>0.013196822659899413</x:v>
      </x:c>
    </x:row>
    <x:row r="30">
      <x:c r="A30" s="99" t="str">
        <x:f>'Raw R'!B24</x:f>
        <x:v>00060</x:v>
      </x:c>
      <x:c r="B30" s="100" t="n">
        <x:f>INDEX('Raw Stations'!$D$2:$D$299,MATCH(A30,'Raw Stations'!$A$2:$A$299,0))</x:f>
        <x:v>0.01538300236054295</x:v>
      </x:c>
      <x:c r="C30" s="100" t="n">
        <x:f>'Raw R'!L24</x:f>
        <x:v>-0.004082524237848023</x:v>
      </x:c>
      <x:c r="D30" s="100" t="n">
        <x:f>$B$2</x:f>
        <x:v>-0.01791329208576473</x:v>
      </x:c>
      <x:c r="E30" s="100" t="n">
        <x:f>C30-D30</x:f>
        <x:v>0.013830767847916706</x:v>
      </x:c>
      <x:c r="F30" s="100" t="n">
        <x:f>E30-B30</x:f>
        <x:v>-0.001552234512626243</x:v>
      </x:c>
      <x:c r="G30" s="100" t="n">
        <x:f>ABS(F30)</x:f>
        <x:v>0.001552234512626243</x:v>
      </x:c>
      <x:c r="H30" s="100" t="n">
        <x:f>'Raw R'!N24</x:f>
        <x:v>0.9791957849926318</x:v>
      </x:c>
      <x:c r="I30" t="b">
        <x:f>'Raw R'!O24</x:f>
        <x:v>1</x:v>
      </x:c>
      <x:c r="J30" s="100" t="n">
        <x:f>IF(I30,B30,"")</x:f>
        <x:v>0.01538300236054295</x:v>
      </x:c>
      <x:c r="K30" s="100" t="n">
        <x:f>IF(I30,E30,"")</x:f>
        <x:v>0.013830767847916706</x:v>
      </x:c>
      <x:c r="L30" s="100" t="n">
        <x:f>IF(I30,G30,"")</x:f>
        <x:v>0.001552234512626243</x:v>
      </x:c>
      <x:c r="M30" s="100" t="n">
        <x:f>IF(I30,F30^2,"")</x:f>
        <x:v>0.0000024094319821880302</x:v>
      </x:c>
      <x:c r="N30" s="100" t="n">
        <x:f>IF(I30,F30,"")</x:f>
        <x:v>-0.001552234512626243</x:v>
      </x:c>
      <x:c r="P30" t="n">
        <x:f>J30</x:f>
        <x:v>0.01538300236054295</x:v>
      </x:c>
      <x:c r="Q30" t="n">
        <x:f>K30</x:f>
        <x:v>0.013830767847916706</x:v>
      </x:c>
    </x:row>
    <x:row r="31">
      <x:c r="A31" s="99" t="str">
        <x:f>'Raw R'!B25</x:f>
        <x:v>00061</x:v>
      </x:c>
      <x:c r="B31" s="100" t="n">
        <x:f>INDEX('Raw Stations'!$D$2:$D$299,MATCH(A31,'Raw Stations'!$A$2:$A$299,0))</x:f>
        <x:v>0.01209617621466055</x:v>
      </x:c>
      <x:c r="C31" s="100" t="n">
        <x:f>'Raw R'!L25</x:f>
        <x:v>-0.006414172310876931</x:v>
      </x:c>
      <x:c r="D31" s="100" t="n">
        <x:f>$B$2</x:f>
        <x:v>-0.01791329208576473</x:v>
      </x:c>
      <x:c r="E31" s="100" t="n">
        <x:f>C31-D31</x:f>
        <x:v>0.011499119774887798</x:v>
      </x:c>
      <x:c r="F31" s="100" t="n">
        <x:f>E31-B31</x:f>
        <x:v>-0.0005970564397727515</x:v>
      </x:c>
      <x:c r="G31" s="100" t="n">
        <x:f>ABS(F31)</x:f>
        <x:v>0.0005970564397727515</x:v>
      </x:c>
      <x:c r="H31" s="100" t="n">
        <x:f>'Raw R'!N25</x:f>
        <x:v>0.9878808987646914</x:v>
      </x:c>
      <x:c r="I31" t="b">
        <x:f>'Raw R'!O25</x:f>
        <x:v>1</x:v>
      </x:c>
      <x:c r="J31" s="100" t="n">
        <x:f>IF(I31,B31,"")</x:f>
        <x:v>0.01209617621466055</x:v>
      </x:c>
      <x:c r="K31" s="100" t="n">
        <x:f>IF(I31,E31,"")</x:f>
        <x:v>0.011499119774887798</x:v>
      </x:c>
      <x:c r="L31" s="100" t="n">
        <x:f>IF(I31,G31,"")</x:f>
        <x:v>0.0005970564397727515</x:v>
      </x:c>
      <x:c r="M31" s="100" t="n">
        <x:f>IF(I31,F31^2,"")</x:f>
        <x:v>3.5647639227411327e-7</x:v>
      </x:c>
      <x:c r="N31" s="100" t="n">
        <x:f>IF(I31,F31,"")</x:f>
        <x:v>-0.0005970564397727515</x:v>
      </x:c>
      <x:c r="P31" t="n">
        <x:f>J31</x:f>
        <x:v>0.01209617621466055</x:v>
      </x:c>
      <x:c r="Q31" t="n">
        <x:f>K31</x:f>
        <x:v>0.011499119774887798</x:v>
      </x:c>
    </x:row>
    <x:row r="32">
      <x:c r="A32" s="99" t="str">
        <x:f>'Raw R'!B26</x:f>
        <x:v>00062</x:v>
      </x:c>
      <x:c r="B32" s="100" t="n">
        <x:f>INDEX('Raw Stations'!$D$2:$D$299,MATCH(A32,'Raw Stations'!$A$2:$A$299,0))</x:f>
        <x:v>0.02100475637705957</x:v>
      </x:c>
      <x:c r="C32" s="100" t="n">
        <x:f>'Raw R'!L26</x:f>
        <x:v>0.001461666625735533</x:v>
      </x:c>
      <x:c r="D32" s="100" t="n">
        <x:f>$B$2</x:f>
        <x:v>-0.01791329208576473</x:v>
      </x:c>
      <x:c r="E32" s="100" t="n">
        <x:f>C32-D32</x:f>
        <x:v>0.019374958711500263</x:v>
      </x:c>
      <x:c r="F32" s="100" t="n">
        <x:f>E32-B32</x:f>
        <x:v>-0.0016297976655593079</x:v>
      </x:c>
      <x:c r="G32" s="100" t="n">
        <x:f>ABS(F32)</x:f>
        <x:v>0.0016297976655593079</x:v>
      </x:c>
      <x:c r="H32" s="100" t="n">
        <x:f>'Raw R'!N26</x:f>
        <x:v>0.9694205829362538</x:v>
      </x:c>
      <x:c r="I32" t="b">
        <x:f>'Raw R'!O26</x:f>
        <x:v>1</x:v>
      </x:c>
      <x:c r="J32" s="100" t="n">
        <x:f>IF(I32,B32,"")</x:f>
        <x:v>0.02100475637705957</x:v>
      </x:c>
      <x:c r="K32" s="100" t="n">
        <x:f>IF(I32,E32,"")</x:f>
        <x:v>0.019374958711500263</x:v>
      </x:c>
      <x:c r="L32" s="100" t="n">
        <x:f>IF(I32,G32,"")</x:f>
        <x:v>0.0016297976655593079</x:v>
      </x:c>
      <x:c r="M32" s="100" t="n">
        <x:f>IF(I32,F32^2,"")</x:f>
        <x:v>0.0000026562404306625695</x:v>
      </x:c>
      <x:c r="N32" s="100" t="n">
        <x:f>IF(I32,F32,"")</x:f>
        <x:v>-0.0016297976655593079</x:v>
      </x:c>
      <x:c r="P32" t="n">
        <x:f>J32</x:f>
        <x:v>0.02100475637705957</x:v>
      </x:c>
      <x:c r="Q32" t="n">
        <x:f>K32</x:f>
        <x:v>0.019374958711500263</x:v>
      </x:c>
    </x:row>
    <x:row r="33">
      <x:c r="A33" s="99" t="str">
        <x:f>'Raw R'!B27</x:f>
        <x:v>00063</x:v>
      </x:c>
      <x:c r="B33" s="100" t="n">
        <x:f>INDEX('Raw Stations'!$D$2:$D$299,MATCH(A33,'Raw Stations'!$A$2:$A$299,0))</x:f>
        <x:v>-0.001555160798704242</x:v>
      </x:c>
      <x:c r="C33" s="100" t="n">
        <x:f>'Raw R'!L27</x:f>
        <x:v>-0.02111275944130922</x:v>
      </x:c>
      <x:c r="D33" s="100" t="n">
        <x:f>$B$2</x:f>
        <x:v>-0.01791329208576473</x:v>
      </x:c>
      <x:c r="E33" s="100" t="n">
        <x:f>C33-D33</x:f>
        <x:v>-0.0031994673555444907</x:v>
      </x:c>
      <x:c r="F33" s="100" t="n">
        <x:f>E33-B33</x:f>
        <x:v>-0.0016443065568402487</x:v>
      </x:c>
      <x:c r="G33" s="100" t="n">
        <x:f>ABS(F33)</x:f>
        <x:v>0.0016443065568402487</x:v>
      </x:c>
      <x:c r="H33" s="100" t="n">
        <x:f>'Raw R'!N27</x:f>
        <x:v>0.977258336220319</x:v>
      </x:c>
      <x:c r="I33" t="b">
        <x:f>'Raw R'!O27</x:f>
        <x:v>1</x:v>
      </x:c>
      <x:c r="J33" s="100" t="n">
        <x:f>IF(I33,B33,"")</x:f>
        <x:v>-0.001555160798704242</x:v>
      </x:c>
      <x:c r="K33" s="100" t="n">
        <x:f>IF(I33,E33,"")</x:f>
        <x:v>-0.0031994673555444907</x:v>
      </x:c>
      <x:c r="L33" s="100" t="n">
        <x:f>IF(I33,G33,"")</x:f>
        <x:v>0.0016443065568402487</x:v>
      </x:c>
      <x:c r="M33" s="100" t="n">
        <x:f>IF(I33,F33^2,"")</x:f>
        <x:v>0.000002703744052867834</x:v>
      </x:c>
      <x:c r="N33" s="100" t="n">
        <x:f>IF(I33,F33,"")</x:f>
        <x:v>-0.0016443065568402487</x:v>
      </x:c>
      <x:c r="P33" t="n">
        <x:f>J33</x:f>
        <x:v>-0.001555160798704242</x:v>
      </x:c>
      <x:c r="Q33" t="n">
        <x:f>K33</x:f>
        <x:v>-0.0031994673555444907</x:v>
      </x:c>
    </x:row>
    <x:row r="34">
      <x:c r="A34" s="99" t="str">
        <x:f>'Raw R'!B28</x:f>
        <x:v>00064</x:v>
      </x:c>
      <x:c r="B34" s="100" t="n">
        <x:f>INDEX('Raw Stations'!$D$2:$D$299,MATCH(A34,'Raw Stations'!$A$2:$A$299,0))</x:f>
        <x:v>-0.002851098971430328</x:v>
      </x:c>
      <x:c r="C34" s="100" t="n">
        <x:f>'Raw R'!L28</x:f>
        <x:v>-0.02239418872275437</x:v>
      </x:c>
      <x:c r="D34" s="100" t="n">
        <x:f>$B$2</x:f>
        <x:v>-0.01791329208576473</x:v>
      </x:c>
      <x:c r="E34" s="100" t="n">
        <x:f>C34-D34</x:f>
        <x:v>-0.00448089663698964</x:v>
      </x:c>
      <x:c r="F34" s="100" t="n">
        <x:f>E34-B34</x:f>
        <x:v>-0.0016297976655593118</x:v>
      </x:c>
      <x:c r="G34" s="100" t="n">
        <x:f>ABS(F34)</x:f>
        <x:v>0.0016297976655593118</x:v>
      </x:c>
      <x:c r="H34" s="100" t="n">
        <x:f>'Raw R'!N28</x:f>
        <x:v>0.918880765710822</x:v>
      </x:c>
      <x:c r="I34" t="b">
        <x:f>'Raw R'!O28</x:f>
        <x:v>1</x:v>
      </x:c>
      <x:c r="J34" s="100" t="n">
        <x:f>IF(I34,B34,"")</x:f>
        <x:v>-0.002851098971430328</x:v>
      </x:c>
      <x:c r="K34" s="100" t="n">
        <x:f>IF(I34,E34,"")</x:f>
        <x:v>-0.00448089663698964</x:v>
      </x:c>
      <x:c r="L34" s="100" t="n">
        <x:f>IF(I34,G34,"")</x:f>
        <x:v>0.0016297976655593118</x:v>
      </x:c>
      <x:c r="M34" s="100" t="n">
        <x:f>IF(I34,F34^2,"")</x:f>
        <x:v>0.000002656240430662582</x:v>
      </x:c>
      <x:c r="N34" s="100" t="n">
        <x:f>IF(I34,F34,"")</x:f>
        <x:v>-0.0016297976655593118</x:v>
      </x:c>
      <x:c r="P34" t="n">
        <x:f>J34</x:f>
        <x:v>-0.002851098971430328</x:v>
      </x:c>
      <x:c r="Q34" t="n">
        <x:f>K34</x:f>
        <x:v>-0.00448089663698964</x:v>
      </x:c>
    </x:row>
    <x:row r="35">
      <x:c r="A35" s="99" t="str">
        <x:f>'Raw R'!B29</x:f>
        <x:v>00065</x:v>
      </x:c>
      <x:c r="B35" s="100" t="n">
        <x:f>INDEX('Raw Stations'!$D$2:$D$299,MATCH(A35,'Raw Stations'!$A$2:$A$299,0))</x:f>
        <x:v>-0.00007756315293306823</x:v>
      </x:c>
      <x:c r="C35" s="100" t="n">
        <x:f>'Raw R'!L29</x:f>
        <x:v>-0.01954308975132404</x:v>
      </x:c>
      <x:c r="D35" s="100" t="n">
        <x:f>$B$2</x:f>
        <x:v>-0.01791329208576473</x:v>
      </x:c>
      <x:c r="E35" s="100" t="n">
        <x:f>C35-D35</x:f>
        <x:v>-0.0016297976655593113</x:v>
      </x:c>
      <x:c r="F35" s="100" t="n">
        <x:f>E35-B35</x:f>
        <x:v>-0.001552234512626243</x:v>
      </x:c>
      <x:c r="G35" s="100" t="n">
        <x:f>ABS(F35)</x:f>
        <x:v>0.001552234512626243</x:v>
      </x:c>
      <x:c r="H35" s="100" t="n">
        <x:f>'Raw R'!N29</x:f>
        <x:v>0.9658699051205549</x:v>
      </x:c>
      <x:c r="I35" t="b">
        <x:f>'Raw R'!O29</x:f>
        <x:v>1</x:v>
      </x:c>
      <x:c r="J35" s="100" t="n">
        <x:f>IF(I35,B35,"")</x:f>
        <x:v>-0.00007756315293306823</x:v>
      </x:c>
      <x:c r="K35" s="100" t="n">
        <x:f>IF(I35,E35,"")</x:f>
        <x:v>-0.0016297976655593113</x:v>
      </x:c>
      <x:c r="L35" s="100" t="n">
        <x:f>IF(I35,G35,"")</x:f>
        <x:v>0.001552234512626243</x:v>
      </x:c>
      <x:c r="M35" s="100" t="n">
        <x:f>IF(I35,F35^2,"")</x:f>
        <x:v>0.0000024094319821880302</x:v>
      </x:c>
      <x:c r="N35" s="100" t="n">
        <x:f>IF(I35,F35,"")</x:f>
        <x:v>-0.001552234512626243</x:v>
      </x:c>
      <x:c r="P35" t="n">
        <x:f>J35</x:f>
        <x:v>-0.00007756315293306823</x:v>
      </x:c>
      <x:c r="Q35" t="n">
        <x:f>K35</x:f>
        <x:v>-0.0016297976655593113</x:v>
      </x:c>
    </x:row>
    <x:row r="36">
      <x:c r="A36" s="99" t="str">
        <x:f>'Raw R'!B30</x:f>
        <x:v>00066</x:v>
      </x:c>
      <x:c r="B36" s="100" t="n">
        <x:f>INDEX('Raw Stations'!$D$2:$D$299,MATCH(A36,'Raw Stations'!$A$2:$A$299,0))</x:f>
        <x:v>-0.002358009310657449</x:v>
      </x:c>
      <x:c r="C36" s="100" t="n">
        <x:f>'Raw R'!L30</x:f>
        <x:v>-0.02182353590904842</x:v>
      </x:c>
      <x:c r="D36" s="100" t="n">
        <x:f>$B$2</x:f>
        <x:v>-0.01791329208576473</x:v>
      </x:c>
      <x:c r="E36" s="100" t="n">
        <x:f>C36-D36</x:f>
        <x:v>-0.003910243823283692</x:v>
      </x:c>
      <x:c r="F36" s="100" t="n">
        <x:f>E36-B36</x:f>
        <x:v>-0.001552234512626243</x:v>
      </x:c>
      <x:c r="G36" s="100" t="n">
        <x:f>ABS(F36)</x:f>
        <x:v>0.001552234512626243</x:v>
      </x:c>
      <x:c r="H36" s="100" t="n">
        <x:f>'Raw R'!N30</x:f>
        <x:v>0.9732243711329546</x:v>
      </x:c>
      <x:c r="I36" t="b">
        <x:f>'Raw R'!O30</x:f>
        <x:v>1</x:v>
      </x:c>
      <x:c r="J36" s="100" t="n">
        <x:f>IF(I36,B36,"")</x:f>
        <x:v>-0.002358009310657449</x:v>
      </x:c>
      <x:c r="K36" s="100" t="n">
        <x:f>IF(I36,E36,"")</x:f>
        <x:v>-0.003910243823283692</x:v>
      </x:c>
      <x:c r="L36" s="100" t="n">
        <x:f>IF(I36,G36,"")</x:f>
        <x:v>0.001552234512626243</x:v>
      </x:c>
      <x:c r="M36" s="100" t="n">
        <x:f>IF(I36,F36^2,"")</x:f>
        <x:v>0.0000024094319821880302</x:v>
      </x:c>
      <x:c r="N36" s="100" t="n">
        <x:f>IF(I36,F36,"")</x:f>
        <x:v>-0.001552234512626243</x:v>
      </x:c>
      <x:c r="P36" t="n">
        <x:f>J36</x:f>
        <x:v>-0.002358009310657449</x:v>
      </x:c>
      <x:c r="Q36" t="n">
        <x:f>K36</x:f>
        <x:v>-0.003910243823283692</x:v>
      </x:c>
    </x:row>
    <x:row r="37">
      <x:c r="A37" s="99" t="str">
        <x:f>'Raw R'!B31</x:f>
        <x:v>00067</x:v>
      </x:c>
      <x:c r="B37" s="100" t="n">
        <x:f>INDEX('Raw Stations'!$D$2:$D$299,MATCH(A37,'Raw Stations'!$A$2:$A$299,0))</x:f>
        <x:v>-0.001078709786160901</x:v>
      </x:c>
      <x:c r="C37" s="100" t="n">
        <x:f>'Raw R'!L31</x:f>
        <x:v>-0.0187454218264172</x:v>
      </x:c>
      <x:c r="D37" s="100" t="n">
        <x:f>$B$2</x:f>
        <x:v>-0.01791329208576473</x:v>
      </x:c>
      <x:c r="E37" s="100" t="n">
        <x:f>C37-D37</x:f>
        <x:v>-0.0008321297406524708</x:v>
      </x:c>
      <x:c r="F37" s="100" t="n">
        <x:f>E37-B37</x:f>
        <x:v>0.0002465800455084303</x:v>
      </x:c>
      <x:c r="G37" s="100" t="n">
        <x:f>ABS(F37)</x:f>
        <x:v>0.0002465800455084303</x:v>
      </x:c>
      <x:c r="H37" s="100" t="n">
        <x:f>'Raw R'!N31</x:f>
        <x:v>0.9763251276504454</x:v>
      </x:c>
      <x:c r="I37" t="b">
        <x:f>'Raw R'!O31</x:f>
        <x:v>1</x:v>
      </x:c>
      <x:c r="J37" s="100" t="n">
        <x:f>IF(I37,B37,"")</x:f>
        <x:v>-0.001078709786160901</x:v>
      </x:c>
      <x:c r="K37" s="100" t="n">
        <x:f>IF(I37,E37,"")</x:f>
        <x:v>-0.0008321297406524708</x:v>
      </x:c>
      <x:c r="L37" s="100" t="n">
        <x:f>IF(I37,G37,"")</x:f>
        <x:v>0.0002465800455084303</x:v>
      </x:c>
      <x:c r="M37" s="100" t="n">
        <x:f>IF(I37,F37^2,"")</x:f>
        <x:v>6.080171884293955e-8</x:v>
      </x:c>
      <x:c r="N37" s="100" t="n">
        <x:f>IF(I37,F37,"")</x:f>
        <x:v>0.0002465800455084303</x:v>
      </x:c>
      <x:c r="P37" t="n">
        <x:f>J37</x:f>
        <x:v>-0.001078709786160901</x:v>
      </x:c>
      <x:c r="Q37" t="n">
        <x:f>K37</x:f>
        <x:v>-0.0008321297406524708</x:v>
      </x:c>
    </x:row>
    <x:row r="38">
      <x:c r="A38" s="99" t="str">
        <x:f>'Raw R'!B32</x:f>
        <x:v>00068</x:v>
      </x:c>
      <x:c r="B38" s="100" t="n">
        <x:f>INDEX('Raw Stations'!$D$2:$D$299,MATCH(A38,'Raw Stations'!$A$2:$A$299,0))</x:f>
        <x:v>0.004258249371668545</x:v>
      </x:c>
      <x:c r="C38" s="100" t="n">
        <x:f>'Raw R'!L32</x:f>
        <x:v>-0.008831129967586115</x:v>
      </x:c>
      <x:c r="D38" s="100" t="n">
        <x:f>$B$2</x:f>
        <x:v>-0.01791329208576473</x:v>
      </x:c>
      <x:c r="E38" s="100" t="n">
        <x:f>C38-D38</x:f>
        <x:v>0.009082162118178614</x:v>
      </x:c>
      <x:c r="F38" s="100" t="n">
        <x:f>E38-B38</x:f>
        <x:v>0.004823912746510069</x:v>
      </x:c>
      <x:c r="G38" s="100" t="n">
        <x:f>ABS(F38)</x:f>
        <x:v>0.004823912746510069</x:v>
      </x:c>
      <x:c r="H38" s="100" t="n">
        <x:f>'Raw R'!N32</x:f>
        <x:v>0.9846276058007025</x:v>
      </x:c>
      <x:c r="I38" t="b">
        <x:f>'Raw R'!O32</x:f>
        <x:v>1</x:v>
      </x:c>
      <x:c r="J38" s="100" t="n">
        <x:f>IF(I38,B38,"")</x:f>
        <x:v>0.004258249371668545</x:v>
      </x:c>
      <x:c r="K38" s="100" t="n">
        <x:f>IF(I38,E38,"")</x:f>
        <x:v>0.009082162118178614</x:v>
      </x:c>
      <x:c r="L38" s="100" t="n">
        <x:f>IF(I38,G38,"")</x:f>
        <x:v>0.004823912746510069</x:v>
      </x:c>
      <x:c r="M38" s="100" t="n">
        <x:f>IF(I38,F38^2,"")</x:f>
        <x:v>0.000023270134185942315</x:v>
      </x:c>
      <x:c r="N38" s="100" t="n">
        <x:f>IF(I38,F38,"")</x:f>
        <x:v>0.004823912746510069</x:v>
      </x:c>
      <x:c r="P38" t="n">
        <x:f>J38</x:f>
        <x:v>0.004258249371668545</x:v>
      </x:c>
      <x:c r="Q38" t="n">
        <x:f>K38</x:f>
        <x:v>0.009082162118178614</x:v>
      </x:c>
    </x:row>
    <x:row r="39">
      <x:c r="A39" s="99" t="str">
        <x:f>'Raw R'!B33</x:f>
        <x:v>00069</x:v>
      </x:c>
      <x:c r="B39" s="100" t="n">
        <x:f>INDEX('Raw Stations'!$D$2:$D$299,MATCH(A39,'Raw Stations'!$A$2:$A$299,0))</x:f>
        <x:v>0.001685727655549044</x:v>
      </x:c>
      <x:c r="C39" s="100" t="n">
        <x:f>'Raw R'!L33</x:f>
        <x:v>-0.01377979894284193</x:v>
      </x:c>
      <x:c r="D39" s="100" t="n">
        <x:f>$B$2</x:f>
        <x:v>-0.01791329208576473</x:v>
      </x:c>
      <x:c r="E39" s="100" t="n">
        <x:f>C39-D39</x:f>
        <x:v>0.004133493142922799</x:v>
      </x:c>
      <x:c r="F39" s="100" t="n">
        <x:f>E39-B39</x:f>
        <x:v>0.002447765487373755</x:v>
      </x:c>
      <x:c r="G39" s="100" t="n">
        <x:f>ABS(F39)</x:f>
        <x:v>0.002447765487373755</x:v>
      </x:c>
      <x:c r="H39" s="100" t="n">
        <x:f>'Raw R'!N33</x:f>
        <x:v>0.9972112096805494</x:v>
      </x:c>
      <x:c r="I39" t="b">
        <x:f>'Raw R'!O33</x:f>
        <x:v>1</x:v>
      </x:c>
      <x:c r="J39" s="100" t="n">
        <x:f>IF(I39,B39,"")</x:f>
        <x:v>0.001685727655549044</x:v>
      </x:c>
      <x:c r="K39" s="100" t="n">
        <x:f>IF(I39,E39,"")</x:f>
        <x:v>0.004133493142922799</x:v>
      </x:c>
      <x:c r="L39" s="100" t="n">
        <x:f>IF(I39,G39,"")</x:f>
        <x:v>0.002447765487373755</x:v>
      </x:c>
      <x:c r="M39" s="100" t="n">
        <x:f>IF(I39,F39^2,"")</x:f>
        <x:v>0.000005991555881178076</x:v>
      </x:c>
      <x:c r="N39" s="100" t="n">
        <x:f>IF(I39,F39,"")</x:f>
        <x:v>0.002447765487373755</x:v>
      </x:c>
      <x:c r="P39" t="n">
        <x:f>J39</x:f>
        <x:v>0.001685727655549044</x:v>
      </x:c>
      <x:c r="Q39" t="n">
        <x:f>K39</x:f>
        <x:v>0.004133493142922799</x:v>
      </x:c>
    </x:row>
    <x:row r="40">
      <x:c r="A40" s="99" t="str">
        <x:f>'Raw R'!B34</x:f>
        <x:v>00070</x:v>
      </x:c>
      <x:c r="B40" s="100" t="n">
        <x:f>INDEX('Raw Stations'!$D$2:$D$299,MATCH(A40,'Raw Stations'!$A$2:$A$299,0))</x:f>
        <x:v>0.002677299169714938</x:v>
      </x:c>
      <x:c r="C40" s="100" t="n">
        <x:f>'Raw R'!L34</x:f>
        <x:v>-0.0140860812030755</x:v>
      </x:c>
      <x:c r="D40" s="100" t="n">
        <x:f>$B$2</x:f>
        <x:v>-0.01791329208576473</x:v>
      </x:c>
      <x:c r="E40" s="100" t="n">
        <x:f>C40-D40</x:f>
        <x:v>0.00382721088268923</x:v>
      </x:c>
      <x:c r="F40" s="100" t="n">
        <x:f>E40-B40</x:f>
        <x:v>0.001149911712974292</x:v>
      </x:c>
      <x:c r="G40" s="100" t="n">
        <x:f>ABS(F40)</x:f>
        <x:v>0.001149911712974292</x:v>
      </x:c>
      <x:c r="H40" s="100" t="n">
        <x:f>'Raw R'!N34</x:f>
        <x:v>0.9926187959565083</x:v>
      </x:c>
      <x:c r="I40" t="b">
        <x:f>'Raw R'!O34</x:f>
        <x:v>1</x:v>
      </x:c>
      <x:c r="J40" s="100" t="n">
        <x:f>IF(I40,B40,"")</x:f>
        <x:v>0.002677299169714938</x:v>
      </x:c>
      <x:c r="K40" s="100" t="n">
        <x:f>IF(I40,E40,"")</x:f>
        <x:v>0.00382721088268923</x:v>
      </x:c>
      <x:c r="L40" s="100" t="n">
        <x:f>IF(I40,G40,"")</x:f>
        <x:v>0.001149911712974292</x:v>
      </x:c>
      <x:c r="M40" s="100" t="n">
        <x:f>IF(I40,F40^2,"")</x:f>
        <x:v>0.0000013222969476354704</x:v>
      </x:c>
      <x:c r="N40" s="100" t="n">
        <x:f>IF(I40,F40,"")</x:f>
        <x:v>0.001149911712974292</x:v>
      </x:c>
      <x:c r="P40" t="n">
        <x:f>J40</x:f>
        <x:v>0.002677299169714938</x:v>
      </x:c>
      <x:c r="Q40" t="n">
        <x:f>K40</x:f>
        <x:v>0.00382721088268923</x:v>
      </x:c>
    </x:row>
    <x:row r="41">
      <x:c r="A41" s="99" t="str">
        <x:f>'Raw R'!B35</x:f>
        <x:v>00071</x:v>
      </x:c>
      <x:c r="B41" s="100" t="n">
        <x:f>INDEX('Raw Stations'!$D$2:$D$299,MATCH(A41,'Raw Stations'!$A$2:$A$299,0))</x:f>
        <x:v>0.00347313508830038</x:v>
      </x:c>
      <x:c r="C41" s="100" t="n">
        <x:f>'Raw R'!L35</x:f>
        <x:v>-0.0124818004668151</x:v>
      </x:c>
      <x:c r="D41" s="100" t="n">
        <x:f>$B$2</x:f>
        <x:v>-0.01791329208576473</x:v>
      </x:c>
      <x:c r="E41" s="100" t="n">
        <x:f>C41-D41</x:f>
        <x:v>0.0054314916189496295</x:v>
      </x:c>
      <x:c r="F41" s="100" t="n">
        <x:f>E41-B41</x:f>
        <x:v>0.0019583565306492494</x:v>
      </x:c>
      <x:c r="G41" s="100" t="n">
        <x:f>ABS(F41)</x:f>
        <x:v>0.0019583565306492494</x:v>
      </x:c>
      <x:c r="H41" s="100" t="n">
        <x:f>'Raw R'!N35</x:f>
        <x:v>0.9731395604977546</x:v>
      </x:c>
      <x:c r="I41" t="b">
        <x:f>'Raw R'!O35</x:f>
        <x:v>1</x:v>
      </x:c>
      <x:c r="J41" s="100" t="n">
        <x:f>IF(I41,B41,"")</x:f>
        <x:v>0.00347313508830038</x:v>
      </x:c>
      <x:c r="K41" s="100" t="n">
        <x:f>IF(I41,E41,"")</x:f>
        <x:v>0.0054314916189496295</x:v>
      </x:c>
      <x:c r="L41" s="100" t="n">
        <x:f>IF(I41,G41,"")</x:f>
        <x:v>0.0019583565306492494</x:v>
      </x:c>
      <x:c r="M41" s="100" t="n">
        <x:f>IF(I41,F41^2,"")</x:f>
        <x:v>0.000003835160301136565</x:v>
      </x:c>
      <x:c r="N41" s="100" t="n">
        <x:f>IF(I41,F41,"")</x:f>
        <x:v>0.0019583565306492494</x:v>
      </x:c>
      <x:c r="P41" t="n">
        <x:f>J41</x:f>
        <x:v>0.00347313508830038</x:v>
      </x:c>
      <x:c r="Q41" t="n">
        <x:f>K41</x:f>
        <x:v>0.0054314916189496295</x:v>
      </x:c>
    </x:row>
    <x:row r="42">
      <x:c r="A42" s="99" t="str">
        <x:f>'Raw R'!B36</x:f>
        <x:v>00072</x:v>
      </x:c>
      <x:c r="B42" s="100" t="n">
        <x:f>INDEX('Raw Stations'!$D$2:$D$299,MATCH(A42,'Raw Stations'!$A$2:$A$299,0))</x:f>
        <x:v>0.00334039756828081</x:v>
      </x:c>
      <x:c r="C42" s="100" t="n">
        <x:f>'Raw R'!L36</x:f>
        <x:v>-0.01432631447197549</x:v>
      </x:c>
      <x:c r="D42" s="100" t="n">
        <x:f>$B$2</x:f>
        <x:v>-0.01791329208576473</x:v>
      </x:c>
      <x:c r="E42" s="100" t="n">
        <x:f>C42-D42</x:f>
        <x:v>0.00358697761378924</x:v>
      </x:c>
      <x:c r="F42" s="100" t="n">
        <x:f>E42-B42</x:f>
        <x:v>0.00024658004550842964</x:v>
      </x:c>
      <x:c r="G42" s="100" t="n">
        <x:f>ABS(F42)</x:f>
        <x:v>0.00024658004550842964</x:v>
      </x:c>
      <x:c r="H42" s="100" t="n">
        <x:f>'Raw R'!N36</x:f>
        <x:v>0.9870688629172986</x:v>
      </x:c>
      <x:c r="I42" t="b">
        <x:f>'Raw R'!O36</x:f>
        <x:v>1</x:v>
      </x:c>
      <x:c r="J42" s="100" t="n">
        <x:f>IF(I42,B42,"")</x:f>
        <x:v>0.00334039756828081</x:v>
      </x:c>
      <x:c r="K42" s="100" t="n">
        <x:f>IF(I42,E42,"")</x:f>
        <x:v>0.00358697761378924</x:v>
      </x:c>
      <x:c r="L42" s="100" t="n">
        <x:f>IF(I42,G42,"")</x:f>
        <x:v>0.00024658004550842964</x:v>
      </x:c>
      <x:c r="M42" s="100" t="n">
        <x:f>IF(I42,F42^2,"")</x:f>
        <x:v>6.080171884293924e-8</x:v>
      </x:c>
      <x:c r="N42" s="100" t="n">
        <x:f>IF(I42,F42,"")</x:f>
        <x:v>0.00024658004550842964</x:v>
      </x:c>
      <x:c r="P42" t="n">
        <x:f>J42</x:f>
        <x:v>0.00334039756828081</x:v>
      </x:c>
      <x:c r="Q42" t="n">
        <x:f>K42</x:f>
        <x:v>0.00358697761378924</x:v>
      </x:c>
    </x:row>
    <x:row r="43">
      <x:c r="A43" s="99" t="str">
        <x:f>'Raw R'!B37</x:f>
        <x:v>00073</x:v>
      </x:c>
      <x:c r="B43" s="100" t="n">
        <x:f>INDEX('Raw Stations'!$D$2:$D$299,MATCH(A43,'Raw Stations'!$A$2:$A$299,0))</x:f>
        <x:v>0.00198140294720622</x:v>
      </x:c>
      <x:c r="C43" s="100" t="n">
        <x:f>'Raw R'!L37</x:f>
        <x:v>-0.01726576519027287</x:v>
      </x:c>
      <x:c r="D43" s="100" t="n">
        <x:f>$B$2</x:f>
        <x:v>-0.01791329208576473</x:v>
      </x:c>
      <x:c r="E43" s="100" t="n">
        <x:f>C43-D43</x:f>
        <x:v>0.0006475268954918602</x:v>
      </x:c>
      <x:c r="F43" s="100" t="n">
        <x:f>E43-B43</x:f>
        <x:v>-0.0013338760517143597</x:v>
      </x:c>
      <x:c r="G43" s="100" t="n">
        <x:f>ABS(F43)</x:f>
        <x:v>0.0013338760517143597</x:v>
      </x:c>
      <x:c r="H43" s="100" t="n">
        <x:f>'Raw R'!N37</x:f>
        <x:v>0.9709546124703485</x:v>
      </x:c>
      <x:c r="I43" t="b">
        <x:f>'Raw R'!O37</x:f>
        <x:v>1</x:v>
      </x:c>
      <x:c r="J43" s="100" t="n">
        <x:f>IF(I43,B43,"")</x:f>
        <x:v>0.00198140294720622</x:v>
      </x:c>
      <x:c r="K43" s="100" t="n">
        <x:f>IF(I43,E43,"")</x:f>
        <x:v>0.0006475268954918602</x:v>
      </x:c>
      <x:c r="L43" s="100" t="n">
        <x:f>IF(I43,G43,"")</x:f>
        <x:v>0.0013338760517143597</x:v>
      </x:c>
      <x:c r="M43" s="100" t="n">
        <x:f>IF(I43,F43^2,"")</x:f>
        <x:v>0.0000017792253213370891</x:v>
      </x:c>
      <x:c r="N43" s="100" t="n">
        <x:f>IF(I43,F43,"")</x:f>
        <x:v>-0.0013338760517143597</x:v>
      </x:c>
      <x:c r="P43" t="n">
        <x:f>J43</x:f>
        <x:v>0.00198140294720622</x:v>
      </x:c>
      <x:c r="Q43" t="n">
        <x:f>K43</x:f>
        <x:v>0.0006475268954918602</x:v>
      </x:c>
    </x:row>
    <x:row r="44">
      <x:c r="A44" s="99" t="str">
        <x:f>'Raw R'!B38</x:f>
        <x:v>00075</x:v>
      </x:c>
      <x:c r="B44" s="100" t="n">
        <x:f>INDEX('Raw Stations'!$D$2:$D$299,MATCH(A44,'Raw Stations'!$A$2:$A$299,0))</x:f>
        <x:v>0.01807670723018075</x:v>
      </x:c>
      <x:c r="C44" s="100" t="n">
        <x:f>'Raw R'!L38</x:f>
        <x:v>-0.003095651852180206</x:v>
      </x:c>
      <x:c r="D44" s="100" t="n">
        <x:f>$B$2</x:f>
        <x:v>-0.01791329208576473</x:v>
      </x:c>
      <x:c r="E44" s="100" t="n">
        <x:f>C44-D44</x:f>
        <x:v>0.014817640233584523</x:v>
      </x:c>
      <x:c r="F44" s="100" t="n">
        <x:f>E44-B44</x:f>
        <x:v>-0.003259066996596227</x:v>
      </x:c>
      <x:c r="G44" s="100" t="n">
        <x:f>ABS(F44)</x:f>
        <x:v>0.003259066996596227</x:v>
      </x:c>
      <x:c r="H44" s="100" t="n">
        <x:f>'Raw R'!N38</x:f>
        <x:v>0.9502778393553095</x:v>
      </x:c>
      <x:c r="I44" t="b">
        <x:f>'Raw R'!O38</x:f>
        <x:v>1</x:v>
      </x:c>
      <x:c r="J44" s="100" t="n">
        <x:f>IF(I44,B44,"")</x:f>
        <x:v>0.01807670723018075</x:v>
      </x:c>
      <x:c r="K44" s="100" t="n">
        <x:f>IF(I44,E44,"")</x:f>
        <x:v>0.014817640233584523</x:v>
      </x:c>
      <x:c r="L44" s="100" t="n">
        <x:f>IF(I44,G44,"")</x:f>
        <x:v>0.003259066996596227</x:v>
      </x:c>
      <x:c r="M44" s="100" t="n">
        <x:f>IF(I44,F44^2,"")</x:f>
        <x:v>0.000010621517688302752</x:v>
      </x:c>
      <x:c r="N44" s="100" t="n">
        <x:f>IF(I44,F44,"")</x:f>
        <x:v>-0.003259066996596227</x:v>
      </x:c>
      <x:c r="P44" t="n">
        <x:f>J44</x:f>
        <x:v>0.01807670723018075</x:v>
      </x:c>
      <x:c r="Q44" t="n">
        <x:f>K44</x:f>
        <x:v>0.014817640233584523</x:v>
      </x:c>
    </x:row>
    <x:row r="45">
      <x:c r="A45" s="99" t="str">
        <x:f>'Raw R'!B39</x:f>
        <x:v>00076</x:v>
      </x:c>
      <x:c r="B45" s="100" t="n">
        <x:f>INDEX('Raw Stations'!$D$2:$D$299,MATCH(A45,'Raw Stations'!$A$2:$A$299,0))</x:f>
        <x:v>0.02336182492799753</x:v>
      </x:c>
      <x:c r="C45" s="100" t="n">
        <x:f>'Raw R'!L39</x:f>
        <x:v>0.00325225842206231</x:v>
      </x:c>
      <x:c r="D45" s="100" t="n">
        <x:f>$B$2</x:f>
        <x:v>-0.01791329208576473</x:v>
      </x:c>
      <x:c r="E45" s="100" t="n">
        <x:f>C45-D45</x:f>
        <x:v>0.02116555050782704</x:v>
      </x:c>
      <x:c r="F45" s="100" t="n">
        <x:f>E45-B45</x:f>
        <x:v>-0.00219627442017049</x:v>
      </x:c>
      <x:c r="G45" s="100" t="n">
        <x:f>ABS(F45)</x:f>
        <x:v>0.00219627442017049</x:v>
      </x:c>
      <x:c r="H45" s="100" t="n">
        <x:f>'Raw R'!N39</x:f>
        <x:v>0.9109887580015483</x:v>
      </x:c>
      <x:c r="I45" t="b">
        <x:f>'Raw R'!O39</x:f>
        <x:v>1</x:v>
      </x:c>
      <x:c r="J45" s="100" t="n">
        <x:f>IF(I45,B45,"")</x:f>
        <x:v>0.02336182492799753</x:v>
      </x:c>
      <x:c r="K45" s="100" t="n">
        <x:f>IF(I45,E45,"")</x:f>
        <x:v>0.02116555050782704</x:v>
      </x:c>
      <x:c r="L45" s="100" t="n">
        <x:f>IF(I45,G45,"")</x:f>
        <x:v>0.00219627442017049</x:v>
      </x:c>
      <x:c r="M45" s="100" t="n">
        <x:f>IF(I45,F45^2,"")</x:f>
        <x:v>0.000004823621328695223</x:v>
      </x:c>
      <x:c r="N45" s="100" t="n">
        <x:f>IF(I45,F45,"")</x:f>
        <x:v>-0.00219627442017049</x:v>
      </x:c>
      <x:c r="P45" t="n">
        <x:f>J45</x:f>
        <x:v>0.02336182492799753</x:v>
      </x:c>
      <x:c r="Q45" t="n">
        <x:f>K45</x:f>
        <x:v>0.02116555050782704</x:v>
      </x:c>
    </x:row>
    <x:row r="46">
      <x:c r="A46" s="99" t="str">
        <x:f>'Raw R'!B40</x:f>
        <x:v>00077</x:v>
      </x:c>
      <x:c r="B46" s="100" t="n">
        <x:f>INDEX('Raw Stations'!$D$2:$D$299,MATCH(A46,'Raw Stations'!$A$2:$A$299,0))</x:f>
        <x:v>0.02126319951126142</x:v>
      </x:c>
      <x:c r="C46" s="100" t="n">
        <x:f>'Raw R'!L40</x:f>
        <x:v>0.000988586055678281</x:v>
      </x:c>
      <x:c r="D46" s="100" t="n">
        <x:f>$B$2</x:f>
        <x:v>-0.01791329208576473</x:v>
      </x:c>
      <x:c r="E46" s="100" t="n">
        <x:f>C46-D46</x:f>
        <x:v>0.01890187814144301</x:v>
      </x:c>
      <x:c r="F46" s="100" t="n">
        <x:f>E46-B46</x:f>
        <x:v>-0.002361321369818408</x:v>
      </x:c>
      <x:c r="G46" s="100" t="n">
        <x:f>ABS(F46)</x:f>
        <x:v>0.002361321369818408</x:v>
      </x:c>
      <x:c r="H46" s="100" t="n">
        <x:f>'Raw R'!N40</x:f>
        <x:v>0.94173524108494</x:v>
      </x:c>
      <x:c r="I46" t="b">
        <x:f>'Raw R'!O40</x:f>
        <x:v>1</x:v>
      </x:c>
      <x:c r="J46" s="100" t="n">
        <x:f>IF(I46,B46,"")</x:f>
        <x:v>0.02126319951126142</x:v>
      </x:c>
      <x:c r="K46" s="100" t="n">
        <x:f>IF(I46,E46,"")</x:f>
        <x:v>0.01890187814144301</x:v>
      </x:c>
      <x:c r="L46" s="100" t="n">
        <x:f>IF(I46,G46,"")</x:f>
        <x:v>0.002361321369818408</x:v>
      </x:c>
      <x:c r="M46" s="100" t="n">
        <x:f>IF(I46,F46^2,"")</x:f>
        <x:v>0.0000055758386115610835</x:v>
      </x:c>
      <x:c r="N46" s="100" t="n">
        <x:f>IF(I46,F46,"")</x:f>
        <x:v>-0.002361321369818408</x:v>
      </x:c>
      <x:c r="P46" t="n">
        <x:f>J46</x:f>
        <x:v>0.02126319951126142</x:v>
      </x:c>
      <x:c r="Q46" t="n">
        <x:f>K46</x:f>
        <x:v>0.01890187814144301</x:v>
      </x:c>
    </x:row>
    <x:row r="47">
      <x:c r="A47" s="99" t="str">
        <x:f>'Raw R'!B41</x:f>
        <x:v>00078</x:v>
      </x:c>
      <x:c r="B47" s="100" t="n">
        <x:f>INDEX('Raw Stations'!$D$2:$D$299,MATCH(A47,'Raw Stations'!$A$2:$A$299,0))</x:f>
        <x:v>-0.004203737816722061</x:v>
      </x:c>
      <x:c r="C47" s="100" t="n">
        <x:f>'Raw R'!L41</x:f>
        <x:v>-0.02415867337183755</x:v>
      </x:c>
      <x:c r="D47" s="100" t="n">
        <x:f>$B$2</x:f>
        <x:v>-0.01791329208576473</x:v>
      </x:c>
      <x:c r="E47" s="100" t="n">
        <x:f>C47-D47</x:f>
        <x:v>-0.0062453812860728194</x:v>
      </x:c>
      <x:c r="F47" s="100" t="n">
        <x:f>E47-B47</x:f>
        <x:v>-0.002041643469350758</x:v>
      </x:c>
      <x:c r="G47" s="100" t="n">
        <x:f>ABS(F47)</x:f>
        <x:v>0.002041643469350758</x:v>
      </x:c>
      <x:c r="H47" s="100" t="n">
        <x:f>'Raw R'!N41</x:f>
        <x:v>0.9429513431149698</x:v>
      </x:c>
      <x:c r="I47" t="b">
        <x:f>'Raw R'!O41</x:f>
        <x:v>1</x:v>
      </x:c>
      <x:c r="J47" s="100" t="n">
        <x:f>IF(I47,B47,"")</x:f>
        <x:v>-0.004203737816722061</x:v>
      </x:c>
      <x:c r="K47" s="100" t="n">
        <x:f>IF(I47,E47,"")</x:f>
        <x:v>-0.0062453812860728194</x:v>
      </x:c>
      <x:c r="L47" s="100" t="n">
        <x:f>IF(I47,G47,"")</x:f>
        <x:v>0.002041643469350758</x:v>
      </x:c>
      <x:c r="M47" s="100" t="n">
        <x:f>IF(I47,F47^2,"")</x:f>
        <x:v>0.0000041683080559426</x:v>
      </x:c>
      <x:c r="N47" s="100" t="n">
        <x:f>IF(I47,F47,"")</x:f>
        <x:v>-0.002041643469350758</x:v>
      </x:c>
      <x:c r="P47" t="n">
        <x:f>J47</x:f>
        <x:v>-0.004203737816722061</x:v>
      </x:c>
      <x:c r="Q47" t="n">
        <x:f>K47</x:f>
        <x:v>-0.0062453812860728194</x:v>
      </x:c>
    </x:row>
    <x:row r="48">
      <x:c r="A48" s="99" t="str">
        <x:f>'Raw R'!B42</x:f>
        <x:v>00079</x:v>
      </x:c>
      <x:c r="B48" s="100" t="n">
        <x:f>INDEX('Raw Stations'!$D$2:$D$299,MATCH(A48,'Raw Stations'!$A$2:$A$299,0))</x:f>
        <x:v>-0.005715521247267239</x:v>
      </x:c>
      <x:c r="C48" s="100" t="n">
        <x:f>'Raw R'!L42</x:f>
        <x:v>-0.02635799507836437</x:v>
      </x:c>
      <x:c r="D48" s="100" t="n">
        <x:f>$B$2</x:f>
        <x:v>-0.01791329208576473</x:v>
      </x:c>
      <x:c r="E48" s="100" t="n">
        <x:f>C48-D48</x:f>
        <x:v>-0.00844470299259964</x:v>
      </x:c>
      <x:c r="F48" s="100" t="n">
        <x:f>E48-B48</x:f>
        <x:v>-0.0027291817453324006</x:v>
      </x:c>
      <x:c r="G48" s="100" t="n">
        <x:f>ABS(F48)</x:f>
        <x:v>0.0027291817453324006</x:v>
      </x:c>
      <x:c r="H48" s="100" t="n">
        <x:f>'Raw R'!N42</x:f>
        <x:v>0.8807265032427773</x:v>
      </x:c>
      <x:c r="I48" t="b">
        <x:f>'Raw R'!O42</x:f>
        <x:v>1</x:v>
      </x:c>
      <x:c r="J48" s="100" t="n">
        <x:f>IF(I48,B48,"")</x:f>
        <x:v>-0.005715521247267239</x:v>
      </x:c>
      <x:c r="K48" s="100" t="n">
        <x:f>IF(I48,E48,"")</x:f>
        <x:v>-0.00844470299259964</x:v>
      </x:c>
      <x:c r="L48" s="100" t="n">
        <x:f>IF(I48,G48,"")</x:f>
        <x:v>0.0027291817453324006</x:v>
      </x:c>
      <x:c r="M48" s="100" t="n">
        <x:f>IF(I48,F48^2,"")</x:f>
        <x:v>0.000007448432999055608</x:v>
      </x:c>
      <x:c r="N48" s="100" t="n">
        <x:f>IF(I48,F48,"")</x:f>
        <x:v>-0.0027291817453324006</x:v>
      </x:c>
      <x:c r="P48" t="n">
        <x:f>J48</x:f>
        <x:v>-0.005715521247267239</x:v>
      </x:c>
      <x:c r="Q48" t="n">
        <x:f>K48</x:f>
        <x:v>-0.00844470299259964</x:v>
      </x:c>
    </x:row>
    <x:row r="49">
      <x:c r="A49" s="99" t="str">
        <x:f>'Raw R'!B43</x:f>
        <x:v>00080</x:v>
      </x:c>
      <x:c r="B49" s="100" t="n">
        <x:f>INDEX('Raw Stations'!$D$2:$D$299,MATCH(A49,'Raw Stations'!$A$2:$A$299,0))</x:f>
        <x:v>-0.001428292388092174</x:v>
      </x:c>
      <x:c r="C49" s="100" t="n">
        <x:f>'Raw R'!L43</x:f>
        <x:v>-0.02094693825790223</x:v>
      </x:c>
      <x:c r="D49" s="100" t="n">
        <x:f>$B$2</x:f>
        <x:v>-0.01791329208576473</x:v>
      </x:c>
      <x:c r="E49" s="100" t="n">
        <x:f>C49-D49</x:f>
        <x:v>-0.0030336461721374997</x:v>
      </x:c>
      <x:c r="F49" s="100" t="n">
        <x:f>E49-B49</x:f>
        <x:v>-0.0016053537840453257</x:v>
      </x:c>
      <x:c r="G49" s="100" t="n">
        <x:f>ABS(F49)</x:f>
        <x:v>0.0016053537840453257</x:v>
      </x:c>
      <x:c r="H49" s="100" t="n">
        <x:f>'Raw R'!N43</x:f>
        <x:v>0.9694719382778236</x:v>
      </x:c>
      <x:c r="I49" t="b">
        <x:f>'Raw R'!O43</x:f>
        <x:v>1</x:v>
      </x:c>
      <x:c r="J49" s="100" t="n">
        <x:f>IF(I49,B49,"")</x:f>
        <x:v>-0.001428292388092174</x:v>
      </x:c>
      <x:c r="K49" s="100" t="n">
        <x:f>IF(I49,E49,"")</x:f>
        <x:v>-0.0030336461721374997</x:v>
      </x:c>
      <x:c r="L49" s="100" t="n">
        <x:f>IF(I49,G49,"")</x:f>
        <x:v>0.0016053537840453257</x:v>
      </x:c>
      <x:c r="M49" s="100" t="n">
        <x:f>IF(I49,F49^2,"")</x:f>
        <x:v>0.000002577160771948646</x:v>
      </x:c>
      <x:c r="N49" s="100" t="n">
        <x:f>IF(I49,F49,"")</x:f>
        <x:v>-0.0016053537840453257</x:v>
      </x:c>
      <x:c r="P49" t="n">
        <x:f>J49</x:f>
        <x:v>-0.001428292388092174</x:v>
      </x:c>
      <x:c r="Q49" t="n">
        <x:f>K49</x:f>
        <x:v>-0.0030336461721374997</x:v>
      </x:c>
    </x:row>
    <x:row r="50">
      <x:c r="A50" s="99" t="str">
        <x:f>'Raw R'!B44</x:f>
        <x:v>00081</x:v>
      </x:c>
      <x:c r="B50" s="100" t="n">
        <x:f>INDEX('Raw Stations'!$D$2:$D$299,MATCH(A50,'Raw Stations'!$A$2:$A$299,0))</x:f>
        <x:v>-0.005377671962295084</x:v>
      </x:c>
      <x:c r="C50" s="100" t="n">
        <x:f>'Raw R'!L44</x:f>
        <x:v>-0.02646705130154975</x:v>
      </x:c>
      <x:c r="D50" s="100" t="n">
        <x:f>$B$2</x:f>
        <x:v>-0.01791329208576473</x:v>
      </x:c>
      <x:c r="E50" s="100" t="n">
        <x:f>C50-D50</x:f>
        <x:v>-0.00855375921578502</x:v>
      </x:c>
      <x:c r="F50" s="100" t="n">
        <x:f>E50-B50</x:f>
        <x:v>-0.003176087253489935</x:v>
      </x:c>
      <x:c r="G50" s="100" t="n">
        <x:f>ABS(F50)</x:f>
        <x:v>0.003176087253489935</x:v>
      </x:c>
      <x:c r="H50" s="100" t="n">
        <x:f>'Raw R'!N44</x:f>
        <x:v>0.9698123160385358</x:v>
      </x:c>
      <x:c r="I50" t="b">
        <x:f>'Raw R'!O44</x:f>
        <x:v>1</x:v>
      </x:c>
      <x:c r="J50" s="100" t="n">
        <x:f>IF(I50,B50,"")</x:f>
        <x:v>-0.005377671962295084</x:v>
      </x:c>
      <x:c r="K50" s="100" t="n">
        <x:f>IF(I50,E50,"")</x:f>
        <x:v>-0.00855375921578502</x:v>
      </x:c>
      <x:c r="L50" s="100" t="n">
        <x:f>IF(I50,G50,"")</x:f>
        <x:v>0.003176087253489935</x:v>
      </x:c>
      <x:c r="M50" s="100" t="n">
        <x:f>IF(I50,F50^2,"")</x:f>
        <x:v>0.000010087530241781238</x:v>
      </x:c>
      <x:c r="N50" s="100" t="n">
        <x:f>IF(I50,F50,"")</x:f>
        <x:v>-0.003176087253489935</x:v>
      </x:c>
      <x:c r="P50" t="n">
        <x:f>J50</x:f>
        <x:v>-0.005377671962295084</x:v>
      </x:c>
      <x:c r="Q50" t="n">
        <x:f>K50</x:f>
        <x:v>-0.00855375921578502</x:v>
      </x:c>
    </x:row>
    <x:row r="51">
      <x:c r="A51" s="99" t="str">
        <x:f>'Raw R'!B45</x:f>
        <x:v>00082</x:v>
      </x:c>
      <x:c r="B51" s="100" t="n">
        <x:f>INDEX('Raw Stations'!$D$2:$D$299,MATCH(A51,'Raw Stations'!$A$2:$A$299,0))</x:f>
        <x:v>0.002615997766090779</x:v>
      </x:c>
      <x:c r="C51" s="100" t="n">
        <x:f>'Raw R'!L45</x:f>
        <x:v>-0.01332944463431246</x:v>
      </x:c>
      <x:c r="D51" s="100" t="n">
        <x:f>$B$2</x:f>
        <x:v>-0.01791329208576473</x:v>
      </x:c>
      <x:c r="E51" s="100" t="n">
        <x:f>C51-D51</x:f>
        <x:v>0.00458384745145227</x:v>
      </x:c>
      <x:c r="F51" s="100" t="n">
        <x:f>E51-B51</x:f>
        <x:v>0.001967849685361491</x:v>
      </x:c>
      <x:c r="G51" s="100" t="n">
        <x:f>ABS(F51)</x:f>
        <x:v>0.001967849685361491</x:v>
      </x:c>
      <x:c r="H51" s="100" t="n">
        <x:f>'Raw R'!N45</x:f>
        <x:v>0.9742082208410745</x:v>
      </x:c>
      <x:c r="I51" t="b">
        <x:f>'Raw R'!O45</x:f>
        <x:v>1</x:v>
      </x:c>
      <x:c r="J51" s="100" t="n">
        <x:f>IF(I51,B51,"")</x:f>
        <x:v>0.002615997766090779</x:v>
      </x:c>
      <x:c r="K51" s="100" t="n">
        <x:f>IF(I51,E51,"")</x:f>
        <x:v>0.00458384745145227</x:v>
      </x:c>
      <x:c r="L51" s="100" t="n">
        <x:f>IF(I51,G51,"")</x:f>
        <x:v>0.001967849685361491</x:v>
      </x:c>
      <x:c r="M51" s="100" t="n">
        <x:f>IF(I51,F51^2,"")</x:f>
        <x:v>0.000003872432384177319</x:v>
      </x:c>
      <x:c r="N51" s="100" t="n">
        <x:f>IF(I51,F51,"")</x:f>
        <x:v>0.001967849685361491</x:v>
      </x:c>
      <x:c r="P51" t="n">
        <x:f>J51</x:f>
        <x:v>0.002615997766090779</x:v>
      </x:c>
      <x:c r="Q51" t="n">
        <x:f>K51</x:f>
        <x:v>0.00458384745145227</x:v>
      </x:c>
    </x:row>
    <x:row r="52">
      <x:c r="A52" s="99" t="str">
        <x:f>'Raw R'!B46</x:f>
        <x:v>00083</x:v>
      </x:c>
      <x:c r="B52" s="100" t="n">
        <x:f>INDEX('Raw Stations'!$D$2:$D$299,MATCH(A52,'Raw Stations'!$A$2:$A$299,0))</x:f>
        <x:v>0.0053460092687972</x:v>
      </x:c>
      <x:c r="C52" s="100" t="n">
        <x:f>'Raw R'!L46</x:f>
        <x:v>-0.01111253437454293</x:v>
      </x:c>
      <x:c r="D52" s="100" t="n">
        <x:f>$B$2</x:f>
        <x:v>-0.01791329208576473</x:v>
      </x:c>
      <x:c r="E52" s="100" t="n">
        <x:f>C52-D52</x:f>
        <x:v>0.0068007577112217995</x:v>
      </x:c>
      <x:c r="F52" s="100" t="n">
        <x:f>E52-B52</x:f>
        <x:v>0.0014547484424245992</x:v>
      </x:c>
      <x:c r="G52" s="100" t="n">
        <x:f>ABS(F52)</x:f>
        <x:v>0.0014547484424245992</x:v>
      </x:c>
      <x:c r="H52" s="100" t="n">
        <x:f>'Raw R'!N46</x:f>
        <x:v>0.9848466231436218</x:v>
      </x:c>
      <x:c r="I52" t="b">
        <x:f>'Raw R'!O46</x:f>
        <x:v>1</x:v>
      </x:c>
      <x:c r="J52" s="100" t="n">
        <x:f>IF(I52,B52,"")</x:f>
        <x:v>0.0053460092687972</x:v>
      </x:c>
      <x:c r="K52" s="100" t="n">
        <x:f>IF(I52,E52,"")</x:f>
        <x:v>0.0068007577112217995</x:v>
      </x:c>
      <x:c r="L52" s="100" t="n">
        <x:f>IF(I52,G52,"")</x:f>
        <x:v>0.0014547484424245992</x:v>
      </x:c>
      <x:c r="M52" s="100" t="n">
        <x:f>IF(I52,F52^2,"")</x:f>
        <x:v>0.0000021162930307367974</x:v>
      </x:c>
      <x:c r="N52" s="100" t="n">
        <x:f>IF(I52,F52,"")</x:f>
        <x:v>0.0014547484424245992</x:v>
      </x:c>
      <x:c r="P52" t="n">
        <x:f>J52</x:f>
        <x:v>0.0053460092687972</x:v>
      </x:c>
      <x:c r="Q52" t="n">
        <x:f>K52</x:f>
        <x:v>0.0068007577112217995</x:v>
      </x:c>
    </x:row>
    <x:row r="53">
      <x:c r="A53" s="99" t="str">
        <x:f>'Raw R'!B47</x:f>
        <x:v>00084</x:v>
      </x:c>
      <x:c r="B53" s="100" t="n">
        <x:f>INDEX('Raw Stations'!$D$2:$D$299,MATCH(A53,'Raw Stations'!$A$2:$A$299,0))</x:f>
        <x:v>0.006623867605021951</x:v>
      </x:c>
      <x:c r="C53" s="100" t="n">
        <x:f>'Raw R'!L47</x:f>
        <x:v>-0.009156329686516113</x:v>
      </x:c>
      <x:c r="D53" s="100" t="n">
        <x:f>$B$2</x:f>
        <x:v>-0.01791329208576473</x:v>
      </x:c>
      <x:c r="E53" s="100" t="n">
        <x:f>C53-D53</x:f>
        <x:v>0.008756962399248617</x:v>
      </x:c>
      <x:c r="F53" s="100" t="n">
        <x:f>E53-B53</x:f>
        <x:v>0.0021330947942266656</x:v>
      </x:c>
      <x:c r="G53" s="100" t="n">
        <x:f>ABS(F53)</x:f>
        <x:v>0.0021330947942266656</x:v>
      </x:c>
      <x:c r="H53" s="100" t="n">
        <x:f>'Raw R'!N47</x:f>
        <x:v>0.989678496878278</x:v>
      </x:c>
      <x:c r="I53" t="b">
        <x:f>'Raw R'!O47</x:f>
        <x:v>1</x:v>
      </x:c>
      <x:c r="J53" s="100" t="n">
        <x:f>IF(I53,B53,"")</x:f>
        <x:v>0.006623867605021951</x:v>
      </x:c>
      <x:c r="K53" s="100" t="n">
        <x:f>IF(I53,E53,"")</x:f>
        <x:v>0.008756962399248617</x:v>
      </x:c>
      <x:c r="L53" s="100" t="n">
        <x:f>IF(I53,G53,"")</x:f>
        <x:v>0.0021330947942266656</x:v>
      </x:c>
      <x:c r="M53" s="100" t="n">
        <x:f>IF(I53,F53^2,"")</x:f>
        <x:v>0.000004550093401156901</x:v>
      </x:c>
      <x:c r="N53" s="100" t="n">
        <x:f>IF(I53,F53,"")</x:f>
        <x:v>0.0021330947942266656</x:v>
      </x:c>
      <x:c r="P53" t="n">
        <x:f>J53</x:f>
        <x:v>0.006623867605021951</x:v>
      </x:c>
      <x:c r="Q53" t="n">
        <x:f>K53</x:f>
        <x:v>0.008756962399248617</x:v>
      </x:c>
    </x:row>
    <x:row r="54">
      <x:c r="A54" s="99" t="str">
        <x:f>'Raw R'!B48</x:f>
        <x:v>00086</x:v>
      </x:c>
      <x:c r="B54" s="100" t="n">
        <x:f>INDEX('Raw Stations'!$D$2:$D$299,MATCH(A54,'Raw Stations'!$A$2:$A$299,0))</x:f>
        <x:v>0.007899155347603819</x:v>
      </x:c>
      <x:c r="C54" s="100" t="n">
        <x:f>'Raw R'!L48</x:f>
        <x:v>-0.008046287052799417</x:v>
      </x:c>
      <x:c r="D54" s="100" t="n">
        <x:f>$B$2</x:f>
        <x:v>-0.01791329208576473</x:v>
      </x:c>
      <x:c r="E54" s="100" t="n">
        <x:f>C54-D54</x:f>
        <x:v>0.009867005032965313</x:v>
      </x:c>
      <x:c r="F54" s="100" t="n">
        <x:f>E54-B54</x:f>
        <x:v>0.001967849685361494</x:v>
      </x:c>
      <x:c r="G54" s="100" t="n">
        <x:f>ABS(F54)</x:f>
        <x:v>0.001967849685361494</x:v>
      </x:c>
      <x:c r="H54" s="100" t="n">
        <x:f>'Raw R'!N48</x:f>
        <x:v>0.9920522455362482</x:v>
      </x:c>
      <x:c r="I54" t="b">
        <x:f>'Raw R'!O48</x:f>
        <x:v>1</x:v>
      </x:c>
      <x:c r="J54" s="100" t="n">
        <x:f>IF(I54,B54,"")</x:f>
        <x:v>0.007899155347603819</x:v>
      </x:c>
      <x:c r="K54" s="100" t="n">
        <x:f>IF(I54,E54,"")</x:f>
        <x:v>0.009867005032965313</x:v>
      </x:c>
      <x:c r="L54" s="100" t="n">
        <x:f>IF(I54,G54,"")</x:f>
        <x:v>0.001967849685361494</x:v>
      </x:c>
      <x:c r="M54" s="100" t="n">
        <x:f>IF(I54,F54^2,"")</x:f>
        <x:v>0.000003872432384177331</x:v>
      </x:c>
      <x:c r="N54" s="100" t="n">
        <x:f>IF(I54,F54,"")</x:f>
        <x:v>0.001967849685361494</x:v>
      </x:c>
      <x:c r="P54" t="n">
        <x:f>J54</x:f>
        <x:v>0.007899155347603819</x:v>
      </x:c>
      <x:c r="Q54" t="n">
        <x:f>K54</x:f>
        <x:v>0.009867005032965313</x:v>
      </x:c>
    </x:row>
    <x:row r="55">
      <x:c r="A55" s="99" t="str">
        <x:f>'Raw R'!B49</x:f>
        <x:v>00087</x:v>
      </x:c>
      <x:c r="B55" s="100" t="n">
        <x:f>INDEX('Raw Stations'!$D$2:$D$299,MATCH(A55,'Raw Stations'!$A$2:$A$299,0))</x:f>
        <x:v>-0.0003104305051258895</x:v>
      </x:c>
      <x:c r="C55" s="100" t="n">
        <x:f>'Raw R'!L49</x:f>
        <x:v>-0.01955759864260498</x:v>
      </x:c>
      <x:c r="D55" s="100" t="n">
        <x:f>$B$2</x:f>
        <x:v>-0.01791329208576473</x:v>
      </x:c>
      <x:c r="E55" s="100" t="n">
        <x:f>C55-D55</x:f>
        <x:v>-0.0016443065568402492</x:v>
      </x:c>
      <x:c r="F55" s="100" t="n">
        <x:f>E55-B55</x:f>
        <x:v>-0.0013338760517143597</x:v>
      </x:c>
      <x:c r="G55" s="100" t="n">
        <x:f>ABS(F55)</x:f>
        <x:v>0.0013338760517143597</x:v>
      </x:c>
      <x:c r="H55" s="100" t="n">
        <x:f>'Raw R'!N49</x:f>
        <x:v>0.9939978541058478</x:v>
      </x:c>
      <x:c r="I55" t="b">
        <x:f>'Raw R'!O49</x:f>
        <x:v>1</x:v>
      </x:c>
      <x:c r="J55" s="100" t="n">
        <x:f>IF(I55,B55,"")</x:f>
        <x:v>-0.0003104305051258895</x:v>
      </x:c>
      <x:c r="K55" s="100" t="n">
        <x:f>IF(I55,E55,"")</x:f>
        <x:v>-0.0016443065568402492</x:v>
      </x:c>
      <x:c r="L55" s="100" t="n">
        <x:f>IF(I55,G55,"")</x:f>
        <x:v>0.0013338760517143597</x:v>
      </x:c>
      <x:c r="M55" s="100" t="n">
        <x:f>IF(I55,F55^2,"")</x:f>
        <x:v>0.0000017792253213370891</x:v>
      </x:c>
      <x:c r="N55" s="100" t="n">
        <x:f>IF(I55,F55,"")</x:f>
        <x:v>-0.0013338760517143597</x:v>
      </x:c>
      <x:c r="P55" t="n">
        <x:f>J55</x:f>
        <x:v>-0.0003104305051258895</x:v>
      </x:c>
      <x:c r="Q55" t="n">
        <x:f>K55</x:f>
        <x:v>-0.0016443065568402492</x:v>
      </x:c>
    </x:row>
    <x:row r="56">
      <x:c r="A56" s="99" t="str">
        <x:f>'Raw R'!B50</x:f>
        <x:v>00088</x:v>
      </x:c>
      <x:c r="B56" s="100" t="n">
        <x:f>INDEX('Raw Stations'!$D$2:$D$299,MATCH(A56,'Raw Stations'!$A$2:$A$299,0))</x:f>
        <x:v>0.0157461620590449</x:v>
      </x:c>
      <x:c r="C56" s="100" t="n">
        <x:f>'Raw R'!L50</x:f>
        <x:v>-0.002583198493960728</x:v>
      </x:c>
      <x:c r="D56" s="100" t="n">
        <x:f>$B$2</x:f>
        <x:v>-0.01791329208576473</x:v>
      </x:c>
      <x:c r="E56" s="100" t="n">
        <x:f>C56-D56</x:f>
        <x:v>0.015330093591804001</x:v>
      </x:c>
      <x:c r="F56" s="100" t="n">
        <x:f>E56-B56</x:f>
        <x:v>-0.00041606846724089736</x:v>
      </x:c>
      <x:c r="G56" s="100" t="n">
        <x:f>ABS(F56)</x:f>
        <x:v>0.00041606846724089736</x:v>
      </x:c>
      <x:c r="H56" s="100" t="n">
        <x:f>'Raw R'!N50</x:f>
        <x:v>0.9779133515524093</x:v>
      </x:c>
      <x:c r="I56" t="b">
        <x:f>'Raw R'!O50</x:f>
        <x:v>1</x:v>
      </x:c>
      <x:c r="J56" s="100" t="n">
        <x:f>IF(I56,B56,"")</x:f>
        <x:v>0.0157461620590449</x:v>
      </x:c>
      <x:c r="K56" s="100" t="n">
        <x:f>IF(I56,E56,"")</x:f>
        <x:v>0.015330093591804001</x:v>
      </x:c>
      <x:c r="L56" s="100" t="n">
        <x:f>IF(I56,G56,"")</x:f>
        <x:v>0.00041606846724089736</x:v>
      </x:c>
      <x:c r="M56" s="100" t="n">
        <x:f>IF(I56,F56^2,"")</x:f>
        <x:v>1.7311296943218968e-7</x:v>
      </x:c>
      <x:c r="N56" s="100" t="n">
        <x:f>IF(I56,F56,"")</x:f>
        <x:v>-0.00041606846724089736</x:v>
      </x:c>
      <x:c r="P56" t="n">
        <x:f>J56</x:f>
        <x:v>0.0157461620590449</x:v>
      </x:c>
      <x:c r="Q56" t="n">
        <x:f>K56</x:f>
        <x:v>0.015330093591804001</x:v>
      </x:c>
    </x:row>
    <x:row r="57">
      <x:c r="A57" s="99" t="str">
        <x:f>'Raw R'!B51</x:f>
        <x:v>00089</x:v>
      </x:c>
      <x:c r="B57" s="100" t="n">
        <x:f>INDEX('Raw Stations'!$D$2:$D$299,MATCH(A57,'Raw Stations'!$A$2:$A$299,0))</x:f>
        <x:v>0.01282976438716787</x:v>
      </x:c>
      <x:c r="C57" s="100" t="n">
        <x:f>'Raw R'!L51</x:f>
        <x:v>-0.006635762211223098</x:v>
      </x:c>
      <x:c r="D57" s="100" t="n">
        <x:f>$B$2</x:f>
        <x:v>-0.01791329208576473</x:v>
      </x:c>
      <x:c r="E57" s="100" t="n">
        <x:f>C57-D57</x:f>
        <x:v>0.011277529874541631</x:v>
      </x:c>
      <x:c r="F57" s="100" t="n">
        <x:f>E57-B57</x:f>
        <x:v>-0.001552234512626238</x:v>
      </x:c>
      <x:c r="G57" s="100" t="n">
        <x:f>ABS(F57)</x:f>
        <x:v>0.001552234512626238</x:v>
      </x:c>
      <x:c r="H57" s="100" t="n">
        <x:f>'Raw R'!N51</x:f>
        <x:v>0.9960673755888824</x:v>
      </x:c>
      <x:c r="I57" t="b">
        <x:f>'Raw R'!O51</x:f>
        <x:v>1</x:v>
      </x:c>
      <x:c r="J57" s="100" t="n">
        <x:f>IF(I57,B57,"")</x:f>
        <x:v>0.01282976438716787</x:v>
      </x:c>
      <x:c r="K57" s="100" t="n">
        <x:f>IF(I57,E57,"")</x:f>
        <x:v>0.011277529874541631</x:v>
      </x:c>
      <x:c r="L57" s="100" t="n">
        <x:f>IF(I57,G57,"")</x:f>
        <x:v>0.001552234512626238</x:v>
      </x:c>
      <x:c r="M57" s="100" t="n">
        <x:f>IF(I57,F57^2,"")</x:f>
        <x:v>0.000002409431982188014</x:v>
      </x:c>
      <x:c r="N57" s="100" t="n">
        <x:f>IF(I57,F57,"")</x:f>
        <x:v>-0.001552234512626238</x:v>
      </x:c>
      <x:c r="P57" t="n">
        <x:f>J57</x:f>
        <x:v>0.01282976438716787</x:v>
      </x:c>
      <x:c r="Q57" t="n">
        <x:f>K57</x:f>
        <x:v>0.011277529874541631</x:v>
      </x:c>
    </x:row>
    <x:row r="58">
      <x:c r="A58" s="99" t="str">
        <x:f>'Raw R'!B52</x:f>
        <x:v>00090</x:v>
      </x:c>
      <x:c r="B58" s="100" t="n">
        <x:f>INDEX('Raw Stations'!$D$2:$D$299,MATCH(A58,'Raw Stations'!$A$2:$A$299,0))</x:f>
        <x:v>0.01948776418940744</x:v>
      </x:c>
      <x:c r="C58" s="100" t="n">
        <x:f>'Raw R'!L52</x:f>
        <x:v>0.002315405107046489</x:v>
      </x:c>
      <x:c r="D58" s="100" t="n">
        <x:f>$B$2</x:f>
        <x:v>-0.01791329208576473</x:v>
      </x:c>
      <x:c r="E58" s="100" t="n">
        <x:f>C58-D58</x:f>
        <x:v>0.02022869719281122</x:v>
      </x:c>
      <x:c r="F58" s="100" t="n">
        <x:f>E58-B58</x:f>
        <x:v>0.0007409330034037799</x:v>
      </x:c>
      <x:c r="G58" s="100" t="n">
        <x:f>ABS(F58)</x:f>
        <x:v>0.0007409330034037799</x:v>
      </x:c>
      <x:c r="H58" s="100" t="n">
        <x:f>'Raw R'!N52</x:f>
        <x:v>0.9736564688102376</x:v>
      </x:c>
      <x:c r="I58" t="b">
        <x:f>'Raw R'!O52</x:f>
        <x:v>1</x:v>
      </x:c>
      <x:c r="J58" s="100" t="n">
        <x:f>IF(I58,B58,"")</x:f>
        <x:v>0.01948776418940744</x:v>
      </x:c>
      <x:c r="K58" s="100" t="n">
        <x:f>IF(I58,E58,"")</x:f>
        <x:v>0.02022869719281122</x:v>
      </x:c>
      <x:c r="L58" s="100" t="n">
        <x:f>IF(I58,G58,"")</x:f>
        <x:v>0.0007409330034037799</x:v>
      </x:c>
      <x:c r="M58" s="100" t="n">
        <x:f>IF(I58,F58^2,"")</x:f>
        <x:v>5.489817155329457e-7</x:v>
      </x:c>
      <x:c r="N58" s="100" t="n">
        <x:f>IF(I58,F58,"")</x:f>
        <x:v>0.0007409330034037799</x:v>
      </x:c>
      <x:c r="P58" t="n">
        <x:f>J58</x:f>
        <x:v>0.01948776418940744</x:v>
      </x:c>
      <x:c r="Q58" t="n">
        <x:f>K58</x:f>
        <x:v>0.02022869719281122</x:v>
      </x:c>
    </x:row>
    <x:row r="59">
      <x:c r="A59" s="99" t="str">
        <x:f>'Raw R'!B53</x:f>
        <x:v>00091</x:v>
      </x:c>
      <x:c r="B59" s="100" t="n">
        <x:f>INDEX('Raw Stations'!$D$2:$D$299,MATCH(A59,'Raw Stations'!$A$2:$A$299,0))</x:f>
        <x:v>0.0279982488109449</x:v>
      </x:c>
      <x:c r="C59" s="100" t="n">
        <x:f>'Raw R'!L53</x:f>
        <x:v>0.009668888257939268</x:v>
      </x:c>
      <x:c r="D59" s="100" t="n">
        <x:f>$B$2</x:f>
        <x:v>-0.01791329208576473</x:v>
      </x:c>
      <x:c r="E59" s="100" t="n">
        <x:f>C59-D59</x:f>
        <x:v>0.027582180343703997</x:v>
      </x:c>
      <x:c r="F59" s="100" t="n">
        <x:f>E59-B59</x:f>
        <x:v>-0.0004160684672409043</x:v>
      </x:c>
      <x:c r="G59" s="100" t="n">
        <x:f>ABS(F59)</x:f>
        <x:v>0.0004160684672409043</x:v>
      </x:c>
      <x:c r="H59" s="100" t="n">
        <x:f>'Raw R'!N53</x:f>
        <x:v>0.9572328224058865</x:v>
      </x:c>
      <x:c r="I59" t="b">
        <x:f>'Raw R'!O53</x:f>
        <x:v>1</x:v>
      </x:c>
      <x:c r="J59" s="100" t="n">
        <x:f>IF(I59,B59,"")</x:f>
        <x:v>0.0279982488109449</x:v>
      </x:c>
      <x:c r="K59" s="100" t="n">
        <x:f>IF(I59,E59,"")</x:f>
        <x:v>0.027582180343703997</x:v>
      </x:c>
      <x:c r="L59" s="100" t="n">
        <x:f>IF(I59,G59,"")</x:f>
        <x:v>0.0004160684672409043</x:v>
      </x:c>
      <x:c r="M59" s="100" t="n">
        <x:f>IF(I59,F59^2,"")</x:f>
        <x:v>1.7311296943219545e-7</x:v>
      </x:c>
      <x:c r="N59" s="100" t="n">
        <x:f>IF(I59,F59,"")</x:f>
        <x:v>-0.0004160684672409043</x:v>
      </x:c>
      <x:c r="P59" t="n">
        <x:f>J59</x:f>
        <x:v>0.0279982488109449</x:v>
      </x:c>
      <x:c r="Q59" t="n">
        <x:f>K59</x:f>
        <x:v>0.027582180343703997</x:v>
      </x:c>
    </x:row>
    <x:row r="60">
      <x:c r="A60" s="99" t="str">
        <x:f>'Raw R'!B54</x:f>
        <x:v>00092</x:v>
      </x:c>
      <x:c r="B60" s="100" t="n">
        <x:f>INDEX('Raw Stations'!$D$2:$D$299,MATCH(A60,'Raw Stations'!$A$2:$A$299,0))</x:f>
        <x:v>0.01721080396433336</x:v>
      </x:c>
      <x:c r="C60" s="100" t="n">
        <x:f>'Raw R'!L54</x:f>
        <x:v>-0.004455908075922929</x:v>
      </x:c>
      <x:c r="D60" s="100" t="n">
        <x:f>$B$2</x:f>
        <x:v>-0.01791329208576473</x:v>
      </x:c>
      <x:c r="E60" s="100" t="n">
        <x:f>C60-D60</x:f>
        <x:v>0.0134573840098418</x:v>
      </x:c>
      <x:c r="F60" s="100" t="n">
        <x:f>E60-B60</x:f>
        <x:v>-0.0037534199544915596</x:v>
      </x:c>
      <x:c r="G60" s="100" t="n">
        <x:f>ABS(F60)</x:f>
        <x:v>0.0037534199544915596</x:v>
      </x:c>
      <x:c r="H60" s="100" t="n">
        <x:f>'Raw R'!N54</x:f>
        <x:v>0.9313345863947375</x:v>
      </x:c>
      <x:c r="I60" t="b">
        <x:f>'Raw R'!O54</x:f>
        <x:v>1</x:v>
      </x:c>
      <x:c r="J60" s="100" t="n">
        <x:f>IF(I60,B60,"")</x:f>
        <x:v>0.01721080396433336</x:v>
      </x:c>
      <x:c r="K60" s="100" t="n">
        <x:f>IF(I60,E60,"")</x:f>
        <x:v>0.0134573840098418</x:v>
      </x:c>
      <x:c r="L60" s="100" t="n">
        <x:f>IF(I60,G60,"")</x:f>
        <x:v>0.0037534199544915596</x:v>
      </x:c>
      <x:c r="M60" s="100" t="n">
        <x:f>IF(I60,F60^2,"")</x:f>
        <x:v>0.000014088161354775422</x:v>
      </x:c>
      <x:c r="N60" s="100" t="n">
        <x:f>IF(I60,F60,"")</x:f>
        <x:v>-0.0037534199544915596</x:v>
      </x:c>
      <x:c r="P60" t="n">
        <x:f>J60</x:f>
        <x:v>0.01721080396433336</x:v>
      </x:c>
      <x:c r="Q60" t="n">
        <x:f>K60</x:f>
        <x:v>0.0134573840098418</x:v>
      </x:c>
    </x:row>
    <x:row r="61">
      <x:c r="A61" s="99" t="str">
        <x:f>'Raw R'!B55</x:f>
        <x:v>00093</x:v>
      </x:c>
      <x:c r="B61" s="100" t="n">
        <x:f>INDEX('Raw Stations'!$D$2:$D$299,MATCH(A61,'Raw Stations'!$A$2:$A$299,0))</x:f>
        <x:v>0.01259627872693789</x:v>
      </x:c>
      <x:c r="C61" s="100" t="n">
        <x:f>'Raw R'!L55</x:f>
        <x:v>-0.00615511775171379</x:v>
      </x:c>
      <x:c r="D61" s="100" t="n">
        <x:f>$B$2</x:f>
        <x:v>-0.01791329208576473</x:v>
      </x:c>
      <x:c r="E61" s="100" t="n">
        <x:f>C61-D61</x:f>
        <x:v>0.01175817433405094</x:v>
      </x:c>
      <x:c r="F61" s="100" t="n">
        <x:f>E61-B61</x:f>
        <x:v>-0.0008381043928869514</x:v>
      </x:c>
      <x:c r="G61" s="100" t="n">
        <x:f>ABS(F61)</x:f>
        <x:v>0.0008381043928869514</x:v>
      </x:c>
      <x:c r="H61" s="100" t="n">
        <x:f>'Raw R'!N55</x:f>
        <x:v>0.9785200071319109</x:v>
      </x:c>
      <x:c r="I61" t="b">
        <x:f>'Raw R'!O55</x:f>
        <x:v>1</x:v>
      </x:c>
      <x:c r="J61" s="100" t="n">
        <x:f>IF(I61,B61,"")</x:f>
        <x:v>0.01259627872693789</x:v>
      </x:c>
      <x:c r="K61" s="100" t="n">
        <x:f>IF(I61,E61,"")</x:f>
        <x:v>0.01175817433405094</x:v>
      </x:c>
      <x:c r="L61" s="100" t="n">
        <x:f>IF(I61,G61,"")</x:f>
        <x:v>0.0008381043928869514</x:v>
      </x:c>
      <x:c r="M61" s="100" t="n">
        <x:f>IF(I61,F61^2,"")</x:f>
        <x:v>7.024189733764054e-7</x:v>
      </x:c>
      <x:c r="N61" s="100" t="n">
        <x:f>IF(I61,F61,"")</x:f>
        <x:v>-0.0008381043928869514</x:v>
      </x:c>
      <x:c r="P61" t="n">
        <x:f>J61</x:f>
        <x:v>0.01259627872693789</x:v>
      </x:c>
      <x:c r="Q61" t="n">
        <x:f>K61</x:f>
        <x:v>0.01175817433405094</x:v>
      </x:c>
    </x:row>
    <x:row r="62">
      <x:c r="A62" s="99" t="str">
        <x:f>'Raw R'!B56</x:f>
        <x:v>00094</x:v>
      </x:c>
      <x:c r="B62" s="100" t="n">
        <x:f>INDEX('Raw Stations'!$D$2:$D$299,MATCH(A62,'Raw Stations'!$A$2:$A$299,0))</x:f>
        <x:v>0.0007725978080579399</x:v>
      </x:c>
      <x:c r="C62" s="100" t="n">
        <x:f>'Raw R'!L56</x:f>
        <x:v>-0.01986987602303919</x:v>
      </x:c>
      <x:c r="D62" s="100" t="n">
        <x:f>$B$2</x:f>
        <x:v>-0.01791329208576473</x:v>
      </x:c>
      <x:c r="E62" s="100" t="n">
        <x:f>C62-D62</x:f>
        <x:v>-0.0019565839372744608</x:v>
      </x:c>
      <x:c r="F62" s="100" t="n">
        <x:f>E62-B62</x:f>
        <x:v>-0.0027291817453324006</x:v>
      </x:c>
      <x:c r="G62" s="100" t="n">
        <x:f>ABS(F62)</x:f>
        <x:v>0.0027291817453324006</x:v>
      </x:c>
      <x:c r="H62" s="100" t="n">
        <x:f>'Raw R'!N56</x:f>
        <x:v>0.9685329257534465</x:v>
      </x:c>
      <x:c r="I62" t="b">
        <x:f>'Raw R'!O56</x:f>
        <x:v>1</x:v>
      </x:c>
      <x:c r="J62" s="100" t="n">
        <x:f>IF(I62,B62,"")</x:f>
        <x:v>0.0007725978080579399</x:v>
      </x:c>
      <x:c r="K62" s="100" t="n">
        <x:f>IF(I62,E62,"")</x:f>
        <x:v>-0.0019565839372744608</x:v>
      </x:c>
      <x:c r="L62" s="100" t="n">
        <x:f>IF(I62,G62,"")</x:f>
        <x:v>0.0027291817453324006</x:v>
      </x:c>
      <x:c r="M62" s="100" t="n">
        <x:f>IF(I62,F62^2,"")</x:f>
        <x:v>0.000007448432999055608</x:v>
      </x:c>
      <x:c r="N62" s="100" t="n">
        <x:f>IF(I62,F62,"")</x:f>
        <x:v>-0.0027291817453324006</x:v>
      </x:c>
      <x:c r="P62" t="n">
        <x:f>J62</x:f>
        <x:v>0.0007725978080579399</x:v>
      </x:c>
      <x:c r="Q62" t="n">
        <x:f>K62</x:f>
        <x:v>-0.0019565839372744608</x:v>
      </x:c>
    </x:row>
    <x:row r="63">
      <x:c r="A63" s="99" t="str">
        <x:f>'Raw R'!B57</x:f>
        <x:v>00095</x:v>
      </x:c>
      <x:c r="B63" s="100" t="n">
        <x:f>INDEX('Raw Stations'!$D$2:$D$299,MATCH(A63,'Raw Stations'!$A$2:$A$299,0))</x:f>
        <x:v>-0.0289975210238233</x:v>
      </x:c>
      <x:c r="C63" s="100" t="n">
        <x:f>'Raw R'!L57</x:f>
        <x:v>-0.04865916454525435</x:v>
      </x:c>
      <x:c r="D63" s="100" t="n">
        <x:f>$B$2</x:f>
        <x:v>-0.01791329208576473</x:v>
      </x:c>
      <x:c r="E63" s="100" t="n">
        <x:f>C63-D63</x:f>
        <x:v>-0.030745872459489624</x:v>
      </x:c>
      <x:c r="F63" s="100" t="n">
        <x:f>E63-B63</x:f>
        <x:v>-0.0017483514356663246</x:v>
      </x:c>
      <x:c r="G63" s="100" t="n">
        <x:f>ABS(F63)</x:f>
        <x:v>0.0017483514356663246</x:v>
      </x:c>
      <x:c r="H63" s="100" t="n">
        <x:f>'Raw R'!N57</x:f>
        <x:v>0.8358714946050487</x:v>
      </x:c>
      <x:c r="I63" t="b">
        <x:f>'Raw R'!O57</x:f>
        <x:v>1</x:v>
      </x:c>
      <x:c r="J63" s="100" t="n">
        <x:f>IF(I63,B63,"")</x:f>
        <x:v>-0.0289975210238233</x:v>
      </x:c>
      <x:c r="K63" s="100" t="n">
        <x:f>IF(I63,E63,"")</x:f>
        <x:v>-0.030745872459489624</x:v>
      </x:c>
      <x:c r="L63" s="100" t="n">
        <x:f>IF(I63,G63,"")</x:f>
        <x:v>0.0017483514356663246</x:v>
      </x:c>
      <x:c r="M63" s="100" t="n">
        <x:f>IF(I63,F63^2,"")</x:f>
        <x:v>0.0000030567327425964983</x:v>
      </x:c>
      <x:c r="N63" s="100" t="n">
        <x:f>IF(I63,F63,"")</x:f>
        <x:v>-0.0017483514356663246</x:v>
      </x:c>
      <x:c r="P63" t="n">
        <x:f>J63</x:f>
        <x:v>-0.0289975210238233</x:v>
      </x:c>
      <x:c r="Q63" t="n">
        <x:f>K63</x:f>
        <x:v>-0.030745872459489624</x:v>
      </x:c>
    </x:row>
    <x:row r="64">
      <x:c r="A64" s="99" t="str">
        <x:f>'Raw R'!B58</x:f>
        <x:v>00096</x:v>
      </x:c>
      <x:c r="B64" s="100" t="n">
        <x:f>INDEX('Raw Stations'!$D$2:$D$299,MATCH(A64,'Raw Stations'!$A$2:$A$299,0))</x:f>
        <x:v>-0.0083776807166418</x:v>
      </x:c>
      <x:c r="C64" s="100" t="n">
        <x:f>'Raw R'!L58</x:f>
        <x:v>-0.02587314050743733</x:v>
      </x:c>
      <x:c r="D64" s="100" t="n">
        <x:f>$B$2</x:f>
        <x:v>-0.01791329208576473</x:v>
      </x:c>
      <x:c r="E64" s="100" t="n">
        <x:f>C64-D64</x:f>
        <x:v>-0.007959848421672602</x:v>
      </x:c>
      <x:c r="F64" s="100" t="n">
        <x:f>E64-B64</x:f>
        <x:v>0.0004178322949691983</x:v>
      </x:c>
      <x:c r="G64" s="100" t="n">
        <x:f>ABS(F64)</x:f>
        <x:v>0.0004178322949691983</x:v>
      </x:c>
      <x:c r="H64" s="100" t="n">
        <x:f>'Raw R'!N58</x:f>
        <x:v>0.9250395027075768</x:v>
      </x:c>
      <x:c r="I64" t="b">
        <x:f>'Raw R'!O58</x:f>
        <x:v>1</x:v>
      </x:c>
      <x:c r="J64" s="100" t="n">
        <x:f>IF(I64,B64,"")</x:f>
        <x:v>-0.0083776807166418</x:v>
      </x:c>
      <x:c r="K64" s="100" t="n">
        <x:f>IF(I64,E64,"")</x:f>
        <x:v>-0.007959848421672602</x:v>
      </x:c>
      <x:c r="L64" s="100" t="n">
        <x:f>IF(I64,G64,"")</x:f>
        <x:v>0.0004178322949691983</x:v>
      </x:c>
      <x:c r="M64" s="100" t="n">
        <x:f>IF(I64,F64^2,"")</x:f>
        <x:v>1.7458382671922714e-7</x:v>
      </x:c>
      <x:c r="N64" s="100" t="n">
        <x:f>IF(I64,F64,"")</x:f>
        <x:v>0.0004178322949691983</x:v>
      </x:c>
      <x:c r="P64" t="n">
        <x:f>J64</x:f>
        <x:v>-0.0083776807166418</x:v>
      </x:c>
      <x:c r="Q64" t="n">
        <x:f>K64</x:f>
        <x:v>-0.007959848421672602</x:v>
      </x:c>
    </x:row>
    <x:row r="65">
      <x:c r="A65" s="99" t="str">
        <x:f>'Raw R'!B59</x:f>
        <x:v>00097</x:v>
      </x:c>
      <x:c r="B65" s="100" t="n">
        <x:f>INDEX('Raw Stations'!$D$2:$D$299,MATCH(A65,'Raw Stations'!$A$2:$A$299,0))</x:f>
        <x:v>-0.006458927007562558</x:v>
      </x:c>
      <x:c r="C65" s="100" t="n">
        <x:f>'Raw R'!L59</x:f>
        <x:v>-0.02760869055905718</x:v>
      </x:c>
      <x:c r="D65" s="100" t="n">
        <x:f>$B$2</x:f>
        <x:v>-0.01791329208576473</x:v>
      </x:c>
      <x:c r="E65" s="100" t="n">
        <x:f>C65-D65</x:f>
        <x:v>-0.009695398473292451</x:v>
      </x:c>
      <x:c r="F65" s="100" t="n">
        <x:f>E65-B65</x:f>
        <x:v>-0.0032364714657298933</x:v>
      </x:c>
      <x:c r="G65" s="100" t="n">
        <x:f>ABS(F65)</x:f>
        <x:v>0.0032364714657298933</x:v>
      </x:c>
      <x:c r="H65" s="100" t="n">
        <x:f>'Raw R'!N59</x:f>
        <x:v>0.9577198040035528</x:v>
      </x:c>
      <x:c r="I65" t="b">
        <x:f>'Raw R'!O59</x:f>
        <x:v>1</x:v>
      </x:c>
      <x:c r="J65" s="100" t="n">
        <x:f>IF(I65,B65,"")</x:f>
        <x:v>-0.006458927007562558</x:v>
      </x:c>
      <x:c r="K65" s="100" t="n">
        <x:f>IF(I65,E65,"")</x:f>
        <x:v>-0.009695398473292451</x:v>
      </x:c>
      <x:c r="L65" s="100" t="n">
        <x:f>IF(I65,G65,"")</x:f>
        <x:v>0.0032364714657298933</x:v>
      </x:c>
      <x:c r="M65" s="100" t="n">
        <x:f>IF(I65,F65^2,"")</x:f>
        <x:v>0.000010474747548483805</x:v>
      </x:c>
      <x:c r="N65" s="100" t="n">
        <x:f>IF(I65,F65,"")</x:f>
        <x:v>-0.0032364714657298933</x:v>
      </x:c>
      <x:c r="P65" t="n">
        <x:f>J65</x:f>
        <x:v>-0.006458927007562558</x:v>
      </x:c>
      <x:c r="Q65" t="n">
        <x:f>K65</x:f>
        <x:v>-0.009695398473292451</x:v>
      </x:c>
    </x:row>
    <x:row r="66">
      <x:c r="A66" s="99" t="str">
        <x:f>'Raw R'!B60</x:f>
        <x:v>00098</x:v>
      </x:c>
      <x:c r="B66" s="100" t="n">
        <x:f>INDEX('Raw Stations'!$D$2:$D$299,MATCH(A66,'Raw Stations'!$A$2:$A$299,0))</x:f>
        <x:v>-0.001755968804049431</x:v>
      </x:c>
      <x:c r="C66" s="100" t="n">
        <x:f>'Raw R'!L60</x:f>
        <x:v>-0.01942268084430573</x:v>
      </x:c>
      <x:c r="D66" s="100" t="n">
        <x:f>$B$2</x:f>
        <x:v>-0.01791329208576473</x:v>
      </x:c>
      <x:c r="E66" s="100" t="n">
        <x:f>C66-D66</x:f>
        <x:v>-0.0015093887585410012</x:v>
      </x:c>
      <x:c r="F66" s="100" t="n">
        <x:f>E66-B66</x:f>
        <x:v>0.00024658004550842986</x:v>
      </x:c>
      <x:c r="G66" s="100" t="n">
        <x:f>ABS(F66)</x:f>
        <x:v>0.00024658004550842986</x:v>
      </x:c>
      <x:c r="H66" s="100" t="n">
        <x:f>'Raw R'!N60</x:f>
        <x:v>0.9892698465591874</x:v>
      </x:c>
      <x:c r="I66" t="b">
        <x:f>'Raw R'!O60</x:f>
        <x:v>1</x:v>
      </x:c>
      <x:c r="J66" s="100" t="n">
        <x:f>IF(I66,B66,"")</x:f>
        <x:v>-0.001755968804049431</x:v>
      </x:c>
      <x:c r="K66" s="100" t="n">
        <x:f>IF(I66,E66,"")</x:f>
        <x:v>-0.0015093887585410012</x:v>
      </x:c>
      <x:c r="L66" s="100" t="n">
        <x:f>IF(I66,G66,"")</x:f>
        <x:v>0.00024658004550842986</x:v>
      </x:c>
      <x:c r="M66" s="100" t="n">
        <x:f>IF(I66,F66^2,"")</x:f>
        <x:v>6.080171884293934e-8</x:v>
      </x:c>
      <x:c r="N66" s="100" t="n">
        <x:f>IF(I66,F66,"")</x:f>
        <x:v>0.00024658004550842986</x:v>
      </x:c>
      <x:c r="P66" t="n">
        <x:f>J66</x:f>
        <x:v>-0.001755968804049431</x:v>
      </x:c>
      <x:c r="Q66" t="n">
        <x:f>K66</x:f>
        <x:v>-0.0015093887585410012</x:v>
      </x:c>
    </x:row>
    <x:row r="67">
      <x:c r="A67" s="99" t="str">
        <x:f>'Raw R'!B61</x:f>
        <x:v>00099</x:v>
      </x:c>
      <x:c r="B67" s="100" t="n">
        <x:f>INDEX('Raw Stations'!$D$2:$D$299,MATCH(A67,'Raw Stations'!$A$2:$A$299,0))</x:f>
        <x:v>-0.001897182119154382</x:v>
      </x:c>
      <x:c r="C67" s="100" t="n">
        <x:f>'Raw R'!L61</x:f>
        <x:v>-0.01784262451955762</x:v>
      </x:c>
      <x:c r="D67" s="100" t="n">
        <x:f>$B$2</x:f>
        <x:v>-0.01791329208576473</x:v>
      </x:c>
      <x:c r="E67" s="100" t="n">
        <x:f>C67-D67</x:f>
        <x:v>0.00007066756620710893</x:v>
      </x:c>
      <x:c r="F67" s="100" t="n">
        <x:f>E67-B67</x:f>
        <x:v>0.001967849685361491</x:v>
      </x:c>
      <x:c r="G67" s="100" t="n">
        <x:f>ABS(F67)</x:f>
        <x:v>0.001967849685361491</x:v>
      </x:c>
      <x:c r="H67" s="100" t="n">
        <x:f>'Raw R'!N61</x:f>
        <x:v>0.9910416965916464</x:v>
      </x:c>
      <x:c r="I67" t="b">
        <x:f>'Raw R'!O61</x:f>
        <x:v>1</x:v>
      </x:c>
      <x:c r="J67" s="100" t="n">
        <x:f>IF(I67,B67,"")</x:f>
        <x:v>-0.001897182119154382</x:v>
      </x:c>
      <x:c r="K67" s="100" t="n">
        <x:f>IF(I67,E67,"")</x:f>
        <x:v>0.00007066756620710893</x:v>
      </x:c>
      <x:c r="L67" s="100" t="n">
        <x:f>IF(I67,G67,"")</x:f>
        <x:v>0.001967849685361491</x:v>
      </x:c>
      <x:c r="M67" s="100" t="n">
        <x:f>IF(I67,F67^2,"")</x:f>
        <x:v>0.000003872432384177319</x:v>
      </x:c>
      <x:c r="N67" s="100" t="n">
        <x:f>IF(I67,F67,"")</x:f>
        <x:v>0.001967849685361491</x:v>
      </x:c>
      <x:c r="P67" t="n">
        <x:f>J67</x:f>
        <x:v>-0.001897182119154382</x:v>
      </x:c>
      <x:c r="Q67" t="n">
        <x:f>K67</x:f>
        <x:v>0.00007066756620710893</x:v>
      </x:c>
    </x:row>
    <x:row r="68">
      <x:c r="A68" s="99" t="str">
        <x:f>'Raw R'!B62</x:f>
        <x:v>00101</x:v>
      </x:c>
      <x:c r="B68" s="100" t="n">
        <x:f>INDEX('Raw Stations'!$D$2:$D$299,MATCH(A68,'Raw Stations'!$A$2:$A$299,0))</x:f>
        <x:v>0.00816297832850466</x:v>
      </x:c>
      <x:c r="C68" s="100" t="n">
        <x:f>'Raw R'!L62</x:f>
        <x:v>-0.01034737019703282</x:v>
      </x:c>
      <x:c r="D68" s="100" t="n">
        <x:f>$B$2</x:f>
        <x:v>-0.01791329208576473</x:v>
      </x:c>
      <x:c r="E68" s="100" t="n">
        <x:f>C68-D68</x:f>
        <x:v>0.007565921888731909</x:v>
      </x:c>
      <x:c r="F68" s="100" t="n">
        <x:f>E68-B68</x:f>
        <x:v>-0.0005970564397727515</x:v>
      </x:c>
      <x:c r="G68" s="100" t="n">
        <x:f>ABS(F68)</x:f>
        <x:v>0.0005970564397727515</x:v>
      </x:c>
      <x:c r="H68" s="100" t="n">
        <x:f>'Raw R'!N62</x:f>
        <x:v>0.9972014489675829</x:v>
      </x:c>
      <x:c r="I68" t="b">
        <x:f>'Raw R'!O62</x:f>
        <x:v>1</x:v>
      </x:c>
      <x:c r="J68" s="100" t="n">
        <x:f>IF(I68,B68,"")</x:f>
        <x:v>0.00816297832850466</x:v>
      </x:c>
      <x:c r="K68" s="100" t="n">
        <x:f>IF(I68,E68,"")</x:f>
        <x:v>0.007565921888731909</x:v>
      </x:c>
      <x:c r="L68" s="100" t="n">
        <x:f>IF(I68,G68,"")</x:f>
        <x:v>0.0005970564397727515</x:v>
      </x:c>
      <x:c r="M68" s="100" t="n">
        <x:f>IF(I68,F68^2,"")</x:f>
        <x:v>3.5647639227411327e-7</x:v>
      </x:c>
      <x:c r="N68" s="100" t="n">
        <x:f>IF(I68,F68,"")</x:f>
        <x:v>-0.0005970564397727515</x:v>
      </x:c>
      <x:c r="P68" t="n">
        <x:f>J68</x:f>
        <x:v>0.00816297832850466</x:v>
      </x:c>
      <x:c r="Q68" t="n">
        <x:f>K68</x:f>
        <x:v>0.007565921888731909</x:v>
      </x:c>
    </x:row>
    <x:row r="69">
      <x:c r="A69" s="99" t="str">
        <x:f>'Raw R'!B63</x:f>
        <x:v>00102</x:v>
      </x:c>
      <x:c r="B69" s="100" t="n">
        <x:f>INDEX('Raw Stations'!$D$2:$D$299,MATCH(A69,'Raw Stations'!$A$2:$A$299,0))</x:f>
        <x:v>0.006440861143389272</x:v>
      </x:c>
      <x:c r="C69" s="100" t="n">
        <x:f>'Raw R'!L63</x:f>
        <x:v>-0.01206948738214821</x:v>
      </x:c>
      <x:c r="D69" s="100" t="n">
        <x:f>$B$2</x:f>
        <x:v>-0.01791329208576473</x:v>
      </x:c>
      <x:c r="E69" s="100" t="n">
        <x:f>C69-D69</x:f>
        <x:v>0.00584380470361652</x:v>
      </x:c>
      <x:c r="F69" s="100" t="n">
        <x:f>E69-B69</x:f>
        <x:v>-0.0005970564397727515</x:v>
      </x:c>
      <x:c r="G69" s="100" t="n">
        <x:f>ABS(F69)</x:f>
        <x:v>0.0005970564397727515</x:v>
      </x:c>
      <x:c r="H69" s="100" t="n">
        <x:f>'Raw R'!N63</x:f>
        <x:v>0.9973600704237195</x:v>
      </x:c>
      <x:c r="I69" t="b">
        <x:f>'Raw R'!O63</x:f>
        <x:v>1</x:v>
      </x:c>
      <x:c r="J69" s="100" t="n">
        <x:f>IF(I69,B69,"")</x:f>
        <x:v>0.006440861143389272</x:v>
      </x:c>
      <x:c r="K69" s="100" t="n">
        <x:f>IF(I69,E69,"")</x:f>
        <x:v>0.00584380470361652</x:v>
      </x:c>
      <x:c r="L69" s="100" t="n">
        <x:f>IF(I69,G69,"")</x:f>
        <x:v>0.0005970564397727515</x:v>
      </x:c>
      <x:c r="M69" s="100" t="n">
        <x:f>IF(I69,F69^2,"")</x:f>
        <x:v>3.5647639227411327e-7</x:v>
      </x:c>
      <x:c r="N69" s="100" t="n">
        <x:f>IF(I69,F69,"")</x:f>
        <x:v>-0.0005970564397727515</x:v>
      </x:c>
      <x:c r="P69" t="n">
        <x:f>J69</x:f>
        <x:v>0.006440861143389272</x:v>
      </x:c>
      <x:c r="Q69" t="n">
        <x:f>K69</x:f>
        <x:v>0.00584380470361652</x:v>
      </x:c>
    </x:row>
    <x:row r="70">
      <x:c r="A70" s="99" t="str">
        <x:f>'Raw R'!B64</x:f>
        <x:v>00103</x:v>
      </x:c>
      <x:c r="B70" s="100" t="n">
        <x:f>INDEX('Raw Stations'!$D$2:$D$299,MATCH(A70,'Raw Stations'!$A$2:$A$299,0))</x:f>
        <x:v>0.00383762701612823</x:v>
      </x:c>
      <x:c r="C70" s="100" t="n">
        <x:f>'Raw R'!L64</x:f>
        <x:v>-0.0144917335368774</x:v>
      </x:c>
      <x:c r="D70" s="100" t="n">
        <x:f>$B$2</x:f>
        <x:v>-0.01791329208576473</x:v>
      </x:c>
      <x:c r="E70" s="100" t="n">
        <x:f>C70-D70</x:f>
        <x:v>0.0034215585488873296</x:v>
      </x:c>
      <x:c r="F70" s="100" t="n">
        <x:f>E70-B70</x:f>
        <x:v>-0.0004160684672409004</x:v>
      </x:c>
      <x:c r="G70" s="100" t="n">
        <x:f>ABS(F70)</x:f>
        <x:v>0.0004160684672409004</x:v>
      </x:c>
      <x:c r="H70" s="100" t="n">
        <x:f>'Raw R'!N64</x:f>
        <x:v>0.989956563502412</x:v>
      </x:c>
      <x:c r="I70" t="b">
        <x:f>'Raw R'!O64</x:f>
        <x:v>1</x:v>
      </x:c>
      <x:c r="J70" s="100" t="n">
        <x:f>IF(I70,B70,"")</x:f>
        <x:v>0.00383762701612823</x:v>
      </x:c>
      <x:c r="K70" s="100" t="n">
        <x:f>IF(I70,E70,"")</x:f>
        <x:v>0.0034215585488873296</x:v>
      </x:c>
      <x:c r="L70" s="100" t="n">
        <x:f>IF(I70,G70,"")</x:f>
        <x:v>0.0004160684672409004</x:v>
      </x:c>
      <x:c r="M70" s="100" t="n">
        <x:f>IF(I70,F70^2,"")</x:f>
        <x:v>1.731129694321922e-7</x:v>
      </x:c>
      <x:c r="N70" s="100" t="n">
        <x:f>IF(I70,F70,"")</x:f>
        <x:v>-0.0004160684672409004</x:v>
      </x:c>
      <x:c r="P70" t="n">
        <x:f>J70</x:f>
        <x:v>0.00383762701612823</x:v>
      </x:c>
      <x:c r="Q70" t="n">
        <x:f>K70</x:f>
        <x:v>0.0034215585488873296</x:v>
      </x:c>
    </x:row>
    <x:row r="71">
      <x:c r="A71" s="99" t="str">
        <x:f>'Raw R'!B65</x:f>
        <x:v>00104</x:v>
      </x:c>
      <x:c r="B71" s="100" t="n">
        <x:f>INDEX('Raw Stations'!$D$2:$D$299,MATCH(A71,'Raw Stations'!$A$2:$A$299,0))</x:f>
        <x:v>0.01838903316099029</x:v>
      </x:c>
      <x:c r="C71" s="100" t="n">
        <x:f>'Raw R'!L65</x:f>
        <x:v>-0.001129612708819769</x:v>
      </x:c>
      <x:c r="D71" s="100" t="n">
        <x:f>$B$2</x:f>
        <x:v>-0.01791329208576473</x:v>
      </x:c>
      <x:c r="E71" s="100" t="n">
        <x:f>C71-D71</x:f>
        <x:v>0.01678367937694496</x:v>
      </x:c>
      <x:c r="F71" s="100" t="n">
        <x:f>E71-B71</x:f>
        <x:v>-0.001605353784045329</x:v>
      </x:c>
      <x:c r="G71" s="100" t="n">
        <x:f>ABS(F71)</x:f>
        <x:v>0.001605353784045329</x:v>
      </x:c>
      <x:c r="H71" s="100" t="n">
        <x:f>'Raw R'!N65</x:f>
        <x:v>0.964806596604799</x:v>
      </x:c>
      <x:c r="I71" t="b">
        <x:f>'Raw R'!O65</x:f>
        <x:v>1</x:v>
      </x:c>
      <x:c r="J71" s="100" t="n">
        <x:f>IF(I71,B71,"")</x:f>
        <x:v>0.01838903316099029</x:v>
      </x:c>
      <x:c r="K71" s="100" t="n">
        <x:f>IF(I71,E71,"")</x:f>
        <x:v>0.01678367937694496</x:v>
      </x:c>
      <x:c r="L71" s="100" t="n">
        <x:f>IF(I71,G71,"")</x:f>
        <x:v>0.001605353784045329</x:v>
      </x:c>
      <x:c r="M71" s="100" t="n">
        <x:f>IF(I71,F71^2,"")</x:f>
        <x:v>0.0000025771607719486568</x:v>
      </x:c>
      <x:c r="N71" s="100" t="n">
        <x:f>IF(I71,F71,"")</x:f>
        <x:v>-0.001605353784045329</x:v>
      </x:c>
      <x:c r="P71" t="n">
        <x:f>J71</x:f>
        <x:v>0.01838903316099029</x:v>
      </x:c>
      <x:c r="Q71" t="n">
        <x:f>K71</x:f>
        <x:v>0.01678367937694496</x:v>
      </x:c>
    </x:row>
    <x:row r="72">
      <x:c r="A72" s="99" t="str">
        <x:f>'Raw R'!B66</x:f>
        <x:v>00105</x:v>
      </x:c>
      <x:c r="B72" s="100" t="n">
        <x:f>INDEX('Raw Stations'!$D$2:$D$299,MATCH(A72,'Raw Stations'!$A$2:$A$299,0))</x:f>
        <x:v>0.02614009220453565</x:v>
      </x:c>
      <x:c r="C72" s="100" t="n">
        <x:f>'Raw R'!L66</x:f>
        <x:v>0.00937671183174521</x:v>
      </x:c>
      <x:c r="D72" s="100" t="n">
        <x:f>$B$2</x:f>
        <x:v>-0.01791329208576473</x:v>
      </x:c>
      <x:c r="E72" s="100" t="n">
        <x:f>C72-D72</x:f>
        <x:v>0.02729000391750994</x:v>
      </x:c>
      <x:c r="F72" s="100" t="n">
        <x:f>E72-B72</x:f>
        <x:v>0.0011499117129742907</x:v>
      </x:c>
      <x:c r="G72" s="100" t="n">
        <x:f>ABS(F72)</x:f>
        <x:v>0.0011499117129742907</x:v>
      </x:c>
      <x:c r="H72" s="100" t="n">
        <x:f>'Raw R'!N66</x:f>
        <x:v>0.9430385976363803</x:v>
      </x:c>
      <x:c r="I72" t="b">
        <x:f>'Raw R'!O66</x:f>
        <x:v>1</x:v>
      </x:c>
      <x:c r="J72" s="100" t="n">
        <x:f>IF(I72,B72,"")</x:f>
        <x:v>0.02614009220453565</x:v>
      </x:c>
      <x:c r="K72" s="100" t="n">
        <x:f>IF(I72,E72,"")</x:f>
        <x:v>0.02729000391750994</x:v>
      </x:c>
      <x:c r="L72" s="100" t="n">
        <x:f>IF(I72,G72,"")</x:f>
        <x:v>0.0011499117129742907</x:v>
      </x:c>
      <x:c r="M72" s="100" t="n">
        <x:f>IF(I72,F72^2,"")</x:f>
        <x:v>0.0000013222969476354675</x:v>
      </x:c>
      <x:c r="N72" s="100" t="n">
        <x:f>IF(I72,F72,"")</x:f>
        <x:v>0.0011499117129742907</x:v>
      </x:c>
      <x:c r="P72" t="n">
        <x:f>J72</x:f>
        <x:v>0.02614009220453565</x:v>
      </x:c>
      <x:c r="Q72" t="n">
        <x:f>K72</x:f>
        <x:v>0.02729000391750994</x:v>
      </x:c>
    </x:row>
    <x:row r="73">
      <x:c r="A73" s="99" t="str">
        <x:f>'Raw R'!B67</x:f>
        <x:v>00106</x:v>
      </x:c>
      <x:c r="B73" s="100" t="n">
        <x:f>INDEX('Raw Stations'!$D$2:$D$299,MATCH(A73,'Raw Stations'!$A$2:$A$299,0))</x:f>
        <x:v>0.03147805817797152</x:v>
      </x:c>
      <x:c r="C73" s="100" t="n">
        <x:f>'Raw R'!L67</x:f>
        <x:v>0.01120344472238837</x:v>
      </x:c>
      <x:c r="D73" s="100" t="n">
        <x:f>$B$2</x:f>
        <x:v>-0.01791329208576473</x:v>
      </x:c>
      <x:c r="E73" s="100" t="n">
        <x:f>C73-D73</x:f>
        <x:v>0.029116736808153097</x:v>
      </x:c>
      <x:c r="F73" s="100" t="n">
        <x:f>E73-B73</x:f>
        <x:v>-0.0023613213698184254</x:v>
      </x:c>
      <x:c r="G73" s="100" t="n">
        <x:f>ABS(F73)</x:f>
        <x:v>0.0023613213698184254</x:v>
      </x:c>
      <x:c r="H73" s="100" t="n">
        <x:f>'Raw R'!N67</x:f>
        <x:v>0.9221016986529944</x:v>
      </x:c>
      <x:c r="I73" t="b">
        <x:f>'Raw R'!O67</x:f>
        <x:v>1</x:v>
      </x:c>
      <x:c r="J73" s="100" t="n">
        <x:f>IF(I73,B73,"")</x:f>
        <x:v>0.03147805817797152</x:v>
      </x:c>
      <x:c r="K73" s="100" t="n">
        <x:f>IF(I73,E73,"")</x:f>
        <x:v>0.029116736808153097</x:v>
      </x:c>
      <x:c r="L73" s="100" t="n">
        <x:f>IF(I73,G73,"")</x:f>
        <x:v>0.0023613213698184254</x:v>
      </x:c>
      <x:c r="M73" s="100" t="n">
        <x:f>IF(I73,F73^2,"")</x:f>
        <x:v>0.000005575838611561165</x:v>
      </x:c>
      <x:c r="N73" s="100" t="n">
        <x:f>IF(I73,F73,"")</x:f>
        <x:v>-0.0023613213698184254</x:v>
      </x:c>
      <x:c r="P73" t="n">
        <x:f>J73</x:f>
        <x:v>0.03147805817797152</x:v>
      </x:c>
      <x:c r="Q73" t="n">
        <x:f>K73</x:f>
        <x:v>0.029116736808153097</x:v>
      </x:c>
    </x:row>
    <x:row r="74">
      <x:c r="A74" s="99" t="str">
        <x:f>'Raw R'!B68</x:f>
        <x:v>00108</x:v>
      </x:c>
      <x:c r="B74" s="100" t="n">
        <x:f>INDEX('Raw Stations'!$D$2:$D$299,MATCH(A74,'Raw Stations'!$A$2:$A$299,0))</x:f>
        <x:v>0.009928117065160676</x:v>
      </x:c>
      <x:c r="C74" s="100" t="n">
        <x:f>'Raw R'!L68</x:f>
        <x:v>-0.009537409533230297</x:v>
      </x:c>
      <x:c r="D74" s="100" t="n">
        <x:f>$B$2</x:f>
        <x:v>-0.01791329208576473</x:v>
      </x:c>
      <x:c r="E74" s="100" t="n">
        <x:f>C74-D74</x:f>
        <x:v>0.008375882552534433</x:v>
      </x:c>
      <x:c r="F74" s="100" t="n">
        <x:f>E74-B74</x:f>
        <x:v>-0.001552234512626243</x:v>
      </x:c>
      <x:c r="G74" s="100" t="n">
        <x:f>ABS(F74)</x:f>
        <x:v>0.001552234512626243</x:v>
      </x:c>
      <x:c r="H74" s="100" t="n">
        <x:f>'Raw R'!N68</x:f>
        <x:v>0.9061534591669662</x:v>
      </x:c>
      <x:c r="I74" t="b">
        <x:f>'Raw R'!O68</x:f>
        <x:v>1</x:v>
      </x:c>
      <x:c r="J74" s="100" t="n">
        <x:f>IF(I74,B74,"")</x:f>
        <x:v>0.009928117065160676</x:v>
      </x:c>
      <x:c r="K74" s="100" t="n">
        <x:f>IF(I74,E74,"")</x:f>
        <x:v>0.008375882552534433</x:v>
      </x:c>
      <x:c r="L74" s="100" t="n">
        <x:f>IF(I74,G74,"")</x:f>
        <x:v>0.001552234512626243</x:v>
      </x:c>
      <x:c r="M74" s="100" t="n">
        <x:f>IF(I74,F74^2,"")</x:f>
        <x:v>0.0000024094319821880302</x:v>
      </x:c>
      <x:c r="N74" s="100" t="n">
        <x:f>IF(I74,F74,"")</x:f>
        <x:v>-0.001552234512626243</x:v>
      </x:c>
      <x:c r="P74" t="n">
        <x:f>J74</x:f>
        <x:v>0.009928117065160676</x:v>
      </x:c>
      <x:c r="Q74" t="n">
        <x:f>K74</x:f>
        <x:v>0.008375882552534433</x:v>
      </x:c>
    </x:row>
    <x:row r="75">
      <x:c r="A75" s="99" t="str">
        <x:f>'Raw R'!B69</x:f>
        <x:v>00109</x:v>
      </x:c>
      <x:c r="B75" s="100" t="n">
        <x:f>INDEX('Raw Stations'!$D$2:$D$299,MATCH(A75,'Raw Stations'!$A$2:$A$299,0))</x:f>
        <x:v>0.00789210134272918</x:v>
      </x:c>
      <x:c r="C75" s="100" t="n">
        <x:f>'Raw R'!L69</x:f>
        <x:v>-0.01238251211285397</x:v>
      </x:c>
      <x:c r="D75" s="100" t="n">
        <x:f>$B$2</x:f>
        <x:v>-0.01791329208576473</x:v>
      </x:c>
      <x:c r="E75" s="100" t="n">
        <x:f>C75-D75</x:f>
        <x:v>0.00553077997291076</x:v>
      </x:c>
      <x:c r="F75" s="100" t="n">
        <x:f>E75-B75</x:f>
        <x:v>-0.0023613213698184202</x:v>
      </x:c>
      <x:c r="G75" s="100" t="n">
        <x:f>ABS(F75)</x:f>
        <x:v>0.0023613213698184202</x:v>
      </x:c>
      <x:c r="H75" s="100" t="n">
        <x:f>'Raw R'!N69</x:f>
        <x:v>0.9223103763921919</x:v>
      </x:c>
      <x:c r="I75" t="b">
        <x:f>'Raw R'!O69</x:f>
        <x:v>1</x:v>
      </x:c>
      <x:c r="J75" s="100" t="n">
        <x:f>IF(I75,B75,"")</x:f>
        <x:v>0.00789210134272918</x:v>
      </x:c>
      <x:c r="K75" s="100" t="n">
        <x:f>IF(I75,E75,"")</x:f>
        <x:v>0.00553077997291076</x:v>
      </x:c>
      <x:c r="L75" s="100" t="n">
        <x:f>IF(I75,G75,"")</x:f>
        <x:v>0.0023613213698184202</x:v>
      </x:c>
      <x:c r="M75" s="100" t="n">
        <x:f>IF(I75,F75^2,"")</x:f>
        <x:v>0.00000557583861156114</x:v>
      </x:c>
      <x:c r="N75" s="100" t="n">
        <x:f>IF(I75,F75,"")</x:f>
        <x:v>-0.0023613213698184202</x:v>
      </x:c>
      <x:c r="P75" t="n">
        <x:f>J75</x:f>
        <x:v>0.00789210134272918</x:v>
      </x:c>
      <x:c r="Q75" t="n">
        <x:f>K75</x:f>
        <x:v>0.00553077997291076</x:v>
      </x:c>
    </x:row>
    <x:row r="76">
      <x:c r="A76" s="99" t="str">
        <x:f>'Raw R'!B70</x:f>
        <x:v>00110</x:v>
      </x:c>
      <x:c r="B76" s="100" t="n">
        <x:f>INDEX('Raw Stations'!$D$2:$D$299,MATCH(A76,'Raw Stations'!$A$2:$A$299,0))</x:f>
        <x:v>-0.003302112007536884</x:v>
      </x:c>
      <x:c r="C76" s="100" t="n">
        <x:f>'Raw R'!L70</x:f>
        <x:v>-0.02349420198829605</x:v>
      </x:c>
      <x:c r="D76" s="100" t="n">
        <x:f>$B$2</x:f>
        <x:v>-0.01791329208576473</x:v>
      </x:c>
      <x:c r="E76" s="100" t="n">
        <x:f>C76-D76</x:f>
        <x:v>-0.005580909902531319</x:v>
      </x:c>
      <x:c r="F76" s="100" t="n">
        <x:f>E76-B76</x:f>
        <x:v>-0.002278797894994435</x:v>
      </x:c>
      <x:c r="G76" s="100" t="n">
        <x:f>ABS(F76)</x:f>
        <x:v>0.002278797894994435</x:v>
      </x:c>
      <x:c r="H76" s="100" t="n">
        <x:f>'Raw R'!N70</x:f>
        <x:v>0.9388180660477617</x:v>
      </x:c>
      <x:c r="I76" t="b">
        <x:f>'Raw R'!O70</x:f>
        <x:v>1</x:v>
      </x:c>
      <x:c r="J76" s="100" t="n">
        <x:f>IF(I76,B76,"")</x:f>
        <x:v>-0.003302112007536884</x:v>
      </x:c>
      <x:c r="K76" s="100" t="n">
        <x:f>IF(I76,E76,"")</x:f>
        <x:v>-0.005580909902531319</x:v>
      </x:c>
      <x:c r="L76" s="100" t="n">
        <x:f>IF(I76,G76,"")</x:f>
        <x:v>0.002278797894994435</x:v>
      </x:c>
      <x:c r="M76" s="100" t="n">
        <x:f>IF(I76,F76^2,"")</x:f>
        <x:v>0.000005192919846231067</x:v>
      </x:c>
      <x:c r="N76" s="100" t="n">
        <x:f>IF(I76,F76,"")</x:f>
        <x:v>-0.002278797894994435</x:v>
      </x:c>
      <x:c r="P76" t="n">
        <x:f>J76</x:f>
        <x:v>-0.003302112007536884</x:v>
      </x:c>
      <x:c r="Q76" t="n">
        <x:f>K76</x:f>
        <x:v>-0.005580909902531319</x:v>
      </x:c>
    </x:row>
    <x:row r="77">
      <x:c r="A77" s="99" t="str">
        <x:f>'Raw R'!B71</x:f>
        <x:v>00111</x:v>
      </x:c>
      <x:c r="B77" s="100" t="n">
        <x:f>INDEX('Raw Stations'!$D$2:$D$299,MATCH(A77,'Raw Stations'!$A$2:$A$299,0))</x:f>
        <x:v>-0.001515677461293052</x:v>
      </x:c>
      <x:c r="C77" s="100" t="n">
        <x:f>'Raw R'!L71</x:f>
        <x:v>-0.02076284559877214</x:v>
      </x:c>
      <x:c r="D77" s="100" t="n">
        <x:f>$B$2</x:f>
        <x:v>-0.01791329208576473</x:v>
      </x:c>
      <x:c r="E77" s="100" t="n">
        <x:f>C77-D77</x:f>
        <x:v>-0.002849553513007412</x:v>
      </x:c>
      <x:c r="F77" s="100" t="n">
        <x:f>E77-B77</x:f>
        <x:v>-0.0013338760517143601</x:v>
      </x:c>
      <x:c r="G77" s="100" t="n">
        <x:f>ABS(F77)</x:f>
        <x:v>0.0013338760517143601</x:v>
      </x:c>
      <x:c r="H77" s="100" t="n">
        <x:f>'Raw R'!N71</x:f>
        <x:v>0.9480685806911813</x:v>
      </x:c>
      <x:c r="I77" t="b">
        <x:f>'Raw R'!O71</x:f>
        <x:v>1</x:v>
      </x:c>
      <x:c r="J77" s="100" t="n">
        <x:f>IF(I77,B77,"")</x:f>
        <x:v>-0.001515677461293052</x:v>
      </x:c>
      <x:c r="K77" s="100" t="n">
        <x:f>IF(I77,E77,"")</x:f>
        <x:v>-0.002849553513007412</x:v>
      </x:c>
      <x:c r="L77" s="100" t="n">
        <x:f>IF(I77,G77,"")</x:f>
        <x:v>0.0013338760517143601</x:v>
      </x:c>
      <x:c r="M77" s="100" t="n">
        <x:f>IF(I77,F77^2,"")</x:f>
        <x:v>0.0000017792253213370904</x:v>
      </x:c>
      <x:c r="N77" s="100" t="n">
        <x:f>IF(I77,F77,"")</x:f>
        <x:v>-0.0013338760517143601</x:v>
      </x:c>
      <x:c r="P77" t="n">
        <x:f>J77</x:f>
        <x:v>-0.001515677461293052</x:v>
      </x:c>
      <x:c r="Q77" t="n">
        <x:f>K77</x:f>
        <x:v>-0.002849553513007412</x:v>
      </x:c>
    </x:row>
    <x:row r="78">
      <x:c r="A78" s="99" t="str">
        <x:f>'Raw R'!B72</x:f>
        <x:v>00112</x:v>
      </x:c>
      <x:c r="B78" s="100" t="n">
        <x:f>INDEX('Raw Stations'!$D$2:$D$299,MATCH(A78,'Raw Stations'!$A$2:$A$299,0))</x:f>
        <x:v>-0.005290663059683133</x:v>
      </x:c>
      <x:c r="C78" s="100" t="n">
        <x:f>'Raw R'!L72</x:f>
        <x:v>-0.02479497123454064</x:v>
      </x:c>
      <x:c r="D78" s="100" t="n">
        <x:f>$B$2</x:f>
        <x:v>-0.01791329208576473</x:v>
      </x:c>
      <x:c r="E78" s="100" t="n">
        <x:f>C78-D78</x:f>
        <x:v>-0.00688167914877591</x:v>
      </x:c>
      <x:c r="F78" s="100" t="n">
        <x:f>E78-B78</x:f>
        <x:v>-0.0015910160890927772</x:v>
      </x:c>
      <x:c r="G78" s="100" t="n">
        <x:f>ABS(F78)</x:f>
        <x:v>0.0015910160890927772</x:v>
      </x:c>
      <x:c r="H78" s="100" t="n">
        <x:f>'Raw R'!N72</x:f>
        <x:v>0.9194136307917873</x:v>
      </x:c>
      <x:c r="I78" t="b">
        <x:f>'Raw R'!O72</x:f>
        <x:v>1</x:v>
      </x:c>
      <x:c r="J78" s="100" t="n">
        <x:f>IF(I78,B78,"")</x:f>
        <x:v>-0.005290663059683133</x:v>
      </x:c>
      <x:c r="K78" s="100" t="n">
        <x:f>IF(I78,E78,"")</x:f>
        <x:v>-0.00688167914877591</x:v>
      </x:c>
      <x:c r="L78" s="100" t="n">
        <x:f>IF(I78,G78,"")</x:f>
        <x:v>0.0015910160890927772</x:v>
      </x:c>
      <x:c r="M78" s="100" t="n">
        <x:f>IF(I78,F78^2,"")</x:f>
        <x:v>0.000002531332195752076</x:v>
      </x:c>
      <x:c r="N78" s="100" t="n">
        <x:f>IF(I78,F78,"")</x:f>
        <x:v>-0.0015910160890927772</x:v>
      </x:c>
      <x:c r="P78" t="n">
        <x:f>J78</x:f>
        <x:v>-0.005290663059683133</x:v>
      </x:c>
      <x:c r="Q78" t="n">
        <x:f>K78</x:f>
        <x:v>-0.00688167914877591</x:v>
      </x:c>
    </x:row>
    <x:row r="79">
      <x:c r="A79" s="99" t="str">
        <x:f>'Raw R'!B73</x:f>
        <x:v>00113</x:v>
      </x:c>
      <x:c r="B79" s="100" t="n">
        <x:f>INDEX('Raw Stations'!$D$2:$D$299,MATCH(A79,'Raw Stations'!$A$2:$A$299,0))</x:f>
        <x:v>-0.009539030286302791</x:v>
      </x:c>
      <x:c r="C79" s="100" t="n">
        <x:f>'Raw R'!L73</x:f>
        <x:v>-0.03018150411739992</x:v>
      </x:c>
      <x:c r="D79" s="100" t="n">
        <x:f>$B$2</x:f>
        <x:v>-0.01791329208576473</x:v>
      </x:c>
      <x:c r="E79" s="100" t="n">
        <x:f>C79-D79</x:f>
        <x:v>-0.012268212031635192</x:v>
      </x:c>
      <x:c r="F79" s="100" t="n">
        <x:f>E79-B79</x:f>
        <x:v>-0.0027291817453324006</x:v>
      </x:c>
      <x:c r="G79" s="100" t="n">
        <x:f>ABS(F79)</x:f>
        <x:v>0.0027291817453324006</x:v>
      </x:c>
      <x:c r="H79" s="100" t="n">
        <x:f>'Raw R'!N73</x:f>
        <x:v>0.9582723891100581</x:v>
      </x:c>
      <x:c r="I79" t="b">
        <x:f>'Raw R'!O73</x:f>
        <x:v>1</x:v>
      </x:c>
      <x:c r="J79" s="100" t="n">
        <x:f>IF(I79,B79,"")</x:f>
        <x:v>-0.009539030286302791</x:v>
      </x:c>
      <x:c r="K79" s="100" t="n">
        <x:f>IF(I79,E79,"")</x:f>
        <x:v>-0.012268212031635192</x:v>
      </x:c>
      <x:c r="L79" s="100" t="n">
        <x:f>IF(I79,G79,"")</x:f>
        <x:v>0.0027291817453324006</x:v>
      </x:c>
      <x:c r="M79" s="100" t="n">
        <x:f>IF(I79,F79^2,"")</x:f>
        <x:v>0.000007448432999055608</x:v>
      </x:c>
      <x:c r="N79" s="100" t="n">
        <x:f>IF(I79,F79,"")</x:f>
        <x:v>-0.0027291817453324006</x:v>
      </x:c>
      <x:c r="P79" t="n">
        <x:f>J79</x:f>
        <x:v>-0.009539030286302791</x:v>
      </x:c>
      <x:c r="Q79" t="n">
        <x:f>K79</x:f>
        <x:v>-0.012268212031635192</x:v>
      </x:c>
    </x:row>
    <x:row r="80">
      <x:c r="A80" s="99" t="str">
        <x:f>'Raw R'!B74</x:f>
        <x:v>00114</x:v>
      </x:c>
      <x:c r="B80" s="100" t="n">
        <x:f>INDEX('Raw Stations'!$D$2:$D$299,MATCH(A80,'Raw Stations'!$A$2:$A$299,0))</x:f>
        <x:v>-0.002736037088127169</x:v>
      </x:c>
      <x:c r="C80" s="100" t="n">
        <x:f>'Raw R'!L74</x:f>
        <x:v>-0.02148743356677885</x:v>
      </x:c>
      <x:c r="D80" s="100" t="n">
        <x:f>$B$2</x:f>
        <x:v>-0.01791329208576473</x:v>
      </x:c>
      <x:c r="E80" s="100" t="n">
        <x:f>C80-D80</x:f>
        <x:v>-0.0035741414810141203</x:v>
      </x:c>
      <x:c r="F80" s="100" t="n">
        <x:f>E80-B80</x:f>
        <x:v>-0.0008381043928869514</x:v>
      </x:c>
      <x:c r="G80" s="100" t="n">
        <x:f>ABS(F80)</x:f>
        <x:v>0.0008381043928869514</x:v>
      </x:c>
      <x:c r="H80" s="100" t="n">
        <x:f>'Raw R'!N74</x:f>
        <x:v>0.9850760451984797</x:v>
      </x:c>
      <x:c r="I80" t="b">
        <x:f>'Raw R'!O74</x:f>
        <x:v>1</x:v>
      </x:c>
      <x:c r="J80" s="100" t="n">
        <x:f>IF(I80,B80,"")</x:f>
        <x:v>-0.002736037088127169</x:v>
      </x:c>
      <x:c r="K80" s="100" t="n">
        <x:f>IF(I80,E80,"")</x:f>
        <x:v>-0.0035741414810141203</x:v>
      </x:c>
      <x:c r="L80" s="100" t="n">
        <x:f>IF(I80,G80,"")</x:f>
        <x:v>0.0008381043928869514</x:v>
      </x:c>
      <x:c r="M80" s="100" t="n">
        <x:f>IF(I80,F80^2,"")</x:f>
        <x:v>7.024189733764054e-7</x:v>
      </x:c>
      <x:c r="N80" s="100" t="n">
        <x:f>IF(I80,F80,"")</x:f>
        <x:v>-0.0008381043928869514</x:v>
      </x:c>
      <x:c r="P80" t="n">
        <x:f>J80</x:f>
        <x:v>-0.002736037088127169</x:v>
      </x:c>
      <x:c r="Q80" t="n">
        <x:f>K80</x:f>
        <x:v>-0.0035741414810141203</x:v>
      </x:c>
    </x:row>
    <x:row r="81">
      <x:c r="A81" s="99" t="str">
        <x:f>'Raw R'!B75</x:f>
        <x:v>00115</x:v>
      </x:c>
      <x:c r="B81" s="100" t="n">
        <x:f>INDEX('Raw Stations'!$D$2:$D$299,MATCH(A81,'Raw Stations'!$A$2:$A$299,0))</x:f>
        <x:v>-0.002094424782700586</x:v>
      </x:c>
      <x:c r="C81" s="100" t="n">
        <x:f>'Raw R'!L75</x:f>
        <x:v>-0.02160941962260921</x:v>
      </x:c>
      <x:c r="D81" s="100" t="n">
        <x:f>$B$2</x:f>
        <x:v>-0.01791329208576473</x:v>
      </x:c>
      <x:c r="E81" s="100" t="n">
        <x:f>C81-D81</x:f>
        <x:v>-0.003696127536844479</x:v>
      </x:c>
      <x:c r="F81" s="100" t="n">
        <x:f>E81-B81</x:f>
        <x:v>-0.0016017027541438932</x:v>
      </x:c>
      <x:c r="G81" s="100" t="n">
        <x:f>ABS(F81)</x:f>
        <x:v>0.0016017027541438932</x:v>
      </x:c>
      <x:c r="H81" s="100" t="n">
        <x:f>'Raw R'!N75</x:f>
        <x:v>0.9926024468435015</x:v>
      </x:c>
      <x:c r="I81" t="b">
        <x:f>'Raw R'!O75</x:f>
        <x:v>1</x:v>
      </x:c>
      <x:c r="J81" s="100" t="n">
        <x:f>IF(I81,B81,"")</x:f>
        <x:v>-0.002094424782700586</x:v>
      </x:c>
      <x:c r="K81" s="100" t="n">
        <x:f>IF(I81,E81,"")</x:f>
        <x:v>-0.003696127536844479</x:v>
      </x:c>
      <x:c r="L81" s="100" t="n">
        <x:f>IF(I81,G81,"")</x:f>
        <x:v>0.0016017027541438932</x:v>
      </x:c>
      <x:c r="M81" s="100" t="n">
        <x:f>IF(I81,F81^2,"")</x:f>
        <x:v>0.0000025654517126321326</x:v>
      </x:c>
      <x:c r="N81" s="100" t="n">
        <x:f>IF(I81,F81,"")</x:f>
        <x:v>-0.0016017027541438932</x:v>
      </x:c>
      <x:c r="P81" t="n">
        <x:f>J81</x:f>
        <x:v>-0.002094424782700586</x:v>
      </x:c>
      <x:c r="Q81" t="n">
        <x:f>K81</x:f>
        <x:v>-0.003696127536844479</x:v>
      </x:c>
    </x:row>
    <x:row r="82">
      <x:c r="A82" s="99" t="str">
        <x:f>'Raw R'!B76</x:f>
        <x:v>00116</x:v>
      </x:c>
      <x:c r="B82" s="100" t="n">
        <x:f>INDEX('Raw Stations'!$D$2:$D$299,MATCH(A82,'Raw Stations'!$A$2:$A$299,0))</x:f>
        <x:v>0.00008376431429451409</x:v>
      </x:c>
      <x:c r="C82" s="100" t="n">
        <x:f>'Raw R'!L76</x:f>
        <x:v>-0.01706599923720011</x:v>
      </x:c>
      <x:c r="D82" s="100" t="n">
        <x:f>$B$2</x:f>
        <x:v>-0.01791329208576473</x:v>
      </x:c>
      <x:c r="E82" s="100" t="n">
        <x:f>C82-D82</x:f>
        <x:v>0.0008472928485646208</x:v>
      </x:c>
      <x:c r="F82" s="100" t="n">
        <x:f>E82-B82</x:f>
        <x:v>0.0007635285342701068</x:v>
      </x:c>
      <x:c r="G82" s="100" t="n">
        <x:f>ABS(F82)</x:f>
        <x:v>0.0007635285342701068</x:v>
      </x:c>
      <x:c r="H82" s="100" t="n">
        <x:f>'Raw R'!N76</x:f>
        <x:v>0.9908458549851371</x:v>
      </x:c>
      <x:c r="I82" t="b">
        <x:f>'Raw R'!O76</x:f>
        <x:v>1</x:v>
      </x:c>
      <x:c r="J82" s="100" t="n">
        <x:f>IF(I82,B82,"")</x:f>
        <x:v>0.00008376431429451409</x:v>
      </x:c>
      <x:c r="K82" s="100" t="n">
        <x:f>IF(I82,E82,"")</x:f>
        <x:v>0.0008472928485646208</x:v>
      </x:c>
      <x:c r="L82" s="100" t="n">
        <x:f>IF(I82,G82,"")</x:f>
        <x:v>0.0007635285342701068</x:v>
      </x:c>
      <x:c r="M82" s="100" t="n">
        <x:f>IF(I82,F82^2,"")</x:f>
        <x:v>5.829758226446575e-7</x:v>
      </x:c>
      <x:c r="N82" s="100" t="n">
        <x:f>IF(I82,F82,"")</x:f>
        <x:v>0.0007635285342701068</x:v>
      </x:c>
      <x:c r="P82" t="n">
        <x:f>J82</x:f>
        <x:v>0.00008376431429451409</x:v>
      </x:c>
      <x:c r="Q82" t="n">
        <x:f>K82</x:f>
        <x:v>0.0008472928485646208</x:v>
      </x:c>
    </x:row>
    <x:row r="83">
      <x:c r="A83" s="99" t="str">
        <x:f>'Raw R'!B77</x:f>
        <x:v>00117</x:v>
      </x:c>
      <x:c r="B83" s="100" t="n">
        <x:f>INDEX('Raw Stations'!$D$2:$D$299,MATCH(A83,'Raw Stations'!$A$2:$A$299,0))</x:f>
        <x:v>0.007654400323961891</x:v>
      </x:c>
      <x:c r="C83" s="100" t="n">
        <x:f>'Raw R'!L77</x:f>
        <x:v>-0.007733563121496007</x:v>
      </x:c>
      <x:c r="D83" s="100" t="n">
        <x:f>$B$2</x:f>
        <x:v>-0.01791329208576473</x:v>
      </x:c>
      <x:c r="E83" s="100" t="n">
        <x:f>C83-D83</x:f>
        <x:v>0.010179728964268723</x:v>
      </x:c>
      <x:c r="F83" s="100" t="n">
        <x:f>E83-B83</x:f>
        <x:v>0.002525328640306832</x:v>
      </x:c>
      <x:c r="G83" s="100" t="n">
        <x:f>ABS(F83)</x:f>
        <x:v>0.002525328640306832</x:v>
      </x:c>
      <x:c r="H83" s="100" t="n">
        <x:f>'Raw R'!N77</x:f>
        <x:v>0.9965460034325162</x:v>
      </x:c>
      <x:c r="I83" t="b">
        <x:f>'Raw R'!O77</x:f>
        <x:v>1</x:v>
      </x:c>
      <x:c r="J83" s="100" t="n">
        <x:f>IF(I83,B83,"")</x:f>
        <x:v>0.007654400323961891</x:v>
      </x:c>
      <x:c r="K83" s="100" t="n">
        <x:f>IF(I83,E83,"")</x:f>
        <x:v>0.010179728964268723</x:v>
      </x:c>
      <x:c r="L83" s="100" t="n">
        <x:f>IF(I83,G83,"")</x:f>
        <x:v>0.002525328640306832</x:v>
      </x:c>
      <x:c r="M83" s="100" t="n">
        <x:f>IF(I83,F83^2,"")</x:f>
        <x:v>0.000006377284741553954</x:v>
      </x:c>
      <x:c r="N83" s="100" t="n">
        <x:f>IF(I83,F83,"")</x:f>
        <x:v>0.002525328640306832</x:v>
      </x:c>
      <x:c r="P83" t="n">
        <x:f>J83</x:f>
        <x:v>0.007654400323961891</x:v>
      </x:c>
      <x:c r="Q83" t="n">
        <x:f>K83</x:f>
        <x:v>0.010179728964268723</x:v>
      </x:c>
    </x:row>
    <x:row r="84">
      <x:c r="A84" s="99" t="str">
        <x:f>'Raw R'!B78</x:f>
        <x:v>00118</x:v>
      </x:c>
      <x:c r="B84" s="100" t="n">
        <x:f>INDEX('Raw Stations'!$D$2:$D$299,MATCH(A84,'Raw Stations'!$A$2:$A$299,0))</x:f>
        <x:v>0.01005063021135003</x:v>
      </x:c>
      <x:c r="C84" s="100" t="n">
        <x:f>'Raw R'!L78</x:f>
        <x:v>-0.006591843619747115</x:v>
      </x:c>
      <x:c r="D84" s="100" t="n">
        <x:f>$B$2</x:f>
        <x:v>-0.01791329208576473</x:v>
      </x:c>
      <x:c r="E84" s="100" t="n">
        <x:f>C84-D84</x:f>
        <x:v>0.011321448466017615</x:v>
      </x:c>
      <x:c r="F84" s="100" t="n">
        <x:f>E84-B84</x:f>
        <x:v>0.0012708182546675838</x:v>
      </x:c>
      <x:c r="G84" s="100" t="n">
        <x:f>ABS(F84)</x:f>
        <x:v>0.0012708182546675838</x:v>
      </x:c>
      <x:c r="H84" s="100" t="n">
        <x:f>'Raw R'!N78</x:f>
        <x:v>0.9845367969711277</x:v>
      </x:c>
      <x:c r="I84" t="b">
        <x:f>'Raw R'!O78</x:f>
        <x:v>1</x:v>
      </x:c>
      <x:c r="J84" s="100" t="n">
        <x:f>IF(I84,B84,"")</x:f>
        <x:v>0.01005063021135003</x:v>
      </x:c>
      <x:c r="K84" s="100" t="n">
        <x:f>IF(I84,E84,"")</x:f>
        <x:v>0.011321448466017615</x:v>
      </x:c>
      <x:c r="L84" s="100" t="n">
        <x:f>IF(I84,G84,"")</x:f>
        <x:v>0.0012708182546675838</x:v>
      </x:c>
      <x:c r="M84" s="100" t="n">
        <x:f>IF(I84,F84^2,"")</x:f>
        <x:v>0.000001614979036396364</x:v>
      </x:c>
      <x:c r="N84" s="100" t="n">
        <x:f>IF(I84,F84,"")</x:f>
        <x:v>0.0012708182546675838</x:v>
      </x:c>
      <x:c r="P84" t="n">
        <x:f>J84</x:f>
        <x:v>0.01005063021135003</x:v>
      </x:c>
      <x:c r="Q84" t="n">
        <x:f>K84</x:f>
        <x:v>0.011321448466017615</x:v>
      </x:c>
    </x:row>
    <x:row r="85">
      <x:c r="A85" s="99" t="str">
        <x:f>'Raw R'!B79</x:f>
        <x:v>00119</x:v>
      </x:c>
      <x:c r="B85" s="100" t="n">
        <x:f>INDEX('Raw Stations'!$D$2:$D$299,MATCH(A85,'Raw Stations'!$A$2:$A$299,0))</x:f>
        <x:v>0.00549873025298241</x:v>
      </x:c>
      <x:c r="C85" s="100" t="n">
        <x:f>'Raw R'!L79</x:f>
        <x:v>-0.01216798178727389</x:v>
      </x:c>
      <x:c r="D85" s="100" t="n">
        <x:f>$B$2</x:f>
        <x:v>-0.01791329208576473</x:v>
      </x:c>
      <x:c r="E85" s="100" t="n">
        <x:f>C85-D85</x:f>
        <x:v>0.00574531029849084</x:v>
      </x:c>
      <x:c r="F85" s="100" t="n">
        <x:f>E85-B85</x:f>
        <x:v>0.0002465800455084301</x:v>
      </x:c>
      <x:c r="G85" s="100" t="n">
        <x:f>ABS(F85)</x:f>
        <x:v>0.0002465800455084301</x:v>
      </x:c>
      <x:c r="H85" s="100" t="n">
        <x:f>'Raw R'!N79</x:f>
        <x:v>0.9907882069383056</x:v>
      </x:c>
      <x:c r="I85" t="b">
        <x:f>'Raw R'!O79</x:f>
        <x:v>1</x:v>
      </x:c>
      <x:c r="J85" s="100" t="n">
        <x:f>IF(I85,B85,"")</x:f>
        <x:v>0.00549873025298241</x:v>
      </x:c>
      <x:c r="K85" s="100" t="n">
        <x:f>IF(I85,E85,"")</x:f>
        <x:v>0.00574531029849084</x:v>
      </x:c>
      <x:c r="L85" s="100" t="n">
        <x:f>IF(I85,G85,"")</x:f>
        <x:v>0.0002465800455084301</x:v>
      </x:c>
      <x:c r="M85" s="100" t="n">
        <x:f>IF(I85,F85^2,"")</x:f>
        <x:v>6.080171884293945e-8</x:v>
      </x:c>
      <x:c r="N85" s="100" t="n">
        <x:f>IF(I85,F85,"")</x:f>
        <x:v>0.0002465800455084301</x:v>
      </x:c>
      <x:c r="P85" t="n">
        <x:f>J85</x:f>
        <x:v>0.00549873025298241</x:v>
      </x:c>
      <x:c r="Q85" t="n">
        <x:f>K85</x:f>
        <x:v>0.00574531029849084</x:v>
      </x:c>
    </x:row>
    <x:row r="86">
      <x:c r="A86" s="99" t="str">
        <x:f>'Raw R'!B80</x:f>
        <x:v>00120</x:v>
      </x:c>
      <x:c r="B86" s="100" t="n">
        <x:f>INDEX('Raw Stations'!$D$2:$D$299,MATCH(A86,'Raw Stations'!$A$2:$A$299,0))</x:f>
        <x:v>0.009665517223232622</x:v>
      </x:c>
      <x:c r="C86" s="100" t="n">
        <x:f>'Raw R'!L80</x:f>
        <x:v>-0.009853128646577433</x:v>
      </x:c>
      <x:c r="D86" s="100" t="n">
        <x:f>$B$2</x:f>
        <x:v>-0.01791329208576473</x:v>
      </x:c>
      <x:c r="E86" s="100" t="n">
        <x:f>C86-D86</x:f>
        <x:v>0.008060163439187296</x:v>
      </x:c>
      <x:c r="F86" s="100" t="n">
        <x:f>E86-B86</x:f>
        <x:v>-0.0016053537840453255</x:v>
      </x:c>
      <x:c r="G86" s="100" t="n">
        <x:f>ABS(F86)</x:f>
        <x:v>0.0016053537840453255</x:v>
      </x:c>
      <x:c r="H86" s="100" t="n">
        <x:f>'Raw R'!N80</x:f>
        <x:v>0.9860912144671513</x:v>
      </x:c>
      <x:c r="I86" t="b">
        <x:f>'Raw R'!O80</x:f>
        <x:v>1</x:v>
      </x:c>
      <x:c r="J86" s="100" t="n">
        <x:f>IF(I86,B86,"")</x:f>
        <x:v>0.009665517223232622</x:v>
      </x:c>
      <x:c r="K86" s="100" t="n">
        <x:f>IF(I86,E86,"")</x:f>
        <x:v>0.008060163439187296</x:v>
      </x:c>
      <x:c r="L86" s="100" t="n">
        <x:f>IF(I86,G86,"")</x:f>
        <x:v>0.0016053537840453255</x:v>
      </x:c>
      <x:c r="M86" s="100" t="n">
        <x:f>IF(I86,F86^2,"")</x:f>
        <x:v>0.0000025771607719486457</x:v>
      </x:c>
      <x:c r="N86" s="100" t="n">
        <x:f>IF(I86,F86,"")</x:f>
        <x:v>-0.0016053537840453255</x:v>
      </x:c>
      <x:c r="P86" t="n">
        <x:f>J86</x:f>
        <x:v>0.009665517223232622</x:v>
      </x:c>
      <x:c r="Q86" t="n">
        <x:f>K86</x:f>
        <x:v>0.008060163439187296</x:v>
      </x:c>
    </x:row>
    <x:row r="87">
      <x:c r="A87" s="99" t="str">
        <x:f>'Raw R'!B81</x:f>
        <x:v>00121</x:v>
      </x:c>
      <x:c r="B87" s="100" t="n">
        <x:f>INDEX('Raw Stations'!$D$2:$D$299,MATCH(A87,'Raw Stations'!$A$2:$A$299,0))</x:f>
        <x:v>0.0245258249930322</x:v>
      </x:c>
      <x:c r="C87" s="100" t="n">
        <x:f>'Raw R'!L81</x:f>
        <x:v>0.006196464440026569</x:v>
      </x:c>
      <x:c r="D87" s="100" t="n">
        <x:f>$B$2</x:f>
        <x:v>-0.01791329208576473</x:v>
      </x:c>
      <x:c r="E87" s="100" t="n">
        <x:f>C87-D87</x:f>
        <x:v>0.0241097565257913</x:v>
      </x:c>
      <x:c r="F87" s="100" t="n">
        <x:f>E87-B87</x:f>
        <x:v>-0.0004160684672409008</x:v>
      </x:c>
      <x:c r="G87" s="100" t="n">
        <x:f>ABS(F87)</x:f>
        <x:v>0.0004160684672409008</x:v>
      </x:c>
      <x:c r="H87" s="100" t="n">
        <x:f>'Raw R'!N81</x:f>
        <x:v>0.960590574142287</x:v>
      </x:c>
      <x:c r="I87" t="b">
        <x:f>'Raw R'!O81</x:f>
        <x:v>1</x:v>
      </x:c>
      <x:c r="J87" s="100" t="n">
        <x:f>IF(I87,B87,"")</x:f>
        <x:v>0.0245258249930322</x:v>
      </x:c>
      <x:c r="K87" s="100" t="n">
        <x:f>IF(I87,E87,"")</x:f>
        <x:v>0.0241097565257913</x:v>
      </x:c>
      <x:c r="L87" s="100" t="n">
        <x:f>IF(I87,G87,"")</x:f>
        <x:v>0.0004160684672409008</x:v>
      </x:c>
      <x:c r="M87" s="100" t="n">
        <x:f>IF(I87,F87^2,"")</x:f>
        <x:v>1.7311296943219257e-7</x:v>
      </x:c>
      <x:c r="N87" s="100" t="n">
        <x:f>IF(I87,F87,"")</x:f>
        <x:v>-0.0004160684672409008</x:v>
      </x:c>
      <x:c r="P87" t="n">
        <x:f>J87</x:f>
        <x:v>0.0245258249930322</x:v>
      </x:c>
      <x:c r="Q87" t="n">
        <x:f>K87</x:f>
        <x:v>0.0241097565257913</x:v>
      </x:c>
    </x:row>
    <x:row r="88">
      <x:c r="A88" s="99" t="str">
        <x:f>'Raw R'!B82</x:f>
        <x:v>00122</x:v>
      </x:c>
      <x:c r="B88" s="100" t="n">
        <x:f>INDEX('Raw Stations'!$D$2:$D$299,MATCH(A88,'Raw Stations'!$A$2:$A$299,0))</x:f>
        <x:v>0.02265165976256095</x:v>
      </x:c>
      <x:c r="C88" s="100" t="n">
        <x:f>'Raw R'!L82</x:f>
        <x:v>0.004141311237023472</x:v>
      </x:c>
      <x:c r="D88" s="100" t="n">
        <x:f>$B$2</x:f>
        <x:v>-0.01791329208576473</x:v>
      </x:c>
      <x:c r="E88" s="100" t="n">
        <x:f>C88-D88</x:f>
        <x:v>0.0220546033227882</x:v>
      </x:c>
      <x:c r="F88" s="100" t="n">
        <x:f>E88-B88</x:f>
        <x:v>-0.0005970564397727481</x:v>
      </x:c>
      <x:c r="G88" s="100" t="n">
        <x:f>ABS(F88)</x:f>
        <x:v>0.0005970564397727481</x:v>
      </x:c>
      <x:c r="H88" s="100" t="n">
        <x:f>'Raw R'!N82</x:f>
        <x:v>0.9581991529637358</x:v>
      </x:c>
      <x:c r="I88" t="b">
        <x:f>'Raw R'!O82</x:f>
        <x:v>1</x:v>
      </x:c>
      <x:c r="J88" s="100" t="n">
        <x:f>IF(I88,B88,"")</x:f>
        <x:v>0.02265165976256095</x:v>
      </x:c>
      <x:c r="K88" s="100" t="n">
        <x:f>IF(I88,E88,"")</x:f>
        <x:v>0.0220546033227882</x:v>
      </x:c>
      <x:c r="L88" s="100" t="n">
        <x:f>IF(I88,G88,"")</x:f>
        <x:v>0.0005970564397727481</x:v>
      </x:c>
      <x:c r="M88" s="100" t="n">
        <x:f>IF(I88,F88^2,"")</x:f>
        <x:v>3.5647639227410914e-7</x:v>
      </x:c>
      <x:c r="N88" s="100" t="n">
        <x:f>IF(I88,F88,"")</x:f>
        <x:v>-0.0005970564397727481</x:v>
      </x:c>
      <x:c r="P88" t="n">
        <x:f>J88</x:f>
        <x:v>0.02265165976256095</x:v>
      </x:c>
      <x:c r="Q88" t="n">
        <x:f>K88</x:f>
        <x:v>0.0220546033227882</x:v>
      </x:c>
    </x:row>
    <x:row r="89">
      <x:c r="A89" s="99" t="str">
        <x:f>'Raw R'!B83</x:f>
        <x:v>00123</x:v>
      </x:c>
      <x:c r="B89" s="100" t="n">
        <x:f>INDEX('Raw Stations'!$D$2:$D$299,MATCH(A89,'Raw Stations'!$A$2:$A$299,0))</x:f>
        <x:v>0.01763085976760898</x:v>
      </x:c>
      <x:c r="C89" s="100" t="n">
        <x:f>'Raw R'!L83</x:f>
        <x:v>0.004458500685248026</x:v>
      </x:c>
      <x:c r="D89" s="100" t="n">
        <x:f>$B$2</x:f>
        <x:v>-0.01791329208576473</x:v>
      </x:c>
      <x:c r="E89" s="100" t="n">
        <x:f>C89-D89</x:f>
        <x:v>0.022371792771012755</x:v>
      </x:c>
      <x:c r="F89" s="100" t="n">
        <x:f>E89-B89</x:f>
        <x:v>0.0047409330034037765</x:v>
      </x:c>
      <x:c r="G89" s="100" t="n">
        <x:f>ABS(F89)</x:f>
        <x:v>0.0047409330034037765</x:v>
      </x:c>
      <x:c r="H89" s="100" t="n">
        <x:f>'Raw R'!N83</x:f>
        <x:v>0.9731260542678154</x:v>
      </x:c>
      <x:c r="I89" t="b">
        <x:f>'Raw R'!O83</x:f>
        <x:v>1</x:v>
      </x:c>
      <x:c r="J89" s="100" t="n">
        <x:f>IF(I89,B89,"")</x:f>
        <x:v>0.01763085976760898</x:v>
      </x:c>
      <x:c r="K89" s="100" t="n">
        <x:f>IF(I89,E89,"")</x:f>
        <x:v>0.022371792771012755</x:v>
      </x:c>
      <x:c r="L89" s="100" t="n">
        <x:f>IF(I89,G89,"")</x:f>
        <x:v>0.0047409330034037765</x:v>
      </x:c>
      <x:c r="M89" s="100" t="n">
        <x:f>IF(I89,F89^2,"")</x:f>
        <x:v>0.000022476445742763154</x:v>
      </x:c>
      <x:c r="N89" s="100" t="n">
        <x:f>IF(I89,F89,"")</x:f>
        <x:v>0.0047409330034037765</x:v>
      </x:c>
      <x:c r="P89" t="n">
        <x:f>J89</x:f>
        <x:v>0.01763085976760898</x:v>
      </x:c>
      <x:c r="Q89" t="n">
        <x:f>K89</x:f>
        <x:v>0.022371792771012755</x:v>
      </x:c>
    </x:row>
    <x:row r="90">
      <x:c r="A90" s="99" t="str">
        <x:f>'Raw R'!B84</x:f>
        <x:v>00124</x:v>
      </x:c>
      <x:c r="B90" s="100" t="n">
        <x:f>INDEX('Raw Stations'!$D$2:$D$299,MATCH(A90,'Raw Stations'!$A$2:$A$299,0))</x:f>
        <x:v>0.008342815360708862</x:v>
      </x:c>
      <x:c r="C90" s="100" t="n">
        <x:f>'Raw R'!L84</x:f>
        <x:v>-0.01348072054833956</x:v>
      </x:c>
      <x:c r="D90" s="100" t="n">
        <x:f>$B$2</x:f>
        <x:v>-0.01791329208576473</x:v>
      </x:c>
      <x:c r="E90" s="100" t="n">
        <x:f>C90-D90</x:f>
        <x:v>0.00443257153742517</x:v>
      </x:c>
      <x:c r="F90" s="100" t="n">
        <x:f>E90-B90</x:f>
        <x:v>-0.003910243823283692</x:v>
      </x:c>
      <x:c r="G90" s="100" t="n">
        <x:f>ABS(F90)</x:f>
        <x:v>0.003910243823283692</x:v>
      </x:c>
      <x:c r="H90" s="100" t="n">
        <x:f>'Raw R'!N84</x:f>
        <x:v>0.9915407017763322</x:v>
      </x:c>
      <x:c r="I90" t="b">
        <x:f>'Raw R'!O84</x:f>
        <x:v>1</x:v>
      </x:c>
      <x:c r="J90" s="100" t="n">
        <x:f>IF(I90,B90,"")</x:f>
        <x:v>0.008342815360708862</x:v>
      </x:c>
      <x:c r="K90" s="100" t="n">
        <x:f>IF(I90,E90,"")</x:f>
        <x:v>0.00443257153742517</x:v>
      </x:c>
      <x:c r="L90" s="100" t="n">
        <x:f>IF(I90,G90,"")</x:f>
        <x:v>0.003910243823283692</x:v>
      </x:c>
      <x:c r="M90" s="100" t="n">
        <x:f>IF(I90,F90^2,"")</x:f>
        <x:v>0.000015290006757528264</x:v>
      </x:c>
      <x:c r="N90" s="100" t="n">
        <x:f>IF(I90,F90,"")</x:f>
        <x:v>-0.003910243823283692</x:v>
      </x:c>
      <x:c r="P90" t="n">
        <x:f>J90</x:f>
        <x:v>0.008342815360708862</x:v>
      </x:c>
      <x:c r="Q90" t="n">
        <x:f>K90</x:f>
        <x:v>0.00443257153742517</x:v>
      </x:c>
    </x:row>
    <x:row r="91">
      <x:c r="A91" s="99" t="str">
        <x:f>'Raw R'!B85</x:f>
        <x:v>00125</x:v>
      </x:c>
      <x:c r="B91" s="100" t="n">
        <x:f>INDEX('Raw Stations'!$D$2:$D$299,MATCH(A91,'Raw Stations'!$A$2:$A$299,0))</x:f>
        <x:v>0.003545034627183582</x:v>
      </x:c>
      <x:c r="C91" s="100" t="n">
        <x:f>'Raw R'!L85</x:f>
        <x:v>-0.01574903533870395</x:v>
      </x:c>
      <x:c r="D91" s="100" t="n">
        <x:f>$B$2</x:f>
        <x:v>-0.01791329208576473</x:v>
      </x:c>
      <x:c r="E91" s="100" t="n">
        <x:f>C91-D91</x:f>
        <x:v>0.002164256747060781</x:v>
      </x:c>
      <x:c r="F91" s="100" t="n">
        <x:f>E91-B91</x:f>
        <x:v>-0.0013807778801228007</x:v>
      </x:c>
      <x:c r="G91" s="100" t="n">
        <x:f>ABS(F91)</x:f>
        <x:v>0.0013807778801228007</x:v>
      </x:c>
      <x:c r="H91" s="100" t="n">
        <x:f>'Raw R'!N85</x:f>
        <x:v>0.9608641287635497</x:v>
      </x:c>
      <x:c r="I91" t="b">
        <x:f>'Raw R'!O85</x:f>
        <x:v>1</x:v>
      </x:c>
      <x:c r="J91" s="100" t="n">
        <x:f>IF(I91,B91,"")</x:f>
        <x:v>0.003545034627183582</x:v>
      </x:c>
      <x:c r="K91" s="100" t="n">
        <x:f>IF(I91,E91,"")</x:f>
        <x:v>0.002164256747060781</x:v>
      </x:c>
      <x:c r="L91" s="100" t="n">
        <x:f>IF(I91,G91,"")</x:f>
        <x:v>0.0013807778801228007</x:v>
      </x:c>
      <x:c r="M91" s="100" t="n">
        <x:f>IF(I91,F91^2,"")</x:f>
        <x:v>0.0000019065475542364154</x:v>
      </x:c>
      <x:c r="N91" s="100" t="n">
        <x:f>IF(I91,F91,"")</x:f>
        <x:v>-0.0013807778801228007</x:v>
      </x:c>
      <x:c r="P91" t="n">
        <x:f>J91</x:f>
        <x:v>0.003545034627183582</x:v>
      </x:c>
      <x:c r="Q91" t="n">
        <x:f>K91</x:f>
        <x:v>0.002164256747060781</x:v>
      </x:c>
    </x:row>
    <x:row r="92">
      <x:c r="A92" s="99" t="str">
        <x:f>'Raw R'!B86</x:f>
        <x:v>00126</x:v>
      </x:c>
      <x:c r="B92" s="100" t="n">
        <x:f>INDEX('Raw Stations'!$D$2:$D$299,MATCH(A92,'Raw Stations'!$A$2:$A$299,0))</x:f>
        <x:v>-0.01191670881522732</x:v>
      </x:c>
      <x:c r="C92" s="100" t="n">
        <x:f>'Raw R'!L86</x:f>
        <x:v>-0.03289948884467572</x:v>
      </x:c>
      <x:c r="D92" s="100" t="n">
        <x:f>$B$2</x:f>
        <x:v>-0.01791329208576473</x:v>
      </x:c>
      <x:c r="E92" s="100" t="n">
        <x:f>C92-D92</x:f>
        <x:v>-0.014986196758910993</x:v>
      </x:c>
      <x:c r="F92" s="100" t="n">
        <x:f>E92-B92</x:f>
        <x:v>-0.003069487943683674</x:v>
      </x:c>
      <x:c r="G92" s="100" t="n">
        <x:f>ABS(F92)</x:f>
        <x:v>0.003069487943683674</x:v>
      </x:c>
      <x:c r="H92" s="100" t="n">
        <x:f>'Raw R'!N86</x:f>
        <x:v>0.7446662695518279</x:v>
      </x:c>
      <x:c r="I92" t="b">
        <x:f>'Raw R'!O86</x:f>
        <x:v>1</x:v>
      </x:c>
      <x:c r="J92" s="100" t="n">
        <x:f>IF(I92,B92,"")</x:f>
        <x:v>-0.01191670881522732</x:v>
      </x:c>
      <x:c r="K92" s="100" t="n">
        <x:f>IF(I92,E92,"")</x:f>
        <x:v>-0.014986196758910993</x:v>
      </x:c>
      <x:c r="L92" s="100" t="n">
        <x:f>IF(I92,G92,"")</x:f>
        <x:v>0.003069487943683674</x:v>
      </x:c>
      <x:c r="M92" s="100" t="n">
        <x:f>IF(I92,F92^2,"")</x:f>
        <x:v>0.000009421756236419428</x:v>
      </x:c>
      <x:c r="N92" s="100" t="n">
        <x:f>IF(I92,F92,"")</x:f>
        <x:v>-0.003069487943683674</x:v>
      </x:c>
      <x:c r="P92" t="n">
        <x:f>J92</x:f>
        <x:v>-0.01191670881522732</x:v>
      </x:c>
      <x:c r="Q92" t="n">
        <x:f>K92</x:f>
        <x:v>-0.014986196758910993</x:v>
      </x:c>
    </x:row>
    <x:row r="93">
      <x:c r="A93" s="99" t="str">
        <x:f>'Raw R'!B87</x:f>
        <x:v>00127</x:v>
      </x:c>
      <x:c r="B93" s="100" t="n">
        <x:f>INDEX('Raw Stations'!$D$2:$D$299,MATCH(A93,'Raw Stations'!$A$2:$A$299,0))</x:f>
        <x:v>-0.005123859288306817</x:v>
      </x:c>
      <x:c r="C93" s="100" t="n">
        <x:f>'Raw R'!L87</x:f>
        <x:v>-0.02458938588669779</x:v>
      </x:c>
      <x:c r="D93" s="100" t="n">
        <x:f>$B$2</x:f>
        <x:v>-0.01791329208576473</x:v>
      </x:c>
      <x:c r="E93" s="100" t="n">
        <x:f>C93-D93</x:f>
        <x:v>-0.0066760938009330605</x:v>
      </x:c>
      <x:c r="F93" s="100" t="n">
        <x:f>E93-B93</x:f>
        <x:v>-0.001552234512626243</x:v>
      </x:c>
      <x:c r="G93" s="100" t="n">
        <x:f>ABS(F93)</x:f>
        <x:v>0.001552234512626243</x:v>
      </x:c>
      <x:c r="H93" s="100" t="n">
        <x:f>'Raw R'!N87</x:f>
        <x:v>0.8854480327896453</x:v>
      </x:c>
      <x:c r="I93" t="b">
        <x:f>'Raw R'!O87</x:f>
        <x:v>1</x:v>
      </x:c>
      <x:c r="J93" s="100" t="n">
        <x:f>IF(I93,B93,"")</x:f>
        <x:v>-0.005123859288306817</x:v>
      </x:c>
      <x:c r="K93" s="100" t="n">
        <x:f>IF(I93,E93,"")</x:f>
        <x:v>-0.0066760938009330605</x:v>
      </x:c>
      <x:c r="L93" s="100" t="n">
        <x:f>IF(I93,G93,"")</x:f>
        <x:v>0.001552234512626243</x:v>
      </x:c>
      <x:c r="M93" s="100" t="n">
        <x:f>IF(I93,F93^2,"")</x:f>
        <x:v>0.0000024094319821880302</x:v>
      </x:c>
      <x:c r="N93" s="100" t="n">
        <x:f>IF(I93,F93,"")</x:f>
        <x:v>-0.001552234512626243</x:v>
      </x:c>
      <x:c r="P93" t="n">
        <x:f>J93</x:f>
        <x:v>-0.005123859288306817</x:v>
      </x:c>
      <x:c r="Q93" t="n">
        <x:f>K93</x:f>
        <x:v>-0.0066760938009330605</x:v>
      </x:c>
    </x:row>
    <x:row r="94">
      <x:c r="A94" s="99" t="str">
        <x:f>'Raw R'!B88</x:f>
        <x:v>00128</x:v>
      </x:c>
      <x:c r="B94" s="100" t="n">
        <x:f>INDEX('Raw Stations'!$D$2:$D$299,MATCH(A94,'Raw Stations'!$A$2:$A$299,0))</x:f>
        <x:v>-0.003454528970802853</x:v>
      </x:c>
      <x:c r="C94" s="100" t="n">
        <x:f>'Raw R'!L88</x:f>
        <x:v>-0.02103561488632877</x:v>
      </x:c>
      <x:c r="D94" s="100" t="n">
        <x:f>$B$2</x:f>
        <x:v>-0.01791329208576473</x:v>
      </x:c>
      <x:c r="E94" s="100" t="n">
        <x:f>C94-D94</x:f>
        <x:v>-0.003122322800564039</x:v>
      </x:c>
      <x:c r="F94" s="100" t="n">
        <x:f>E94-B94</x:f>
        <x:v>0.0003322061702388142</x:v>
      </x:c>
      <x:c r="G94" s="100" t="n">
        <x:f>ABS(F94)</x:f>
        <x:v>0.0003322061702388142</x:v>
      </x:c>
      <x:c r="H94" s="100" t="n">
        <x:f>'Raw R'!N88</x:f>
        <x:v>0.8728162005515574</x:v>
      </x:c>
      <x:c r="I94" t="b">
        <x:f>'Raw R'!O88</x:f>
        <x:v>1</x:v>
      </x:c>
      <x:c r="J94" s="100" t="n">
        <x:f>IF(I94,B94,"")</x:f>
        <x:v>-0.003454528970802853</x:v>
      </x:c>
      <x:c r="K94" s="100" t="n">
        <x:f>IF(I94,E94,"")</x:f>
        <x:v>-0.003122322800564039</x:v>
      </x:c>
      <x:c r="L94" s="100" t="n">
        <x:f>IF(I94,G94,"")</x:f>
        <x:v>0.0003322061702388142</x:v>
      </x:c>
      <x:c r="M94" s="100" t="n">
        <x:f>IF(I94,F94^2,"")</x:f>
        <x:v>1.1036093954473999e-7</x:v>
      </x:c>
      <x:c r="N94" s="100" t="n">
        <x:f>IF(I94,F94,"")</x:f>
        <x:v>0.0003322061702388142</x:v>
      </x:c>
      <x:c r="P94" t="n">
        <x:f>J94</x:f>
        <x:v>-0.003454528970802853</x:v>
      </x:c>
      <x:c r="Q94" t="n">
        <x:f>K94</x:f>
        <x:v>-0.003122322800564039</x:v>
      </x:c>
    </x:row>
    <x:row r="95">
      <x:c r="A95" s="99" t="str">
        <x:f>'Raw R'!B89</x:f>
        <x:v>00129</x:v>
      </x:c>
      <x:c r="B95" s="100" t="n">
        <x:f>INDEX('Raw Stations'!$D$2:$D$299,MATCH(A95,'Raw Stations'!$A$2:$A$299,0))</x:f>
        <x:v>-0.0090830722292536</x:v>
      </x:c>
      <x:c r="C95" s="100" t="n">
        <x:f>'Raw R'!L89</x:f>
        <x:v>-0.02954161587259374</x:v>
      </x:c>
      <x:c r="D95" s="100" t="n">
        <x:f>$B$2</x:f>
        <x:v>-0.01791329208576473</x:v>
      </x:c>
      <x:c r="E95" s="100" t="n">
        <x:f>C95-D95</x:f>
        <x:v>-0.011628323786829011</x:v>
      </x:c>
      <x:c r="F95" s="100" t="n">
        <x:f>E95-B95</x:f>
        <x:v>-0.0025452515575754113</x:v>
      </x:c>
      <x:c r="G95" s="100" t="n">
        <x:f>ABS(F95)</x:f>
        <x:v>0.0025452515575754113</x:v>
      </x:c>
      <x:c r="H95" s="100" t="n">
        <x:f>'Raw R'!N89</x:f>
        <x:v>0.9440003287938746</x:v>
      </x:c>
      <x:c r="I95" t="b">
        <x:f>'Raw R'!O89</x:f>
        <x:v>1</x:v>
      </x:c>
      <x:c r="J95" s="100" t="n">
        <x:f>IF(I95,B95,"")</x:f>
        <x:v>-0.0090830722292536</x:v>
      </x:c>
      <x:c r="K95" s="100" t="n">
        <x:f>IF(I95,E95,"")</x:f>
        <x:v>-0.011628323786829011</x:v>
      </x:c>
      <x:c r="L95" s="100" t="n">
        <x:f>IF(I95,G95,"")</x:f>
        <x:v>0.0025452515575754113</x:v>
      </x:c>
      <x:c r="M95" s="100" t="n">
        <x:f>IF(I95,F95^2,"")</x:f>
        <x:v>0.0000064783054913400575</x:v>
      </x:c>
      <x:c r="N95" s="100" t="n">
        <x:f>IF(I95,F95,"")</x:f>
        <x:v>-0.0025452515575754113</x:v>
      </x:c>
      <x:c r="P95" t="n">
        <x:f>J95</x:f>
        <x:v>-0.0090830722292536</x:v>
      </x:c>
      <x:c r="Q95" t="n">
        <x:f>K95</x:f>
        <x:v>-0.011628323786829011</x:v>
      </x:c>
    </x:row>
    <x:row r="96">
      <x:c r="A96" s="99" t="str">
        <x:f>'Raw R'!B90</x:f>
        <x:v>00130</x:v>
      </x:c>
      <x:c r="B96" s="100" t="n">
        <x:f>INDEX('Raw Stations'!$D$2:$D$299,MATCH(A96,'Raw Stations'!$A$2:$A$299,0))</x:f>
        <x:v>0.001677001059362093</x:v>
      </x:c>
      <x:c r="C96" s="100" t="n">
        <x:f>'Raw R'!L90</x:f>
        <x:v>-0.01683334746617539</x:v>
      </x:c>
      <x:c r="D96" s="100" t="n">
        <x:f>$B$2</x:f>
        <x:v>-0.01791329208576473</x:v>
      </x:c>
      <x:c r="E96" s="100" t="n">
        <x:f>C96-D96</x:f>
        <x:v>0.001079944619589341</x:v>
      </x:c>
      <x:c r="F96" s="100" t="n">
        <x:f>E96-B96</x:f>
        <x:v>-0.000597056439772752</x:v>
      </x:c>
      <x:c r="G96" s="100" t="n">
        <x:f>ABS(F96)</x:f>
        <x:v>0.000597056439772752</x:v>
      </x:c>
      <x:c r="H96" s="100" t="n">
        <x:f>'Raw R'!N90</x:f>
        <x:v>0.9903292730594799</x:v>
      </x:c>
      <x:c r="I96" t="b">
        <x:f>'Raw R'!O90</x:f>
        <x:v>1</x:v>
      </x:c>
      <x:c r="J96" s="100" t="n">
        <x:f>IF(I96,B96,"")</x:f>
        <x:v>0.001677001059362093</x:v>
      </x:c>
      <x:c r="K96" s="100" t="n">
        <x:f>IF(I96,E96,"")</x:f>
        <x:v>0.001079944619589341</x:v>
      </x:c>
      <x:c r="L96" s="100" t="n">
        <x:f>IF(I96,G96,"")</x:f>
        <x:v>0.000597056439772752</x:v>
      </x:c>
      <x:c r="M96" s="100" t="n">
        <x:f>IF(I96,F96^2,"")</x:f>
        <x:v>3.564763922741138e-7</x:v>
      </x:c>
      <x:c r="N96" s="100" t="n">
        <x:f>IF(I96,F96,"")</x:f>
        <x:v>-0.000597056439772752</x:v>
      </x:c>
      <x:c r="P96" t="n">
        <x:f>J96</x:f>
        <x:v>0.001677001059362093</x:v>
      </x:c>
      <x:c r="Q96" t="n">
        <x:f>K96</x:f>
        <x:v>0.001079944619589341</x:v>
      </x:c>
    </x:row>
    <x:row r="97">
      <x:c r="A97" s="99" t="str">
        <x:f>'Raw R'!B91</x:f>
        <x:v>00131</x:v>
      </x:c>
      <x:c r="B97" s="100" t="n">
        <x:f>INDEX('Raw Stations'!$D$2:$D$299,MATCH(A97,'Raw Stations'!$A$2:$A$299,0))</x:f>
        <x:v>-0.01277863472198023</x:v>
      </x:c>
      <x:c r="C97" s="100" t="n">
        <x:f>'Raw R'!L91</x:f>
        <x:v>-0.02872407712238347</x:v>
      </x:c>
      <x:c r="D97" s="100" t="n">
        <x:f>$B$2</x:f>
        <x:v>-0.01791329208576473</x:v>
      </x:c>
      <x:c r="E97" s="100" t="n">
        <x:f>C97-D97</x:f>
        <x:v>-0.010810785036618739</x:v>
      </x:c>
      <x:c r="F97" s="100" t="n">
        <x:f>E97-B97</x:f>
        <x:v>0.0019678496853614905</x:v>
      </x:c>
      <x:c r="G97" s="100" t="n">
        <x:f>ABS(F97)</x:f>
        <x:v>0.0019678496853614905</x:v>
      </x:c>
      <x:c r="H97" s="100" t="n">
        <x:f>'Raw R'!N91</x:f>
        <x:v>0.9934271073199544</x:v>
      </x:c>
      <x:c r="I97" t="b">
        <x:f>'Raw R'!O91</x:f>
        <x:v>1</x:v>
      </x:c>
      <x:c r="J97" s="100" t="n">
        <x:f>IF(I97,B97,"")</x:f>
        <x:v>-0.01277863472198023</x:v>
      </x:c>
      <x:c r="K97" s="100" t="n">
        <x:f>IF(I97,E97,"")</x:f>
        <x:v>-0.010810785036618739</x:v>
      </x:c>
      <x:c r="L97" s="100" t="n">
        <x:f>IF(I97,G97,"")</x:f>
        <x:v>0.0019678496853614905</x:v>
      </x:c>
      <x:c r="M97" s="100" t="n">
        <x:f>IF(I97,F97^2,"")</x:f>
        <x:v>0.000003872432384177317</x:v>
      </x:c>
      <x:c r="N97" s="100" t="n">
        <x:f>IF(I97,F97,"")</x:f>
        <x:v>0.0019678496853614905</x:v>
      </x:c>
      <x:c r="P97" t="n">
        <x:f>J97</x:f>
        <x:v>-0.01277863472198023</x:v>
      </x:c>
      <x:c r="Q97" t="n">
        <x:f>K97</x:f>
        <x:v>-0.010810785036618739</x:v>
      </x:c>
    </x:row>
    <x:row r="98">
      <x:c r="A98" s="99" t="str">
        <x:f>'Raw R'!B92</x:f>
        <x:v>00132</x:v>
      </x:c>
      <x:c r="B98" s="100" t="n">
        <x:f>INDEX('Raw Stations'!$D$2:$D$299,MATCH(A98,'Raw Stations'!$A$2:$A$299,0))</x:f>
        <x:v>0.00000237585917226002</x:v>
      </x:c>
      <x:c r="C98" s="100" t="n">
        <x:f>'Raw R'!L92</x:f>
        <x:v>-0.0178378728012131</x:v>
      </x:c>
      <x:c r="D98" s="100" t="n">
        <x:f>$B$2</x:f>
        <x:v>-0.01791329208576473</x:v>
      </x:c>
      <x:c r="E98" s="100" t="n">
        <x:f>C98-D98</x:f>
        <x:v>0.00007541928455162897</x:v>
      </x:c>
      <x:c r="F98" s="100" t="n">
        <x:f>E98-B98</x:f>
        <x:v>0.00007304342537936895</x:v>
      </x:c>
      <x:c r="G98" s="100" t="n">
        <x:f>ABS(F98)</x:f>
        <x:v>0.00007304342537936895</x:v>
      </x:c>
      <x:c r="H98" s="100" t="n">
        <x:f>'Raw R'!N92</x:f>
        <x:v>0.9374092462887784</x:v>
      </x:c>
      <x:c r="I98" t="b">
        <x:f>'Raw R'!O92</x:f>
        <x:v>1</x:v>
      </x:c>
      <x:c r="J98" s="100" t="n">
        <x:f>IF(I98,B98,"")</x:f>
        <x:v>0.00000237585917226002</x:v>
      </x:c>
      <x:c r="K98" s="100" t="n">
        <x:f>IF(I98,E98,"")</x:f>
        <x:v>0.00007541928455162897</x:v>
      </x:c>
      <x:c r="L98" s="100" t="n">
        <x:f>IF(I98,G98,"")</x:f>
        <x:v>0.00007304342537936895</x:v>
      </x:c>
      <x:c r="M98" s="100" t="n">
        <x:f>IF(I98,F98^2,"")</x:f>
        <x:v>5.33534199115144e-9</x:v>
      </x:c>
      <x:c r="N98" s="100" t="n">
        <x:f>IF(I98,F98,"")</x:f>
        <x:v>0.00007304342537936895</x:v>
      </x:c>
      <x:c r="P98" t="n">
        <x:f>J98</x:f>
        <x:v>0.00000237585917226002</x:v>
      </x:c>
      <x:c r="Q98" t="n">
        <x:f>K98</x:f>
        <x:v>0.00007541928455162897</x:v>
      </x:c>
    </x:row>
    <x:row r="99">
      <x:c r="A99" s="99" t="str">
        <x:f>'Raw R'!B93</x:f>
        <x:v>00133</x:v>
      </x:c>
      <x:c r="B99" s="100" t="n">
        <x:f>INDEX('Raw Stations'!$D$2:$D$299,MATCH(A99,'Raw Stations'!$A$2:$A$299,0))</x:f>
        <x:v>0.003180636074596069</x:v>
      </x:c>
      <x:c r="C99" s="100" t="n">
        <x:f>'Raw R'!L93</x:f>
        <x:v>-0.01276480632580716</x:v>
      </x:c>
      <x:c r="D99" s="100" t="n">
        <x:f>$B$2</x:f>
        <x:v>-0.01791329208576473</x:v>
      </x:c>
      <x:c r="E99" s="100" t="n">
        <x:f>C99-D99</x:f>
        <x:v>0.005148485759957569</x:v>
      </x:c>
      <x:c r="F99" s="100" t="n">
        <x:f>E99-B99</x:f>
        <x:v>0.0019678496853614996</x:v>
      </x:c>
      <x:c r="G99" s="100" t="n">
        <x:f>ABS(F99)</x:f>
        <x:v>0.0019678496853614996</x:v>
      </x:c>
      <x:c r="H99" s="100" t="n">
        <x:f>'Raw R'!N93</x:f>
        <x:v>0.9955243242236577</x:v>
      </x:c>
      <x:c r="I99" t="b">
        <x:f>'Raw R'!O93</x:f>
        <x:v>1</x:v>
      </x:c>
      <x:c r="J99" s="100" t="n">
        <x:f>IF(I99,B99,"")</x:f>
        <x:v>0.003180636074596069</x:v>
      </x:c>
      <x:c r="K99" s="100" t="n">
        <x:f>IF(I99,E99,"")</x:f>
        <x:v>0.005148485759957569</x:v>
      </x:c>
      <x:c r="L99" s="100" t="n">
        <x:f>IF(I99,G99,"")</x:f>
        <x:v>0.0019678496853614996</x:v>
      </x:c>
      <x:c r="M99" s="100" t="n">
        <x:f>IF(I99,F99^2,"")</x:f>
        <x:v>0.000003872432384177353</x:v>
      </x:c>
      <x:c r="N99" s="100" t="n">
        <x:f>IF(I99,F99,"")</x:f>
        <x:v>0.0019678496853614996</x:v>
      </x:c>
      <x:c r="P99" t="n">
        <x:f>J99</x:f>
        <x:v>0.003180636074596069</x:v>
      </x:c>
      <x:c r="Q99" t="n">
        <x:f>K99</x:f>
        <x:v>0.005148485759957569</x:v>
      </x:c>
    </x:row>
    <x:row r="100">
      <x:c r="A100" s="99" t="str">
        <x:f>'Raw R'!B94</x:f>
        <x:v>00134</x:v>
      </x:c>
      <x:c r="B100" s="100" t="n">
        <x:f>INDEX('Raw Stations'!$D$2:$D$299,MATCH(A100,'Raw Stations'!$A$2:$A$299,0))</x:f>
        <x:v>0.00977127780644159</x:v>
      </x:c>
      <x:c r="C100" s="100" t="n">
        <x:f>'Raw R'!L94</x:f>
        <x:v>-0.006687265836898548</x:v>
      </x:c>
      <x:c r="D100" s="100" t="n">
        <x:f>$B$2</x:f>
        <x:v>-0.01791329208576473</x:v>
      </x:c>
      <x:c r="E100" s="100" t="n">
        <x:f>C100-D100</x:f>
        <x:v>0.011226026248866181</x:v>
      </x:c>
      <x:c r="F100" s="100" t="n">
        <x:f>E100-B100</x:f>
        <x:v>0.0014547484424245905</x:v>
      </x:c>
      <x:c r="G100" s="100" t="n">
        <x:f>ABS(F100)</x:f>
        <x:v>0.0014547484424245905</x:v>
      </x:c>
      <x:c r="H100" s="100" t="n">
        <x:f>'Raw R'!N94</x:f>
        <x:v>0.9844582766300259</x:v>
      </x:c>
      <x:c r="I100" t="b">
        <x:f>'Raw R'!O94</x:f>
        <x:v>1</x:v>
      </x:c>
      <x:c r="J100" s="100" t="n">
        <x:f>IF(I100,B100,"")</x:f>
        <x:v>0.00977127780644159</x:v>
      </x:c>
      <x:c r="K100" s="100" t="n">
        <x:f>IF(I100,E100,"")</x:f>
        <x:v>0.011226026248866181</x:v>
      </x:c>
      <x:c r="L100" s="100" t="n">
        <x:f>IF(I100,G100,"")</x:f>
        <x:v>0.0014547484424245905</x:v>
      </x:c>
      <x:c r="M100" s="100" t="n">
        <x:f>IF(I100,F100^2,"")</x:f>
        <x:v>0.000002116293030736772</x:v>
      </x:c>
      <x:c r="N100" s="100" t="n">
        <x:f>IF(I100,F100,"")</x:f>
        <x:v>0.0014547484424245905</x:v>
      </x:c>
      <x:c r="P100" t="n">
        <x:f>J100</x:f>
        <x:v>0.00977127780644159</x:v>
      </x:c>
      <x:c r="Q100" t="n">
        <x:f>K100</x:f>
        <x:v>0.011226026248866181</x:v>
      </x:c>
    </x:row>
    <x:row r="101">
      <x:c r="A101" s="99" t="str">
        <x:f>'Raw R'!B95</x:f>
        <x:v>00135</x:v>
      </x:c>
      <x:c r="B101" s="100" t="n">
        <x:f>INDEX('Raw Stations'!$D$2:$D$299,MATCH(A101,'Raw Stations'!$A$2:$A$299,0))</x:f>
        <x:v>0.01389111542165143</x:v>
      </x:c>
      <x:c r="C101" s="100" t="n">
        <x:f>'Raw R'!L95</x:f>
        <x:v>-0.002054326978751811</x:v>
      </x:c>
      <x:c r="D101" s="100" t="n">
        <x:f>$B$2</x:f>
        <x:v>-0.01791329208576473</x:v>
      </x:c>
      <x:c r="E101" s="100" t="n">
        <x:f>C101-D101</x:f>
        <x:v>0.01585896510701292</x:v>
      </x:c>
      <x:c r="F101" s="100" t="n">
        <x:f>E101-B101</x:f>
        <x:v>0.0019678496853614887</x:v>
      </x:c>
      <x:c r="G101" s="100" t="n">
        <x:f>ABS(F101)</x:f>
        <x:v>0.0019678496853614887</x:v>
      </x:c>
      <x:c r="H101" s="100" t="n">
        <x:f>'Raw R'!N95</x:f>
        <x:v>0.9566033256922808</x:v>
      </x:c>
      <x:c r="I101" t="b">
        <x:f>'Raw R'!O95</x:f>
        <x:v>1</x:v>
      </x:c>
      <x:c r="J101" s="100" t="n">
        <x:f>IF(I101,B101,"")</x:f>
        <x:v>0.01389111542165143</x:v>
      </x:c>
      <x:c r="K101" s="100" t="n">
        <x:f>IF(I101,E101,"")</x:f>
        <x:v>0.01585896510701292</x:v>
      </x:c>
      <x:c r="L101" s="100" t="n">
        <x:f>IF(I101,G101,"")</x:f>
        <x:v>0.0019678496853614887</x:v>
      </x:c>
      <x:c r="M101" s="100" t="n">
        <x:f>IF(I101,F101^2,"")</x:f>
        <x:v>0.00000387243238417731</x:v>
      </x:c>
      <x:c r="N101" s="100" t="n">
        <x:f>IF(I101,F101,"")</x:f>
        <x:v>0.0019678496853614887</x:v>
      </x:c>
      <x:c r="P101" t="n">
        <x:f>J101</x:f>
        <x:v>0.01389111542165143</x:v>
      </x:c>
      <x:c r="Q101" t="n">
        <x:f>K101</x:f>
        <x:v>0.01585896510701292</x:v>
      </x:c>
    </x:row>
    <x:row r="102">
      <x:c r="A102" s="99" t="str">
        <x:f>'Raw R'!B96</x:f>
        <x:v>00136</x:v>
      </x:c>
      <x:c r="B102" s="100" t="n">
        <x:f>INDEX('Raw Stations'!$D$2:$D$299,MATCH(A102,'Raw Stations'!$A$2:$A$299,0))</x:f>
        <x:v>0.00946584466341623</x:v>
      </x:c>
      <x:c r="C102" s="100" t="n">
        <x:f>'Raw R'!L96</x:f>
        <x:v>-0.009285551815235452</x:v>
      </x:c>
      <x:c r="D102" s="100" t="n">
        <x:f>$B$2</x:f>
        <x:v>-0.01791329208576473</x:v>
      </x:c>
      <x:c r="E102" s="100" t="n">
        <x:f>C102-D102</x:f>
        <x:v>0.008627740270529278</x:v>
      </x:c>
      <x:c r="F102" s="100" t="n">
        <x:f>E102-B102</x:f>
        <x:v>-0.0008381043928869514</x:v>
      </x:c>
      <x:c r="G102" s="100" t="n">
        <x:f>ABS(F102)</x:f>
        <x:v>0.0008381043928869514</x:v>
      </x:c>
      <x:c r="H102" s="100" t="n">
        <x:f>'Raw R'!N96</x:f>
        <x:v>0.9716071156877191</x:v>
      </x:c>
      <x:c r="I102" t="b">
        <x:f>'Raw R'!O96</x:f>
        <x:v>1</x:v>
      </x:c>
      <x:c r="J102" s="100" t="n">
        <x:f>IF(I102,B102,"")</x:f>
        <x:v>0.00946584466341623</x:v>
      </x:c>
      <x:c r="K102" s="100" t="n">
        <x:f>IF(I102,E102,"")</x:f>
        <x:v>0.008627740270529278</x:v>
      </x:c>
      <x:c r="L102" s="100" t="n">
        <x:f>IF(I102,G102,"")</x:f>
        <x:v>0.0008381043928869514</x:v>
      </x:c>
      <x:c r="M102" s="100" t="n">
        <x:f>IF(I102,F102^2,"")</x:f>
        <x:v>7.024189733764054e-7</x:v>
      </x:c>
      <x:c r="N102" s="100" t="n">
        <x:f>IF(I102,F102,"")</x:f>
        <x:v>-0.0008381043928869514</x:v>
      </x:c>
      <x:c r="P102" t="n">
        <x:f>J102</x:f>
        <x:v>0.00946584466341623</x:v>
      </x:c>
      <x:c r="Q102" t="n">
        <x:f>K102</x:f>
        <x:v>0.008627740270529278</x:v>
      </x:c>
    </x:row>
    <x:row r="103">
      <x:c r="A103" s="99" t="str">
        <x:f>'Raw R'!B97</x:f>
        <x:v>00137</x:v>
      </x:c>
      <x:c r="B103" s="100" t="n">
        <x:f>INDEX('Raw Stations'!$D$2:$D$299,MATCH(A103,'Raw Stations'!$A$2:$A$299,0))</x:f>
        <x:v>0.02676921859416015</x:v>
      </x:c>
      <x:c r="C103" s="100" t="n">
        <x:f>'Raw R'!L97</x:f>
        <x:v>0.01000583822136971</x:v>
      </x:c>
      <x:c r="D103" s="100" t="n">
        <x:f>$B$2</x:f>
        <x:v>-0.01791329208576473</x:v>
      </x:c>
      <x:c r="E103" s="100" t="n">
        <x:f>C103-D103</x:f>
        <x:v>0.02791913030713444</x:v>
      </x:c>
      <x:c r="F103" s="100" t="n">
        <x:f>E103-B103</x:f>
        <x:v>0.0011499117129742907</x:v>
      </x:c>
      <x:c r="G103" s="100" t="n">
        <x:f>ABS(F103)</x:f>
        <x:v>0.0011499117129742907</x:v>
      </x:c>
      <x:c r="H103" s="100" t="n">
        <x:f>'Raw R'!N97</x:f>
        <x:v>0.9328641865470559</x:v>
      </x:c>
      <x:c r="I103" t="b">
        <x:f>'Raw R'!O97</x:f>
        <x:v>1</x:v>
      </x:c>
      <x:c r="J103" s="100" t="n">
        <x:f>IF(I103,B103,"")</x:f>
        <x:v>0.02676921859416015</x:v>
      </x:c>
      <x:c r="K103" s="100" t="n">
        <x:f>IF(I103,E103,"")</x:f>
        <x:v>0.02791913030713444</x:v>
      </x:c>
      <x:c r="L103" s="100" t="n">
        <x:f>IF(I103,G103,"")</x:f>
        <x:v>0.0011499117129742907</x:v>
      </x:c>
      <x:c r="M103" s="100" t="n">
        <x:f>IF(I103,F103^2,"")</x:f>
        <x:v>0.0000013222969476354675</x:v>
      </x:c>
      <x:c r="N103" s="100" t="n">
        <x:f>IF(I103,F103,"")</x:f>
        <x:v>0.0011499117129742907</x:v>
      </x:c>
      <x:c r="P103" t="n">
        <x:f>J103</x:f>
        <x:v>0.02676921859416015</x:v>
      </x:c>
      <x:c r="Q103" t="n">
        <x:f>K103</x:f>
        <x:v>0.02791913030713444</x:v>
      </x:c>
    </x:row>
    <x:row r="104">
      <x:c r="A104" s="99" t="str">
        <x:f>'Raw R'!B98</x:f>
        <x:v>00138</x:v>
      </x:c>
      <x:c r="B104" s="100" t="n">
        <x:f>INDEX('Raw Stations'!$D$2:$D$299,MATCH(A104,'Raw Stations'!$A$2:$A$299,0))</x:f>
        <x:v>0.01176849858523049</x:v>
      </x:c>
      <x:c r="C104" s="100" t="n">
        <x:f>'Raw R'!L98</x:f>
        <x:v>-0.00698289789342119</x:v>
      </x:c>
      <x:c r="D104" s="100" t="n">
        <x:f>$B$2</x:f>
        <x:v>-0.01791329208576473</x:v>
      </x:c>
      <x:c r="E104" s="100" t="n">
        <x:f>C104-D104</x:f>
        <x:v>0.01093039419234354</x:v>
      </x:c>
      <x:c r="F104" s="100" t="n">
        <x:f>E104-B104</x:f>
        <x:v>-0.0008381043928869496</x:v>
      </x:c>
      <x:c r="G104" s="100" t="n">
        <x:f>ABS(F104)</x:f>
        <x:v>0.0008381043928869496</x:v>
      </x:c>
      <x:c r="H104" s="100" t="n">
        <x:f>'Raw R'!N98</x:f>
        <x:v>0.9949091110560111</x:v>
      </x:c>
      <x:c r="I104" t="b">
        <x:f>'Raw R'!O98</x:f>
        <x:v>1</x:v>
      </x:c>
      <x:c r="J104" s="100" t="n">
        <x:f>IF(I104,B104,"")</x:f>
        <x:v>0.01176849858523049</x:v>
      </x:c>
      <x:c r="K104" s="100" t="n">
        <x:f>IF(I104,E104,"")</x:f>
        <x:v>0.01093039419234354</x:v>
      </x:c>
      <x:c r="L104" s="100" t="n">
        <x:f>IF(I104,G104,"")</x:f>
        <x:v>0.0008381043928869496</x:v>
      </x:c>
      <x:c r="M104" s="100" t="n">
        <x:f>IF(I104,F104^2,"")</x:f>
        <x:v>7.024189733764024e-7</x:v>
      </x:c>
      <x:c r="N104" s="100" t="n">
        <x:f>IF(I104,F104,"")</x:f>
        <x:v>-0.0008381043928869496</x:v>
      </x:c>
      <x:c r="P104" t="n">
        <x:f>J104</x:f>
        <x:v>0.01176849858523049</x:v>
      </x:c>
      <x:c r="Q104" t="n">
        <x:f>K104</x:f>
        <x:v>0.01093039419234354</x:v>
      </x:c>
    </x:row>
    <x:row r="105">
      <x:c r="A105" s="99" t="str">
        <x:f>'Raw R'!B99</x:f>
        <x:v>00139</x:v>
      </x:c>
      <x:c r="B105" s="100" t="n">
        <x:f>INDEX('Raw Stations'!$D$2:$D$299,MATCH(A105,'Raw Stations'!$A$2:$A$299,0))</x:f>
        <x:v>0.01070551839501107</x:v>
      </x:c>
      <x:c r="C105" s="100" t="n">
        <x:f>'Raw R'!L99</x:f>
        <x:v>-0.005074678896527005</x:v>
      </x:c>
      <x:c r="D105" s="100" t="n">
        <x:f>$B$2</x:f>
        <x:v>-0.01791329208576473</x:v>
      </x:c>
      <x:c r="E105" s="100" t="n">
        <x:f>C105-D105</x:f>
        <x:v>0.012838613189237725</x:v>
      </x:c>
      <x:c r="F105" s="100" t="n">
        <x:f>E105-B105</x:f>
        <x:v>0.0021330947942266552</x:v>
      </x:c>
      <x:c r="G105" s="100" t="n">
        <x:f>ABS(F105)</x:f>
        <x:v>0.0021330947942266552</x:v>
      </x:c>
      <x:c r="H105" s="100" t="n">
        <x:f>'Raw R'!N99</x:f>
        <x:v>0.9695313793635394</x:v>
      </x:c>
      <x:c r="I105" t="b">
        <x:f>'Raw R'!O99</x:f>
        <x:v>1</x:v>
      </x:c>
      <x:c r="J105" s="100" t="n">
        <x:f>IF(I105,B105,"")</x:f>
        <x:v>0.01070551839501107</x:v>
      </x:c>
      <x:c r="K105" s="100" t="n">
        <x:f>IF(I105,E105,"")</x:f>
        <x:v>0.012838613189237725</x:v>
      </x:c>
      <x:c r="L105" s="100" t="n">
        <x:f>IF(I105,G105,"")</x:f>
        <x:v>0.0021330947942266552</x:v>
      </x:c>
      <x:c r="M105" s="100" t="n">
        <x:f>IF(I105,F105^2,"")</x:f>
        <x:v>0.000004550093401156857</x:v>
      </x:c>
      <x:c r="N105" s="100" t="n">
        <x:f>IF(I105,F105,"")</x:f>
        <x:v>0.0021330947942266552</x:v>
      </x:c>
      <x:c r="P105" t="n">
        <x:f>J105</x:f>
        <x:v>0.01070551839501107</x:v>
      </x:c>
      <x:c r="Q105" t="n">
        <x:f>K105</x:f>
        <x:v>0.012838613189237725</x:v>
      </x:c>
    </x:row>
    <x:row r="106">
      <x:c r="A106" s="99" t="str">
        <x:f>'Raw R'!B100</x:f>
        <x:v>00140</x:v>
      </x:c>
      <x:c r="B106" s="100" t="n">
        <x:f>INDEX('Raw Stations'!$D$2:$D$299,MATCH(A106,'Raw Stations'!$A$2:$A$299,0))</x:f>
        <x:v>0.009794512092151049</x:v>
      </x:c>
      <x:c r="C106" s="100" t="n">
        <x:f>'Raw R'!L100</x:f>
        <x:v>-0.009724133777659006</x:v>
      </x:c>
      <x:c r="D106" s="100" t="n">
        <x:f>$B$2</x:f>
        <x:v>-0.01791329208576473</x:v>
      </x:c>
      <x:c r="E106" s="100" t="n">
        <x:f>C106-D106</x:f>
        <x:v>0.008189158308105723</x:v>
      </x:c>
      <x:c r="F106" s="100" t="n">
        <x:f>E106-B106</x:f>
        <x:v>-0.0016053537840453255</x:v>
      </x:c>
      <x:c r="G106" s="100" t="n">
        <x:f>ABS(F106)</x:f>
        <x:v>0.0016053537840453255</x:v>
      </x:c>
      <x:c r="H106" s="100" t="n">
        <x:f>'Raw R'!N100</x:f>
        <x:v>0.9272562514492788</x:v>
      </x:c>
      <x:c r="I106" t="b">
        <x:f>'Raw R'!O100</x:f>
        <x:v>1</x:v>
      </x:c>
      <x:c r="J106" s="100" t="n">
        <x:f>IF(I106,B106,"")</x:f>
        <x:v>0.009794512092151049</x:v>
      </x:c>
      <x:c r="K106" s="100" t="n">
        <x:f>IF(I106,E106,"")</x:f>
        <x:v>0.008189158308105723</x:v>
      </x:c>
      <x:c r="L106" s="100" t="n">
        <x:f>IF(I106,G106,"")</x:f>
        <x:v>0.0016053537840453255</x:v>
      </x:c>
      <x:c r="M106" s="100" t="n">
        <x:f>IF(I106,F106^2,"")</x:f>
        <x:v>0.0000025771607719486457</x:v>
      </x:c>
      <x:c r="N106" s="100" t="n">
        <x:f>IF(I106,F106,"")</x:f>
        <x:v>-0.0016053537840453255</x:v>
      </x:c>
      <x:c r="P106" t="n">
        <x:f>J106</x:f>
        <x:v>0.009794512092151049</x:v>
      </x:c>
      <x:c r="Q106" t="n">
        <x:f>K106</x:f>
        <x:v>0.008189158308105723</x:v>
      </x:c>
    </x:row>
    <x:row r="107">
      <x:c r="A107" s="99" t="str">
        <x:f>'Raw R'!B101</x:f>
        <x:v>00141</x:v>
      </x:c>
      <x:c r="B107" s="100" t="n">
        <x:f>INDEX('Raw Stations'!$D$2:$D$299,MATCH(A107,'Raw Stations'!$A$2:$A$299,0))</x:f>
        <x:v>0.001433630043454155</x:v>
      </x:c>
      <x:c r="C107" s="100" t="n">
        <x:f>'Raw R'!L101</x:f>
        <x:v>-0.0220850158263559</x:v>
      </x:c>
      <x:c r="D107" s="100" t="n">
        <x:f>$B$2</x:f>
        <x:v>-0.01791329208576473</x:v>
      </x:c>
      <x:c r="E107" s="100" t="n">
        <x:f>C107-D107</x:f>
        <x:v>-0.00417172374059117</x:v>
      </x:c>
      <x:c r="F107" s="100" t="n">
        <x:f>E107-B107</x:f>
        <x:v>-0.005605353784045326</x:v>
      </x:c>
      <x:c r="G107" s="100" t="n">
        <x:f>ABS(F107)</x:f>
        <x:v>0.005605353784045326</x:v>
      </x:c>
      <x:c r="H107" s="100" t="n">
        <x:f>'Raw R'!N101</x:f>
        <x:v>0.9412627821003233</x:v>
      </x:c>
      <x:c r="I107" t="b">
        <x:f>'Raw R'!O101</x:f>
        <x:v>1</x:v>
      </x:c>
      <x:c r="J107" s="100" t="n">
        <x:f>IF(I107,B107,"")</x:f>
        <x:v>0.001433630043454155</x:v>
      </x:c>
      <x:c r="K107" s="100" t="n">
        <x:f>IF(I107,E107,"")</x:f>
        <x:v>-0.00417172374059117</x:v>
      </x:c>
      <x:c r="L107" s="100" t="n">
        <x:f>IF(I107,G107,"")</x:f>
        <x:v>0.005605353784045326</x:v>
      </x:c>
      <x:c r="M107" s="100" t="n">
        <x:f>IF(I107,F107^2,"")</x:f>
        <x:v>0.00003141999104431125</x:v>
      </x:c>
      <x:c r="N107" s="100" t="n">
        <x:f>IF(I107,F107,"")</x:f>
        <x:v>-0.005605353784045326</x:v>
      </x:c>
      <x:c r="P107" t="n">
        <x:f>J107</x:f>
        <x:v>0.001433630043454155</x:v>
      </x:c>
      <x:c r="Q107" t="n">
        <x:f>K107</x:f>
        <x:v>-0.00417172374059117</x:v>
      </x:c>
    </x:row>
    <x:row r="108">
      <x:c r="A108" s="99" t="str">
        <x:f>'Raw R'!B102</x:f>
        <x:v>00142</x:v>
      </x:c>
      <x:c r="B108" s="100" t="n">
        <x:f>INDEX('Raw Stations'!$D$2:$D$299,MATCH(A108,'Raw Stations'!$A$2:$A$299,0))</x:f>
        <x:v>-0.0131765084679257</x:v>
      </x:c>
      <x:c r="C108" s="100" t="n">
        <x:f>'Raw R'!L102</x:f>
        <x:v>-0.03345112192350885</x:v>
      </x:c>
      <x:c r="D108" s="100" t="n">
        <x:f>$B$2</x:f>
        <x:v>-0.01791329208576473</x:v>
      </x:c>
      <x:c r="E108" s="100" t="n">
        <x:f>C108-D108</x:f>
        <x:v>-0.015537829837744124</x:v>
      </x:c>
      <x:c r="F108" s="100" t="n">
        <x:f>E108-B108</x:f>
        <x:v>-0.0023613213698184237</x:v>
      </x:c>
      <x:c r="G108" s="100" t="n">
        <x:f>ABS(F108)</x:f>
        <x:v>0.0023613213698184237</x:v>
      </x:c>
      <x:c r="H108" s="100" t="n">
        <x:f>'Raw R'!N102</x:f>
        <x:v>0.8186205298653749</x:v>
      </x:c>
      <x:c r="I108" t="b">
        <x:f>'Raw R'!O102</x:f>
        <x:v>1</x:v>
      </x:c>
      <x:c r="J108" s="100" t="n">
        <x:f>IF(I108,B108,"")</x:f>
        <x:v>-0.0131765084679257</x:v>
      </x:c>
      <x:c r="K108" s="100" t="n">
        <x:f>IF(I108,E108,"")</x:f>
        <x:v>-0.015537829837744124</x:v>
      </x:c>
      <x:c r="L108" s="100" t="n">
        <x:f>IF(I108,G108,"")</x:f>
        <x:v>0.0023613213698184237</x:v>
      </x:c>
      <x:c r="M108" s="100" t="n">
        <x:f>IF(I108,F108^2,"")</x:f>
        <x:v>0.000005575838611561157</x:v>
      </x:c>
      <x:c r="N108" s="100" t="n">
        <x:f>IF(I108,F108,"")</x:f>
        <x:v>-0.0023613213698184237</x:v>
      </x:c>
      <x:c r="P108" t="n">
        <x:f>J108</x:f>
        <x:v>-0.0131765084679257</x:v>
      </x:c>
      <x:c r="Q108" t="n">
        <x:f>K108</x:f>
        <x:v>-0.015537829837744124</x:v>
      </x:c>
    </x:row>
    <x:row r="109">
      <x:c r="A109" s="99" t="str">
        <x:f>'Raw R'!B103</x:f>
        <x:v>00143</x:v>
      </x:c>
      <x:c r="B109" s="100" t="n">
        <x:f>INDEX('Raw Stations'!$D$2:$D$299,MATCH(A109,'Raw Stations'!$A$2:$A$299,0))</x:f>
        <x:v>-0.007809072405819819</x:v>
      </x:c>
      <x:c r="C109" s="100" t="n">
        <x:f>'Raw R'!L103</x:f>
        <x:v>-0.02947578444607613</x:v>
      </x:c>
      <x:c r="D109" s="100" t="n">
        <x:f>$B$2</x:f>
        <x:v>-0.01791329208576473</x:v>
      </x:c>
      <x:c r="E109" s="100" t="n">
        <x:f>C109-D109</x:f>
        <x:v>-0.0115624923603114</x:v>
      </x:c>
      <x:c r="F109" s="100" t="n">
        <x:f>E109-B109</x:f>
        <x:v>-0.0037534199544915804</x:v>
      </x:c>
      <x:c r="G109" s="100" t="n">
        <x:f>ABS(F109)</x:f>
        <x:v>0.0037534199544915804</x:v>
      </x:c>
      <x:c r="H109" s="100" t="n">
        <x:f>'Raw R'!N103</x:f>
        <x:v>0.7392214168719596</x:v>
      </x:c>
      <x:c r="I109" t="b">
        <x:f>'Raw R'!O103</x:f>
        <x:v>1</x:v>
      </x:c>
      <x:c r="J109" s="100" t="n">
        <x:f>IF(I109,B109,"")</x:f>
        <x:v>-0.007809072405819819</x:v>
      </x:c>
      <x:c r="K109" s="100" t="n">
        <x:f>IF(I109,E109,"")</x:f>
        <x:v>-0.0115624923603114</x:v>
      </x:c>
      <x:c r="L109" s="100" t="n">
        <x:f>IF(I109,G109,"")</x:f>
        <x:v>0.0037534199544915804</x:v>
      </x:c>
      <x:c r="M109" s="100" t="n">
        <x:f>IF(I109,F109^2,"")</x:f>
        <x:v>0.000014088161354775578</x:v>
      </x:c>
      <x:c r="N109" s="100" t="n">
        <x:f>IF(I109,F109,"")</x:f>
        <x:v>-0.0037534199544915804</x:v>
      </x:c>
      <x:c r="P109" t="n">
        <x:f>J109</x:f>
        <x:v>-0.007809072405819819</x:v>
      </x:c>
      <x:c r="Q109" t="n">
        <x:f>K109</x:f>
        <x:v>-0.0115624923603114</x:v>
      </x:c>
    </x:row>
    <x:row r="110">
      <x:c r="A110" s="99" t="str">
        <x:f>'Raw R'!B104</x:f>
        <x:v>00144</x:v>
      </x:c>
      <x:c r="B110" s="100" t="n">
        <x:f>INDEX('Raw Stations'!$D$2:$D$299,MATCH(A110,'Raw Stations'!$A$2:$A$299,0))</x:f>
        <x:v>-0.01176502607705689</x:v>
      </x:c>
      <x:c r="C110" s="100" t="n">
        <x:f>'Raw R'!L104</x:f>
        <x:v>-0.02831553481427553</x:v>
      </x:c>
      <x:c r="D110" s="100" t="n">
        <x:f>$B$2</x:f>
        <x:v>-0.01791329208576473</x:v>
      </x:c>
      <x:c r="E110" s="100" t="n">
        <x:f>C110-D110</x:f>
        <x:v>-0.0104022427285108</x:v>
      </x:c>
      <x:c r="F110" s="100" t="n">
        <x:f>E110-B110</x:f>
        <x:v>0.0013627833485460907</x:v>
      </x:c>
      <x:c r="G110" s="100" t="n">
        <x:f>ABS(F110)</x:f>
        <x:v>0.0013627833485460907</x:v>
      </x:c>
      <x:c r="H110" s="100" t="n">
        <x:f>'Raw R'!N104</x:f>
        <x:v>0.7843519057616286</x:v>
      </x:c>
      <x:c r="I110" t="b">
        <x:f>'Raw R'!O104</x:f>
        <x:v>1</x:v>
      </x:c>
      <x:c r="J110" s="100" t="n">
        <x:f>IF(I110,B110,"")</x:f>
        <x:v>-0.01176502607705689</x:v>
      </x:c>
      <x:c r="K110" s="100" t="n">
        <x:f>IF(I110,E110,"")</x:f>
        <x:v>-0.0104022427285108</x:v>
      </x:c>
      <x:c r="L110" s="100" t="n">
        <x:f>IF(I110,G110,"")</x:f>
        <x:v>0.0013627833485460907</x:v>
      </x:c>
      <x:c r="M110" s="100" t="n">
        <x:f>IF(I110,F110^2,"")</x:f>
        <x:v>0.0000018571784550744956</x:v>
      </x:c>
      <x:c r="N110" s="100" t="n">
        <x:f>IF(I110,F110,"")</x:f>
        <x:v>0.0013627833485460907</x:v>
      </x:c>
      <x:c r="P110" t="n">
        <x:f>J110</x:f>
        <x:v>-0.01176502607705689</x:v>
      </x:c>
      <x:c r="Q110" t="n">
        <x:f>K110</x:f>
        <x:v>-0.0104022427285108</x:v>
      </x:c>
    </x:row>
    <x:row r="111">
      <x:c r="A111" s="99" t="str">
        <x:f>'Raw R'!B105</x:f>
        <x:v>00145</x:v>
      </x:c>
      <x:c r="B111" s="100" t="n">
        <x:f>INDEX('Raw Stations'!$D$2:$D$299,MATCH(A111,'Raw Stations'!$A$2:$A$299,0))</x:f>
        <x:v>-0.01520966297060058</x:v>
      </x:c>
      <x:c r="C111" s="100" t="n">
        <x:f>'Raw R'!L105</x:f>
        <x:v>-0.03576017170781921</x:v>
      </x:c>
      <x:c r="D111" s="100" t="n">
        <x:f>$B$2</x:f>
        <x:v>-0.01791329208576473</x:v>
      </x:c>
      <x:c r="E111" s="100" t="n">
        <x:f>C111-D111</x:f>
        <x:v>-0.017846879622054484</x:v>
      </x:c>
      <x:c r="F111" s="100" t="n">
        <x:f>E111-B111</x:f>
        <x:v>-0.0026372166514539042</x:v>
      </x:c>
      <x:c r="G111" s="100" t="n">
        <x:f>ABS(F111)</x:f>
        <x:v>0.0026372166514539042</x:v>
      </x:c>
      <x:c r="H111" s="100" t="n">
        <x:f>'Raw R'!N105</x:f>
        <x:v>0.8223057421987324</x:v>
      </x:c>
      <x:c r="I111" t="b">
        <x:f>'Raw R'!O105</x:f>
        <x:v>1</x:v>
      </x:c>
      <x:c r="J111" s="100" t="n">
        <x:f>IF(I111,B111,"")</x:f>
        <x:v>-0.01520966297060058</x:v>
      </x:c>
      <x:c r="K111" s="100" t="n">
        <x:f>IF(I111,E111,"")</x:f>
        <x:v>-0.017846879622054484</x:v>
      </x:c>
      <x:c r="L111" s="100" t="n">
        <x:f>IF(I111,G111,"")</x:f>
        <x:v>0.0026372166514539042</x:v>
      </x:c>
      <x:c r="M111" s="100" t="n">
        <x:f>IF(I111,F111^2,"")</x:f>
        <x:v>0.0000069549116667057435</x:v>
      </x:c>
      <x:c r="N111" s="100" t="n">
        <x:f>IF(I111,F111,"")</x:f>
        <x:v>-0.0026372166514539042</x:v>
      </x:c>
      <x:c r="P111" t="n">
        <x:f>J111</x:f>
        <x:v>-0.01520966297060058</x:v>
      </x:c>
      <x:c r="Q111" t="n">
        <x:f>K111</x:f>
        <x:v>-0.017846879622054484</x:v>
      </x:c>
    </x:row>
    <x:row r="112">
      <x:c r="A112" s="99" t="str">
        <x:f>'Raw R'!B106</x:f>
        <x:v>00146</x:v>
      </x:c>
      <x:c r="B112" s="100" t="n">
        <x:f>INDEX('Raw Stations'!$D$2:$D$299,MATCH(A112,'Raw Stations'!$A$2:$A$299,0))</x:f>
        <x:v>-0.00357796407435395</x:v>
      </x:c>
      <x:c r="C112" s="100" t="n">
        <x:f>'Raw R'!L106</x:f>
        <x:v>-0.01832936055300563</x:v>
      </x:c>
      <x:c r="D112" s="100" t="n">
        <x:f>$B$2</x:f>
        <x:v>-0.01791329208576473</x:v>
      </x:c>
      <x:c r="E112" s="100" t="n">
        <x:f>C112-D112</x:f>
        <x:v>-0.0004160684672409008</x:v>
      </x:c>
      <x:c r="F112" s="100" t="n">
        <x:f>E112-B112</x:f>
        <x:v>0.003161895607113049</x:v>
      </x:c>
      <x:c r="G112" s="100" t="n">
        <x:f>ABS(F112)</x:f>
        <x:v>0.003161895607113049</x:v>
      </x:c>
      <x:c r="H112" s="100" t="n">
        <x:f>'Raw R'!N106</x:f>
        <x:v>0.9895013211526613</x:v>
      </x:c>
      <x:c r="I112" t="b">
        <x:f>'Raw R'!O106</x:f>
        <x:v>1</x:v>
      </x:c>
      <x:c r="J112" s="100" t="n">
        <x:f>IF(I112,B112,"")</x:f>
        <x:v>-0.00357796407435395</x:v>
      </x:c>
      <x:c r="K112" s="100" t="n">
        <x:f>IF(I112,E112,"")</x:f>
        <x:v>-0.0004160684672409008</x:v>
      </x:c>
      <x:c r="L112" s="100" t="n">
        <x:f>IF(I112,G112,"")</x:f>
        <x:v>0.003161895607113049</x:v>
      </x:c>
      <x:c r="M112" s="100" t="n">
        <x:f>IF(I112,F112^2,"")</x:f>
        <x:v>0.000009997583830280798</x:v>
      </x:c>
      <x:c r="N112" s="100" t="n">
        <x:f>IF(I112,F112,"")</x:f>
        <x:v>0.003161895607113049</x:v>
      </x:c>
      <x:c r="P112" t="n">
        <x:f>J112</x:f>
        <x:v>-0.00357796407435395</x:v>
      </x:c>
      <x:c r="Q112" t="n">
        <x:f>K112</x:f>
        <x:v>-0.0004160684672409008</x:v>
      </x:c>
    </x:row>
    <x:row r="113">
      <x:c r="A113" s="99" t="str">
        <x:f>'Raw R'!B107</x:f>
        <x:v>00147</x:v>
      </x:c>
      <x:c r="B113" s="100" t="n">
        <x:f>INDEX('Raw Stations'!$D$2:$D$299,MATCH(A113,'Raw Stations'!$A$2:$A$299,0))</x:f>
        <x:v>0.00393074184116592</x:v>
      </x:c>
      <x:c r="C113" s="100" t="n">
        <x:f>'Raw R'!L107</x:f>
        <x:v>-0.01373597019909038</x:v>
      </x:c>
      <x:c r="D113" s="100" t="n">
        <x:f>$B$2</x:f>
        <x:v>-0.01791329208576473</x:v>
      </x:c>
      <x:c r="E113" s="100" t="n">
        <x:f>C113-D113</x:f>
        <x:v>0.00417732188667435</x:v>
      </x:c>
      <x:c r="F113" s="100" t="n">
        <x:f>E113-B113</x:f>
        <x:v>0.0002465800455084301</x:v>
      </x:c>
      <x:c r="G113" s="100" t="n">
        <x:f>ABS(F113)</x:f>
        <x:v>0.0002465800455084301</x:v>
      </x:c>
      <x:c r="H113" s="100" t="n">
        <x:f>'Raw R'!N107</x:f>
        <x:v>0.9861953007839388</x:v>
      </x:c>
      <x:c r="I113" t="b">
        <x:f>'Raw R'!O107</x:f>
        <x:v>1</x:v>
      </x:c>
      <x:c r="J113" s="100" t="n">
        <x:f>IF(I113,B113,"")</x:f>
        <x:v>0.00393074184116592</x:v>
      </x:c>
      <x:c r="K113" s="100" t="n">
        <x:f>IF(I113,E113,"")</x:f>
        <x:v>0.00417732188667435</x:v>
      </x:c>
      <x:c r="L113" s="100" t="n">
        <x:f>IF(I113,G113,"")</x:f>
        <x:v>0.0002465800455084301</x:v>
      </x:c>
      <x:c r="M113" s="100" t="n">
        <x:f>IF(I113,F113^2,"")</x:f>
        <x:v>6.080171884293945e-8</x:v>
      </x:c>
      <x:c r="N113" s="100" t="n">
        <x:f>IF(I113,F113,"")</x:f>
        <x:v>0.0002465800455084301</x:v>
      </x:c>
      <x:c r="P113" t="n">
        <x:f>J113</x:f>
        <x:v>0.00393074184116592</x:v>
      </x:c>
      <x:c r="Q113" t="n">
        <x:f>K113</x:f>
        <x:v>0.00417732188667435</x:v>
      </x:c>
    </x:row>
    <x:row r="114">
      <x:c r="A114" s="99" t="str">
        <x:f>'Raw R'!B108</x:f>
        <x:v>00148</x:v>
      </x:c>
      <x:c r="B114" s="100" t="n">
        <x:f>INDEX('Raw Stations'!$D$2:$D$299,MATCH(A114,'Raw Stations'!$A$2:$A$299,0))</x:f>
        <x:v>0.007627592197452477</x:v>
      </x:c>
      <x:c r="C114" s="100" t="n">
        <x:f>'Raw R'!L108</x:f>
        <x:v>-0.01186266852169732</x:v>
      </x:c>
      <x:c r="D114" s="100" t="n">
        <x:f>$B$2</x:f>
        <x:v>-0.01791329208576473</x:v>
      </x:c>
      <x:c r="E114" s="100" t="n">
        <x:f>C114-D114</x:f>
        <x:v>0.006050623564067409</x:v>
      </x:c>
      <x:c r="F114" s="100" t="n">
        <x:f>E114-B114</x:f>
        <x:v>-0.0015769686333850681</x:v>
      </x:c>
      <x:c r="G114" s="100" t="n">
        <x:f>ABS(F114)</x:f>
        <x:v>0.0015769686333850681</x:v>
      </x:c>
      <x:c r="H114" s="100" t="n">
        <x:f>'Raw R'!N108</x:f>
        <x:v>0.9853621441843576</x:v>
      </x:c>
      <x:c r="I114" t="b">
        <x:f>'Raw R'!O108</x:f>
        <x:v>1</x:v>
      </x:c>
      <x:c r="J114" s="100" t="n">
        <x:f>IF(I114,B114,"")</x:f>
        <x:v>0.007627592197452477</x:v>
      </x:c>
      <x:c r="K114" s="100" t="n">
        <x:f>IF(I114,E114,"")</x:f>
        <x:v>0.006050623564067409</x:v>
      </x:c>
      <x:c r="L114" s="100" t="n">
        <x:f>IF(I114,G114,"")</x:f>
        <x:v>0.0015769686333850681</x:v>
      </x:c>
      <x:c r="M114" s="100" t="n">
        <x:f>IF(I114,F114^2,"")</x:f>
        <x:v>0.0000024868300706803696</x:v>
      </x:c>
      <x:c r="N114" s="100" t="n">
        <x:f>IF(I114,F114,"")</x:f>
        <x:v>-0.0015769686333850681</x:v>
      </x:c>
      <x:c r="P114" t="n">
        <x:f>J114</x:f>
        <x:v>0.007627592197452477</x:v>
      </x:c>
      <x:c r="Q114" t="n">
        <x:f>K114</x:f>
        <x:v>0.006050623564067409</x:v>
      </x:c>
    </x:row>
    <x:row r="115">
      <x:c r="A115" s="99" t="str">
        <x:f>'Raw R'!B109</x:f>
        <x:v>00149</x:v>
      </x:c>
      <x:c r="B115" s="100" t="n">
        <x:f>INDEX('Raw Stations'!$D$2:$D$299,MATCH(A115,'Raw Stations'!$A$2:$A$299,0))</x:f>
        <x:v>0.006252124324200541</x:v>
      </x:c>
      <x:c r="C115" s="100" t="n">
        <x:f>'Raw R'!L109</x:f>
        <x:v>-0.009041945641686984</x:v>
      </x:c>
      <x:c r="D115" s="100" t="n">
        <x:f>$B$2</x:f>
        <x:v>-0.01791329208576473</x:v>
      </x:c>
      <x:c r="E115" s="100" t="n">
        <x:f>C115-D115</x:f>
        <x:v>0.008871346444077746</x:v>
      </x:c>
      <x:c r="F115" s="100" t="n">
        <x:f>E115-B115</x:f>
        <x:v>0.0026192221198772046</x:v>
      </x:c>
      <x:c r="G115" s="100" t="n">
        <x:f>ABS(F115)</x:f>
        <x:v>0.0026192221198772046</x:v>
      </x:c>
      <x:c r="H115" s="100" t="n">
        <x:f>'Raw R'!N109</x:f>
        <x:v>0.9858825677230474</x:v>
      </x:c>
      <x:c r="I115" t="b">
        <x:f>'Raw R'!O109</x:f>
        <x:v>1</x:v>
      </x:c>
      <x:c r="J115" s="100" t="n">
        <x:f>IF(I115,B115,"")</x:f>
        <x:v>0.006252124324200541</x:v>
      </x:c>
      <x:c r="K115" s="100" t="n">
        <x:f>IF(I115,E115,"")</x:f>
        <x:v>0.008871346444077746</x:v>
      </x:c>
      <x:c r="L115" s="100" t="n">
        <x:f>IF(I115,G115,"")</x:f>
        <x:v>0.0026192221198772046</x:v>
      </x:c>
      <x:c r="M115" s="100" t="n">
        <x:f>IF(I115,F115^2,"")</x:f>
        <x:v>0.0000068603245132540375</x:v>
      </x:c>
      <x:c r="N115" s="100" t="n">
        <x:f>IF(I115,F115,"")</x:f>
        <x:v>0.0026192221198772046</x:v>
      </x:c>
      <x:c r="P115" t="n">
        <x:f>J115</x:f>
        <x:v>0.006252124324200541</x:v>
      </x:c>
      <x:c r="Q115" t="n">
        <x:f>K115</x:f>
        <x:v>0.008871346444077746</x:v>
      </x:c>
    </x:row>
    <x:row r="116">
      <x:c r="A116" s="99" t="str">
        <x:f>'Raw R'!B110</x:f>
        <x:v>00150</x:v>
      </x:c>
      <x:c r="B116" s="100" t="n">
        <x:f>INDEX('Raw Stations'!$D$2:$D$299,MATCH(A116,'Raw Stations'!$A$2:$A$299,0))</x:f>
        <x:v>0.009131620025796459</x:v>
      </x:c>
      <x:c r="C116" s="100" t="n">
        <x:f>'Raw R'!L110</x:f>
        <x:v>-0.00681382237460678</x:v>
      </x:c>
      <x:c r="D116" s="100" t="n">
        <x:f>$B$2</x:f>
        <x:v>-0.01791329208576473</x:v>
      </x:c>
      <x:c r="E116" s="100" t="n">
        <x:f>C116-D116</x:f>
        <x:v>0.01109946971115795</x:v>
      </x:c>
      <x:c r="F116" s="100" t="n">
        <x:f>E116-B116</x:f>
        <x:v>0.0019678496853614905</x:v>
      </x:c>
      <x:c r="G116" s="100" t="n">
        <x:f>ABS(F116)</x:f>
        <x:v>0.0019678496853614905</x:v>
      </x:c>
      <x:c r="H116" s="100" t="n">
        <x:f>'Raw R'!N110</x:f>
        <x:v>0.9742947893178306</x:v>
      </x:c>
      <x:c r="I116" t="b">
        <x:f>'Raw R'!O110</x:f>
        <x:v>1</x:v>
      </x:c>
      <x:c r="J116" s="100" t="n">
        <x:f>IF(I116,B116,"")</x:f>
        <x:v>0.009131620025796459</x:v>
      </x:c>
      <x:c r="K116" s="100" t="n">
        <x:f>IF(I116,E116,"")</x:f>
        <x:v>0.01109946971115795</x:v>
      </x:c>
      <x:c r="L116" s="100" t="n">
        <x:f>IF(I116,G116,"")</x:f>
        <x:v>0.0019678496853614905</x:v>
      </x:c>
      <x:c r="M116" s="100" t="n">
        <x:f>IF(I116,F116^2,"")</x:f>
        <x:v>0.000003872432384177317</x:v>
      </x:c>
      <x:c r="N116" s="100" t="n">
        <x:f>IF(I116,F116,"")</x:f>
        <x:v>0.0019678496853614905</x:v>
      </x:c>
      <x:c r="P116" t="n">
        <x:f>J116</x:f>
        <x:v>0.009131620025796459</x:v>
      </x:c>
      <x:c r="Q116" t="n">
        <x:f>K116</x:f>
        <x:v>0.01109946971115795</x:v>
      </x:c>
    </x:row>
    <x:row r="117">
      <x:c r="A117" s="99" t="str">
        <x:f>'Raw R'!B111</x:f>
        <x:v>00151</x:v>
      </x:c>
      <x:c r="B117" s="100" t="n">
        <x:f>INDEX('Raw Stations'!$D$2:$D$299,MATCH(A117,'Raw Stations'!$A$2:$A$299,0))</x:f>
        <x:v>0.01418779123125887</x:v>
      </x:c>
      <x:c r="C117" s="100" t="n">
        <x:f>'Raw R'!L111</x:f>
        <x:v>-0.001757651169144368</x:v>
      </x:c>
      <x:c r="D117" s="100" t="n">
        <x:f>$B$2</x:f>
        <x:v>-0.01791329208576473</x:v>
      </x:c>
      <x:c r="E117" s="100" t="n">
        <x:f>C117-D117</x:f>
        <x:v>0.016155640916620362</x:v>
      </x:c>
      <x:c r="F117" s="100" t="n">
        <x:f>E117-B117</x:f>
        <x:v>0.001967849685361492</x:v>
      </x:c>
      <x:c r="G117" s="100" t="n">
        <x:f>ABS(F117)</x:f>
        <x:v>0.001967849685361492</x:v>
      </x:c>
      <x:c r="H117" s="100" t="n">
        <x:f>'Raw R'!N111</x:f>
        <x:v>0.9677025671795428</x:v>
      </x:c>
      <x:c r="I117" t="b">
        <x:f>'Raw R'!O111</x:f>
        <x:v>1</x:v>
      </x:c>
      <x:c r="J117" s="100" t="n">
        <x:f>IF(I117,B117,"")</x:f>
        <x:v>0.01418779123125887</x:v>
      </x:c>
      <x:c r="K117" s="100" t="n">
        <x:f>IF(I117,E117,"")</x:f>
        <x:v>0.016155640916620362</x:v>
      </x:c>
      <x:c r="L117" s="100" t="n">
        <x:f>IF(I117,G117,"")</x:f>
        <x:v>0.001967849685361492</x:v>
      </x:c>
      <x:c r="M117" s="100" t="n">
        <x:f>IF(I117,F117^2,"")</x:f>
        <x:v>0.000003872432384177324</x:v>
      </x:c>
      <x:c r="N117" s="100" t="n">
        <x:f>IF(I117,F117,"")</x:f>
        <x:v>0.001967849685361492</x:v>
      </x:c>
      <x:c r="P117" t="n">
        <x:f>J117</x:f>
        <x:v>0.01418779123125887</x:v>
      </x:c>
      <x:c r="Q117" t="n">
        <x:f>K117</x:f>
        <x:v>0.016155640916620362</x:v>
      </x:c>
    </x:row>
    <x:row r="118">
      <x:c r="A118" s="99" t="str">
        <x:f>'Raw R'!B112</x:f>
        <x:v>00152</x:v>
      </x:c>
      <x:c r="B118" s="100" t="n">
        <x:f>INDEX('Raw Stations'!$D$2:$D$299,MATCH(A118,'Raw Stations'!$A$2:$A$299,0))</x:f>
        <x:v>0.009298753097606798</x:v>
      </x:c>
      <x:c r="C118" s="100" t="n">
        <x:f>'Raw R'!L112</x:f>
        <x:v>-0.008367958942649502</x:v>
      </x:c>
      <x:c r="D118" s="100" t="n">
        <x:f>$B$2</x:f>
        <x:v>-0.01791329208576473</x:v>
      </x:c>
      <x:c r="E118" s="100" t="n">
        <x:f>C118-D118</x:f>
        <x:v>0.009545333143115228</x:v>
      </x:c>
      <x:c r="F118" s="100" t="n">
        <x:f>E118-B118</x:f>
        <x:v>0.0002465800455084301</x:v>
      </x:c>
      <x:c r="G118" s="100" t="n">
        <x:f>ABS(F118)</x:f>
        <x:v>0.0002465800455084301</x:v>
      </x:c>
      <x:c r="H118" s="100" t="n">
        <x:f>'Raw R'!N112</x:f>
        <x:v>0.9625231463651801</x:v>
      </x:c>
      <x:c r="I118" t="b">
        <x:f>'Raw R'!O112</x:f>
        <x:v>1</x:v>
      </x:c>
      <x:c r="J118" s="100" t="n">
        <x:f>IF(I118,B118,"")</x:f>
        <x:v>0.009298753097606798</x:v>
      </x:c>
      <x:c r="K118" s="100" t="n">
        <x:f>IF(I118,E118,"")</x:f>
        <x:v>0.009545333143115228</x:v>
      </x:c>
      <x:c r="L118" s="100" t="n">
        <x:f>IF(I118,G118,"")</x:f>
        <x:v>0.0002465800455084301</x:v>
      </x:c>
      <x:c r="M118" s="100" t="n">
        <x:f>IF(I118,F118^2,"")</x:f>
        <x:v>6.080171884293945e-8</x:v>
      </x:c>
      <x:c r="N118" s="100" t="n">
        <x:f>IF(I118,F118,"")</x:f>
        <x:v>0.0002465800455084301</x:v>
      </x:c>
      <x:c r="P118" t="n">
        <x:f>J118</x:f>
        <x:v>0.009298753097606798</x:v>
      </x:c>
      <x:c r="Q118" t="n">
        <x:f>K118</x:f>
        <x:v>0.009545333143115228</x:v>
      </x:c>
    </x:row>
    <x:row r="119">
      <x:c r="A119" s="99" t="str">
        <x:f>'Raw R'!B113</x:f>
        <x:v>00153</x:v>
      </x:c>
      <x:c r="B119" s="100" t="n">
        <x:f>INDEX('Raw Stations'!$D$2:$D$299,MATCH(A119,'Raw Stations'!$A$2:$A$299,0))</x:f>
        <x:v>0.008459962962277095</x:v>
      </x:c>
      <x:c r="C119" s="100" t="n">
        <x:f>'Raw R'!L113</x:f>
        <x:v>-0.01105868290753296</x:v>
      </x:c>
      <x:c r="D119" s="100" t="n">
        <x:f>$B$2</x:f>
        <x:v>-0.01791329208576473</x:v>
      </x:c>
      <x:c r="E119" s="100" t="n">
        <x:f>C119-D119</x:f>
        <x:v>0.006854609178231769</x:v>
      </x:c>
      <x:c r="F119" s="100" t="n">
        <x:f>E119-B119</x:f>
        <x:v>-0.0016053537840453255</x:v>
      </x:c>
      <x:c r="G119" s="100" t="n">
        <x:f>ABS(F119)</x:f>
        <x:v>0.0016053537840453255</x:v>
      </x:c>
      <x:c r="H119" s="100" t="n">
        <x:f>'Raw R'!N113</x:f>
        <x:v>0.9823473211135939</x:v>
      </x:c>
      <x:c r="I119" t="b">
        <x:f>'Raw R'!O113</x:f>
        <x:v>1</x:v>
      </x:c>
      <x:c r="J119" s="100" t="n">
        <x:f>IF(I119,B119,"")</x:f>
        <x:v>0.008459962962277095</x:v>
      </x:c>
      <x:c r="K119" s="100" t="n">
        <x:f>IF(I119,E119,"")</x:f>
        <x:v>0.006854609178231769</x:v>
      </x:c>
      <x:c r="L119" s="100" t="n">
        <x:f>IF(I119,G119,"")</x:f>
        <x:v>0.0016053537840453255</x:v>
      </x:c>
      <x:c r="M119" s="100" t="n">
        <x:f>IF(I119,F119^2,"")</x:f>
        <x:v>0.0000025771607719486457</x:v>
      </x:c>
      <x:c r="N119" s="100" t="n">
        <x:f>IF(I119,F119,"")</x:f>
        <x:v>-0.0016053537840453255</x:v>
      </x:c>
      <x:c r="P119" t="n">
        <x:f>J119</x:f>
        <x:v>0.008459962962277095</x:v>
      </x:c>
      <x:c r="Q119" t="n">
        <x:f>K119</x:f>
        <x:v>0.006854609178231769</x:v>
      </x:c>
    </x:row>
    <x:row r="120">
      <x:c r="A120" s="99" t="str">
        <x:f>'Raw R'!B114</x:f>
        <x:v>00155</x:v>
      </x:c>
      <x:c r="B120" s="100" t="n">
        <x:f>INDEX('Raw Stations'!$D$2:$D$299,MATCH(A120,'Raw Stations'!$A$2:$A$299,0))</x:f>
        <x:v>0.02223076330157774</x:v>
      </x:c>
      <x:c r="C120" s="100" t="n">
        <x:f>'Raw R'!L114</x:f>
        <x:v>0.002712117431767681</x:v>
      </x:c>
      <x:c r="D120" s="100" t="n">
        <x:f>$B$2</x:f>
        <x:v>-0.01791329208576473</x:v>
      </x:c>
      <x:c r="E120" s="100" t="n">
        <x:f>C120-D120</x:f>
        <x:v>0.02062540951753241</x:v>
      </x:c>
      <x:c r="F120" s="100" t="n">
        <x:f>E120-B120</x:f>
        <x:v>-0.001605353784045329</x:v>
      </x:c>
      <x:c r="G120" s="100" t="n">
        <x:f>ABS(F120)</x:f>
        <x:v>0.001605353784045329</x:v>
      </x:c>
      <x:c r="H120" s="100" t="n">
        <x:f>'Raw R'!N114</x:f>
        <x:v>0.9166156376787834</x:v>
      </x:c>
      <x:c r="I120" t="b">
        <x:f>'Raw R'!O114</x:f>
        <x:v>1</x:v>
      </x:c>
      <x:c r="J120" s="100" t="n">
        <x:f>IF(I120,B120,"")</x:f>
        <x:v>0.02223076330157774</x:v>
      </x:c>
      <x:c r="K120" s="100" t="n">
        <x:f>IF(I120,E120,"")</x:f>
        <x:v>0.02062540951753241</x:v>
      </x:c>
      <x:c r="L120" s="100" t="n">
        <x:f>IF(I120,G120,"")</x:f>
        <x:v>0.001605353784045329</x:v>
      </x:c>
      <x:c r="M120" s="100" t="n">
        <x:f>IF(I120,F120^2,"")</x:f>
        <x:v>0.0000025771607719486568</x:v>
      </x:c>
      <x:c r="N120" s="100" t="n">
        <x:f>IF(I120,F120,"")</x:f>
        <x:v>-0.001605353784045329</x:v>
      </x:c>
      <x:c r="P120" t="n">
        <x:f>J120</x:f>
        <x:v>0.02223076330157774</x:v>
      </x:c>
      <x:c r="Q120" t="n">
        <x:f>K120</x:f>
        <x:v>0.02062540951753241</x:v>
      </x:c>
    </x:row>
    <x:row r="121">
      <x:c r="A121" s="99" t="str">
        <x:f>'Raw R'!B115</x:f>
        <x:v>00156</x:v>
      </x:c>
      <x:c r="B121" s="100" t="n">
        <x:f>INDEX('Raw Stations'!$D$2:$D$299,MATCH(A121,'Raw Stations'!$A$2:$A$299,0))</x:f>
        <x:v>0.008486234802744842</x:v>
      </x:c>
      <x:c r="C121" s="100" t="n">
        <x:f>'Raw R'!L115</x:f>
        <x:v>-0.01300922498805069</x:v>
      </x:c>
      <x:c r="D121" s="100" t="n">
        <x:f>$B$2</x:f>
        <x:v>-0.01791329208576473</x:v>
      </x:c>
      <x:c r="E121" s="100" t="n">
        <x:f>C121-D121</x:f>
        <x:v>0.00490406709771404</x:v>
      </x:c>
      <x:c r="F121" s="100" t="n">
        <x:f>E121-B121</x:f>
        <x:v>-0.003582167705030802</x:v>
      </x:c>
      <x:c r="G121" s="100" t="n">
        <x:f>ABS(F121)</x:f>
        <x:v>0.003582167705030802</x:v>
      </x:c>
      <x:c r="H121" s="100" t="n">
        <x:f>'Raw R'!N115</x:f>
        <x:v>0.9566267815089344</x:v>
      </x:c>
      <x:c r="I121" t="b">
        <x:f>'Raw R'!O115</x:f>
        <x:v>1</x:v>
      </x:c>
      <x:c r="J121" s="100" t="n">
        <x:f>IF(I121,B121,"")</x:f>
        <x:v>0.008486234802744842</x:v>
      </x:c>
      <x:c r="K121" s="100" t="n">
        <x:f>IF(I121,E121,"")</x:f>
        <x:v>0.00490406709771404</x:v>
      </x:c>
      <x:c r="L121" s="100" t="n">
        <x:f>IF(I121,G121,"")</x:f>
        <x:v>0.003582167705030802</x:v>
      </x:c>
      <x:c r="M121" s="100" t="n">
        <x:f>IF(I121,F121^2,"")</x:f>
        <x:v>0.000012831925466965642</x:v>
      </x:c>
      <x:c r="N121" s="100" t="n">
        <x:f>IF(I121,F121,"")</x:f>
        <x:v>-0.003582167705030802</x:v>
      </x:c>
      <x:c r="P121" t="n">
        <x:f>J121</x:f>
        <x:v>0.008486234802744842</x:v>
      </x:c>
      <x:c r="Q121" t="n">
        <x:f>K121</x:f>
        <x:v>0.00490406709771404</x:v>
      </x:c>
    </x:row>
    <x:row r="122">
      <x:c r="A122" s="99" t="str">
        <x:f>'Raw R'!B116</x:f>
        <x:v>00157</x:v>
      </x:c>
      <x:c r="B122" s="100" t="n">
        <x:f>INDEX('Raw Stations'!$D$2:$D$299,MATCH(A122,'Raw Stations'!$A$2:$A$299,0))</x:f>
        <x:v>0.01668834420464577</x:v>
      </x:c>
      <x:c r="C122" s="100" t="n">
        <x:f>'Raw R'!L116</x:f>
        <x:v>-0.01318479630279158</x:v>
      </x:c>
      <x:c r="D122" s="100" t="n">
        <x:f>$B$2</x:f>
        <x:v>-0.01791329208576473</x:v>
      </x:c>
      <x:c r="E122" s="100" t="n">
        <x:f>C122-D122</x:f>
        <x:v>0.004728495782973149</x:v>
      </x:c>
      <x:c r="F122" s="100" t="n">
        <x:f>E122-B122</x:f>
        <x:v>-0.01195984842167262</x:v>
      </x:c>
      <x:c r="G122" s="100" t="n">
        <x:f>ABS(F122)</x:f>
        <x:v>0.01195984842167262</x:v>
      </x:c>
      <x:c r="H122" s="100" t="n">
        <x:f>'Raw R'!N116</x:f>
        <x:v>0.8046494929821008</x:v>
      </x:c>
      <x:c r="I122" t="b">
        <x:f>'Raw R'!O116</x:f>
        <x:v>1</x:v>
      </x:c>
      <x:c r="J122" s="100" t="n">
        <x:f>IF(I122,B122,"")</x:f>
        <x:v>0.01668834420464577</x:v>
      </x:c>
      <x:c r="K122" s="100" t="n">
        <x:f>IF(I122,E122,"")</x:f>
        <x:v>0.004728495782973149</x:v>
      </x:c>
      <x:c r="L122" s="100" t="n">
        <x:f>IF(I122,G122,"")</x:f>
        <x:v>0.01195984842167262</x:v>
      </x:c>
      <x:c r="M122" s="100" t="n">
        <x:f>IF(I122,F122^2,"")</x:f>
        <x:v>0.00014303797426938508</x:v>
      </x:c>
      <x:c r="N122" s="100" t="n">
        <x:f>IF(I122,F122,"")</x:f>
        <x:v>-0.01195984842167262</x:v>
      </x:c>
      <x:c r="P122" t="n">
        <x:f>J122</x:f>
        <x:v>0.01668834420464577</x:v>
      </x:c>
      <x:c r="Q122" t="n">
        <x:f>K122</x:f>
        <x:v>0.004728495782973149</x:v>
      </x:c>
    </x:row>
    <x:row r="123">
      <x:c r="A123" s="99" t="str">
        <x:f>'Raw R'!B117</x:f>
        <x:v>00158</x:v>
      </x:c>
      <x:c r="B123" s="100" t="n">
        <x:f>INDEX('Raw Stations'!$D$2:$D$299,MATCH(A123,'Raw Stations'!$A$2:$A$299,0))</x:f>
        <x:v>-0.012951444958942</x:v>
      </x:c>
      <x:c r="C123" s="100" t="n">
        <x:f>'Raw R'!L117</x:f>
        <x:v>-0.03371482533173244</x:v>
      </x:c>
      <x:c r="D123" s="100" t="n">
        <x:f>$B$2</x:f>
        <x:v>-0.01791329208576473</x:v>
      </x:c>
      <x:c r="E123" s="100" t="n">
        <x:f>C123-D123</x:f>
        <x:v>-0.015801533245967708</x:v>
      </x:c>
      <x:c r="F123" s="100" t="n">
        <x:f>E123-B123</x:f>
        <x:v>-0.0028500882870257076</x:v>
      </x:c>
      <x:c r="G123" s="100" t="n">
        <x:f>ABS(F123)</x:f>
        <x:v>0.0028500882870257076</x:v>
      </x:c>
      <x:c r="H123" s="100" t="n">
        <x:f>'Raw R'!N117</x:f>
        <x:v>0.8407818853388842</x:v>
      </x:c>
      <x:c r="I123" t="b">
        <x:f>'Raw R'!O117</x:f>
        <x:v>1</x:v>
      </x:c>
      <x:c r="J123" s="100" t="n">
        <x:f>IF(I123,B123,"")</x:f>
        <x:v>-0.012951444958942</x:v>
      </x:c>
      <x:c r="K123" s="100" t="n">
        <x:f>IF(I123,E123,"")</x:f>
        <x:v>-0.015801533245967708</x:v>
      </x:c>
      <x:c r="L123" s="100" t="n">
        <x:f>IF(I123,G123,"")</x:f>
        <x:v>0.0028500882870257076</x:v>
      </x:c>
      <x:c r="M123" s="100" t="n">
        <x:f>IF(I123,F123^2,"")</x:f>
        <x:v>0.000008123003243841133</x:v>
      </x:c>
      <x:c r="N123" s="100" t="n">
        <x:f>IF(I123,F123,"")</x:f>
        <x:v>-0.0028500882870257076</x:v>
      </x:c>
      <x:c r="P123" t="n">
        <x:f>J123</x:f>
        <x:v>-0.012951444958942</x:v>
      </x:c>
      <x:c r="Q123" t="n">
        <x:f>K123</x:f>
        <x:v>-0.015801533245967708</x:v>
      </x:c>
    </x:row>
    <x:row r="124">
      <x:c r="A124" s="99" t="str">
        <x:f>'Raw R'!B118</x:f>
        <x:v>00160</x:v>
      </x:c>
      <x:c r="B124" s="100" t="n">
        <x:f>INDEX('Raw Stations'!$D$2:$D$299,MATCH(A124,'Raw Stations'!$A$2:$A$299,0))</x:f>
        <x:v>-0.01501962920241523</x:v>
      </x:c>
      <x:c r="C124" s="100" t="n">
        <x:f>'Raw R'!L118</x:f>
        <x:v>-0.04231369916830276</x:v>
      </x:c>
      <x:c r="D124" s="100" t="n">
        <x:f>$B$2</x:f>
        <x:v>-0.01791329208576473</x:v>
      </x:c>
      <x:c r="E124" s="100" t="n">
        <x:f>C124-D124</x:f>
        <x:v>-0.024400407082538027</x:v>
      </x:c>
      <x:c r="F124" s="100" t="n">
        <x:f>E124-B124</x:f>
        <x:v>-0.009380777880122797</x:v>
      </x:c>
      <x:c r="G124" s="100" t="n">
        <x:f>ABS(F124)</x:f>
        <x:v>0.009380777880122797</x:v>
      </x:c>
      <x:c r="H124" s="100" t="n">
        <x:f>'Raw R'!N118</x:f>
        <x:v>0.7496649655849519</x:v>
      </x:c>
      <x:c r="I124" t="b">
        <x:f>'Raw R'!O118</x:f>
        <x:v>1</x:v>
      </x:c>
      <x:c r="J124" s="100" t="n">
        <x:f>IF(I124,B124,"")</x:f>
        <x:v>-0.01501962920241523</x:v>
      </x:c>
      <x:c r="K124" s="100" t="n">
        <x:f>IF(I124,E124,"")</x:f>
        <x:v>-0.024400407082538027</x:v>
      </x:c>
      <x:c r="L124" s="100" t="n">
        <x:f>IF(I124,G124,"")</x:f>
        <x:v>0.009380777880122797</x:v>
      </x:c>
      <x:c r="M124" s="100" t="n">
        <x:f>IF(I124,F124^2,"")</x:f>
        <x:v>0.00008799899363620117</x:v>
      </x:c>
      <x:c r="N124" s="100" t="n">
        <x:f>IF(I124,F124,"")</x:f>
        <x:v>-0.009380777880122797</x:v>
      </x:c>
      <x:c r="P124" t="n">
        <x:f>J124</x:f>
        <x:v>-0.01501962920241523</x:v>
      </x:c>
      <x:c r="Q124" t="n">
        <x:f>K124</x:f>
        <x:v>-0.024400407082538027</x:v>
      </x:c>
    </x:row>
    <x:row r="125">
      <x:c r="A125" s="99" t="str">
        <x:f>'Raw R'!B119</x:f>
        <x:v>00162</x:v>
      </x:c>
      <x:c r="B125" s="100" t="n">
        <x:f>INDEX('Raw Stations'!$D$2:$D$299,MATCH(A125,'Raw Stations'!$A$2:$A$299,0))</x:f>
        <x:v>-0.01164070995954073</x:v>
      </x:c>
      <x:c r="C125" s="100" t="n">
        <x:f>'Raw R'!L119</x:f>
        <x:v>-0.0311062365579317</x:v>
      </x:c>
      <x:c r="D125" s="100" t="n">
        <x:f>$B$2</x:f>
        <x:v>-0.01791329208576473</x:v>
      </x:c>
      <x:c r="E125" s="100" t="n">
        <x:f>C125-D125</x:f>
        <x:v>-0.01319294447216697</x:v>
      </x:c>
      <x:c r="F125" s="100" t="n">
        <x:f>E125-B125</x:f>
        <x:v>-0.0015522345126262396</x:v>
      </x:c>
      <x:c r="G125" s="100" t="n">
        <x:f>ABS(F125)</x:f>
        <x:v>0.0015522345126262396</x:v>
      </x:c>
      <x:c r="H125" s="100" t="n">
        <x:f>'Raw R'!N119</x:f>
        <x:v>0.962853971951535</x:v>
      </x:c>
      <x:c r="I125" t="b">
        <x:f>'Raw R'!O119</x:f>
        <x:v>1</x:v>
      </x:c>
      <x:c r="J125" s="100" t="n">
        <x:f>IF(I125,B125,"")</x:f>
        <x:v>-0.01164070995954073</x:v>
      </x:c>
      <x:c r="K125" s="100" t="n">
        <x:f>IF(I125,E125,"")</x:f>
        <x:v>-0.01319294447216697</x:v>
      </x:c>
      <x:c r="L125" s="100" t="n">
        <x:f>IF(I125,G125,"")</x:f>
        <x:v>0.0015522345126262396</x:v>
      </x:c>
      <x:c r="M125" s="100" t="n">
        <x:f>IF(I125,F125^2,"")</x:f>
        <x:v>0.0000024094319821880196</x:v>
      </x:c>
      <x:c r="N125" s="100" t="n">
        <x:f>IF(I125,F125,"")</x:f>
        <x:v>-0.0015522345126262396</x:v>
      </x:c>
      <x:c r="P125" t="n">
        <x:f>J125</x:f>
        <x:v>-0.01164070995954073</x:v>
      </x:c>
      <x:c r="Q125" t="n">
        <x:f>K125</x:f>
        <x:v>-0.01319294447216697</x:v>
      </x:c>
    </x:row>
    <x:row r="126">
      <x:c r="A126" s="99" t="str">
        <x:f>'Raw R'!B120</x:f>
        <x:v>00163</x:v>
      </x:c>
      <x:c r="B126" s="100" t="n">
        <x:f>INDEX('Raw Stations'!$D$2:$D$299,MATCH(A126,'Raw Stations'!$A$2:$A$299,0))</x:f>
        <x:v>-0.005360337288270491</x:v>
      </x:c>
      <x:c r="C126" s="100" t="n">
        <x:f>'Raw R'!L120</x:f>
        <x:v>-0.02387068581380797</x:v>
      </x:c>
      <x:c r="D126" s="100" t="n">
        <x:f>$B$2</x:f>
        <x:v>-0.01791329208576473</x:v>
      </x:c>
      <x:c r="E126" s="100" t="n">
        <x:f>C126-D126</x:f>
        <x:v>-0.005957393728043242</x:v>
      </x:c>
      <x:c r="F126" s="100" t="n">
        <x:f>E126-B126</x:f>
        <x:v>-0.0005970564397727507</x:v>
      </x:c>
      <x:c r="G126" s="100" t="n">
        <x:f>ABS(F126)</x:f>
        <x:v>0.0005970564397727507</x:v>
      </x:c>
      <x:c r="H126" s="100" t="n">
        <x:f>'Raw R'!N120</x:f>
        <x:v>0.975171401057849</x:v>
      </x:c>
      <x:c r="I126" t="b">
        <x:f>'Raw R'!O120</x:f>
        <x:v>1</x:v>
      </x:c>
      <x:c r="J126" s="100" t="n">
        <x:f>IF(I126,B126,"")</x:f>
        <x:v>-0.005360337288270491</x:v>
      </x:c>
      <x:c r="K126" s="100" t="n">
        <x:f>IF(I126,E126,"")</x:f>
        <x:v>-0.005957393728043242</x:v>
      </x:c>
      <x:c r="L126" s="100" t="n">
        <x:f>IF(I126,G126,"")</x:f>
        <x:v>0.0005970564397727507</x:v>
      </x:c>
      <x:c r="M126" s="100" t="n">
        <x:f>IF(I126,F126^2,"")</x:f>
        <x:v>3.564763922741122e-7</x:v>
      </x:c>
      <x:c r="N126" s="100" t="n">
        <x:f>IF(I126,F126,"")</x:f>
        <x:v>-0.0005970564397727507</x:v>
      </x:c>
      <x:c r="P126" t="n">
        <x:f>J126</x:f>
        <x:v>-0.005360337288270491</x:v>
      </x:c>
      <x:c r="Q126" t="n">
        <x:f>K126</x:f>
        <x:v>-0.005957393728043242</x:v>
      </x:c>
    </x:row>
    <x:row r="127">
      <x:c r="A127" s="99" t="str">
        <x:f>'Raw R'!B121</x:f>
        <x:v>00164</x:v>
      </x:c>
      <x:c r="B127" s="100" t="n">
        <x:f>INDEX('Raw Stations'!$D$2:$D$299,MATCH(A127,'Raw Stations'!$A$2:$A$299,0))</x:f>
        <x:v>0.009066754401085238</x:v>
      </x:c>
      <x:c r="C127" s="100" t="n">
        <x:f>'Raw R'!L121</x:f>
        <x:v>-0.008756781507963184</x:v>
      </x:c>
      <x:c r="D127" s="100" t="n">
        <x:f>$B$2</x:f>
        <x:v>-0.01791329208576473</x:v>
      </x:c>
      <x:c r="E127" s="100" t="n">
        <x:f>C127-D127</x:f>
        <x:v>0.009156510577801546</x:v>
      </x:c>
      <x:c r="F127" s="100" t="n">
        <x:f>E127-B127</x:f>
        <x:v>0.00008975617671630812</x:v>
      </x:c>
      <x:c r="G127" s="100" t="n">
        <x:f>ABS(F127)</x:f>
        <x:v>0.00008975617671630812</x:v>
      </x:c>
      <x:c r="H127" s="100" t="n">
        <x:f>'Raw R'!N121</x:f>
        <x:v>0.9876324365626554</x:v>
      </x:c>
      <x:c r="I127" t="b">
        <x:f>'Raw R'!O121</x:f>
        <x:v>1</x:v>
      </x:c>
      <x:c r="J127" s="100" t="n">
        <x:f>IF(I127,B127,"")</x:f>
        <x:v>0.009066754401085238</x:v>
      </x:c>
      <x:c r="K127" s="100" t="n">
        <x:f>IF(I127,E127,"")</x:f>
        <x:v>0.009156510577801546</x:v>
      </x:c>
      <x:c r="L127" s="100" t="n">
        <x:f>IF(I127,G127,"")</x:f>
        <x:v>0.00008975617671630812</x:v>
      </x:c>
      <x:c r="M127" s="100" t="n">
        <x:f>IF(I127,F127^2,"")</x:f>
        <x:v>8.056171258729131e-9</x:v>
      </x:c>
      <x:c r="N127" s="100" t="n">
        <x:f>IF(I127,F127,"")</x:f>
        <x:v>0.00008975617671630812</x:v>
      </x:c>
      <x:c r="P127" t="n">
        <x:f>J127</x:f>
        <x:v>0.009066754401085238</x:v>
      </x:c>
      <x:c r="Q127" t="n">
        <x:f>K127</x:f>
        <x:v>0.009156510577801546</x:v>
      </x:c>
    </x:row>
    <x:row r="128">
      <x:c r="A128" s="99" t="str">
        <x:f>'Raw R'!B122</x:f>
        <x:v>00165</x:v>
      </x:c>
      <x:c r="B128" s="100" t="n">
        <x:f>INDEX('Raw Stations'!$D$2:$D$299,MATCH(A128,'Raw Stations'!$A$2:$A$299,0))</x:f>
        <x:v>0.01762817250118931</x:v>
      </x:c>
      <x:c r="C128" s="100" t="n">
        <x:f>'Raw R'!L122</x:f>
        <x:v>0.0008647921283988676</x:v>
      </x:c>
      <x:c r="D128" s="100" t="n">
        <x:f>$B$2</x:f>
        <x:v>-0.01791329208576473</x:v>
      </x:c>
      <x:c r="E128" s="100" t="n">
        <x:f>C128-D128</x:f>
        <x:v>0.018778084214163597</x:v>
      </x:c>
      <x:c r="F128" s="100" t="n">
        <x:f>E128-B128</x:f>
        <x:v>0.0011499117129742872</x:v>
      </x:c>
      <x:c r="G128" s="100" t="n">
        <x:f>ABS(F128)</x:f>
        <x:v>0.0011499117129742872</x:v>
      </x:c>
      <x:c r="H128" s="100" t="n">
        <x:f>'Raw R'!N122</x:f>
        <x:v>0.9722807792795267</x:v>
      </x:c>
      <x:c r="I128" t="b">
        <x:f>'Raw R'!O122</x:f>
        <x:v>1</x:v>
      </x:c>
      <x:c r="J128" s="100" t="n">
        <x:f>IF(I128,B128,"")</x:f>
        <x:v>0.01762817250118931</x:v>
      </x:c>
      <x:c r="K128" s="100" t="n">
        <x:f>IF(I128,E128,"")</x:f>
        <x:v>0.018778084214163597</x:v>
      </x:c>
      <x:c r="L128" s="100" t="n">
        <x:f>IF(I128,G128,"")</x:f>
        <x:v>0.0011499117129742872</x:v>
      </x:c>
      <x:c r="M128" s="100" t="n">
        <x:f>IF(I128,F128^2,"")</x:f>
        <x:v>0.0000013222969476354596</x:v>
      </x:c>
      <x:c r="N128" s="100" t="n">
        <x:f>IF(I128,F128,"")</x:f>
        <x:v>0.0011499117129742872</x:v>
      </x:c>
      <x:c r="P128" t="n">
        <x:f>J128</x:f>
        <x:v>0.01762817250118931</x:v>
      </x:c>
      <x:c r="Q128" t="n">
        <x:f>K128</x:f>
        <x:v>0.018778084214163597</x:v>
      </x:c>
    </x:row>
    <x:row r="129">
      <x:c r="A129" s="99" t="str">
        <x:f>'Raw R'!B123</x:f>
        <x:v>00166</x:v>
      </x:c>
      <x:c r="B129" s="100" t="n">
        <x:f>INDEX('Raw Stations'!$D$2:$D$299,MATCH(A129,'Raw Stations'!$A$2:$A$299,0))</x:f>
        <x:v>0.009613964970582822</x:v>
      </x:c>
      <x:c r="C129" s="100" t="n">
        <x:f>'Raw R'!L123</x:f>
        <x:v>-0.006844578672757323</x:v>
      </x:c>
      <x:c r="D129" s="100" t="n">
        <x:f>$B$2</x:f>
        <x:v>-0.01791329208576473</x:v>
      </x:c>
      <x:c r="E129" s="100" t="n">
        <x:f>C129-D129</x:f>
        <x:v>0.011068713413007407</x:v>
      </x:c>
      <x:c r="F129" s="100" t="n">
        <x:f>E129-B129</x:f>
        <x:v>0.0014547484424245853</x:v>
      </x:c>
      <x:c r="G129" s="100" t="n">
        <x:f>ABS(F129)</x:f>
        <x:v>0.0014547484424245853</x:v>
      </x:c>
      <x:c r="H129" s="100" t="n">
        <x:f>'Raw R'!N123</x:f>
        <x:v>0.9715180033128759</x:v>
      </x:c>
      <x:c r="I129" t="b">
        <x:f>'Raw R'!O123</x:f>
        <x:v>1</x:v>
      </x:c>
      <x:c r="J129" s="100" t="n">
        <x:f>IF(I129,B129,"")</x:f>
        <x:v>0.009613964970582822</x:v>
      </x:c>
      <x:c r="K129" s="100" t="n">
        <x:f>IF(I129,E129,"")</x:f>
        <x:v>0.011068713413007407</x:v>
      </x:c>
      <x:c r="L129" s="100" t="n">
        <x:f>IF(I129,G129,"")</x:f>
        <x:v>0.0014547484424245853</x:v>
      </x:c>
      <x:c r="M129" s="100" t="n">
        <x:f>IF(I129,F129^2,"")</x:f>
        <x:v>0.000002116293030736757</x:v>
      </x:c>
      <x:c r="N129" s="100" t="n">
        <x:f>IF(I129,F129,"")</x:f>
        <x:v>0.0014547484424245853</x:v>
      </x:c>
      <x:c r="P129" t="n">
        <x:f>J129</x:f>
        <x:v>0.009613964970582822</x:v>
      </x:c>
      <x:c r="Q129" t="n">
        <x:f>K129</x:f>
        <x:v>0.011068713413007407</x:v>
      </x:c>
    </x:row>
    <x:row r="130">
      <x:c r="A130" s="99" t="str">
        <x:f>'Raw R'!B124</x:f>
        <x:v>00167</x:v>
      </x:c>
      <x:c r="B130" s="100" t="n">
        <x:f>INDEX('Raw Stations'!$D$2:$D$299,MATCH(A130,'Raw Stations'!$A$2:$A$299,0))</x:f>
        <x:v>0.008180611803975802</x:v>
      </x:c>
      <x:c r="C130" s="100" t="n">
        <x:f>'Raw R'!L124</x:f>
        <x:v>-0.007284914794415166</x:v>
      </x:c>
      <x:c r="D130" s="100" t="n">
        <x:f>$B$2</x:f>
        <x:v>-0.01791329208576473</x:v>
      </x:c>
      <x:c r="E130" s="100" t="n">
        <x:f>C130-D130</x:f>
        <x:v>0.010628377291349564</x:v>
      </x:c>
      <x:c r="F130" s="100" t="n">
        <x:f>E130-B130</x:f>
        <x:v>0.002447765487373762</x:v>
      </x:c>
      <x:c r="G130" s="100" t="n">
        <x:f>ABS(F130)</x:f>
        <x:v>0.002447765487373762</x:v>
      </x:c>
      <x:c r="H130" s="100" t="n">
        <x:f>'Raw R'!N124</x:f>
        <x:v>0.9357976854884508</x:v>
      </x:c>
      <x:c r="I130" t="b">
        <x:f>'Raw R'!O124</x:f>
        <x:v>1</x:v>
      </x:c>
      <x:c r="J130" s="100" t="n">
        <x:f>IF(I130,B130,"")</x:f>
        <x:v>0.008180611803975802</x:v>
      </x:c>
      <x:c r="K130" s="100" t="n">
        <x:f>IF(I130,E130,"")</x:f>
        <x:v>0.010628377291349564</x:v>
      </x:c>
      <x:c r="L130" s="100" t="n">
        <x:f>IF(I130,G130,"")</x:f>
        <x:v>0.002447765487373762</x:v>
      </x:c>
      <x:c r="M130" s="100" t="n">
        <x:f>IF(I130,F130^2,"")</x:f>
        <x:v>0.0000059915558811781114</x:v>
      </x:c>
      <x:c r="N130" s="100" t="n">
        <x:f>IF(I130,F130,"")</x:f>
        <x:v>0.002447765487373762</x:v>
      </x:c>
      <x:c r="P130" t="n">
        <x:f>J130</x:f>
        <x:v>0.008180611803975802</x:v>
      </x:c>
      <x:c r="Q130" t="n">
        <x:f>K130</x:f>
        <x:v>0.010628377291349564</x:v>
      </x:c>
    </x:row>
    <x:row r="131">
      <x:c r="A131" s="99" t="str">
        <x:f>'Raw R'!B125</x:f>
        <x:v>00168</x:v>
      </x:c>
      <x:c r="B131" s="100" t="n">
        <x:f>INDEX('Raw Stations'!$D$2:$D$299,MATCH(A131,'Raw Stations'!$A$2:$A$299,0))</x:f>
        <x:v>0.008587878213091081</x:v>
      </x:c>
      <x:c r="C131" s="100" t="n">
        <x:f>'Raw R'!L125</x:f>
        <x:v>-0.0101635182655606</x:v>
      </x:c>
      <x:c r="D131" s="100" t="n">
        <x:f>$B$2</x:f>
        <x:v>-0.01791329208576473</x:v>
      </x:c>
      <x:c r="E131" s="100" t="n">
        <x:f>C131-D131</x:f>
        <x:v>0.00774977382020413</x:v>
      </x:c>
      <x:c r="F131" s="100" t="n">
        <x:f>E131-B131</x:f>
        <x:v>-0.0008381043928869514</x:v>
      </x:c>
      <x:c r="G131" s="100" t="n">
        <x:f>ABS(F131)</x:f>
        <x:v>0.0008381043928869514</x:v>
      </x:c>
      <x:c r="H131" s="100" t="n">
        <x:f>'Raw R'!N125</x:f>
        <x:v>0.9651802641303391</x:v>
      </x:c>
      <x:c r="I131" t="b">
        <x:f>'Raw R'!O125</x:f>
        <x:v>1</x:v>
      </x:c>
      <x:c r="J131" s="100" t="n">
        <x:f>IF(I131,B131,"")</x:f>
        <x:v>0.008587878213091081</x:v>
      </x:c>
      <x:c r="K131" s="100" t="n">
        <x:f>IF(I131,E131,"")</x:f>
        <x:v>0.00774977382020413</x:v>
      </x:c>
      <x:c r="L131" s="100" t="n">
        <x:f>IF(I131,G131,"")</x:f>
        <x:v>0.0008381043928869514</x:v>
      </x:c>
      <x:c r="M131" s="100" t="n">
        <x:f>IF(I131,F131^2,"")</x:f>
        <x:v>7.024189733764054e-7</x:v>
      </x:c>
      <x:c r="N131" s="100" t="n">
        <x:f>IF(I131,F131,"")</x:f>
        <x:v>-0.0008381043928869514</x:v>
      </x:c>
      <x:c r="P131" t="n">
        <x:f>J131</x:f>
        <x:v>0.008587878213091081</x:v>
      </x:c>
      <x:c r="Q131" t="n">
        <x:f>K131</x:f>
        <x:v>0.00774977382020413</x:v>
      </x:c>
    </x:row>
    <x:row r="132">
      <x:c r="A132" s="99" t="str">
        <x:f>'Raw R'!B126</x:f>
        <x:v>00169</x:v>
      </x:c>
      <x:c r="B132" s="100" t="n">
        <x:f>INDEX('Raw Stations'!$D$2:$D$299,MATCH(A132,'Raw Stations'!$A$2:$A$299,0))</x:f>
        <x:v>0.01140518142590066</x:v>
      </x:c>
      <x:c r="C132" s="100" t="n">
        <x:f>'Raw R'!L126</x:f>
        <x:v>-0.006418354483147766</x:v>
      </x:c>
      <x:c r="D132" s="100" t="n">
        <x:f>$B$2</x:f>
        <x:v>-0.01791329208576473</x:v>
      </x:c>
      <x:c r="E132" s="100" t="n">
        <x:f>C132-D132</x:f>
        <x:v>0.011494937602616963</x:v>
      </x:c>
      <x:c r="F132" s="100" t="n">
        <x:f>E132-B132</x:f>
        <x:v>0.00008975617671630291</x:v>
      </x:c>
      <x:c r="G132" s="100" t="n">
        <x:f>ABS(F132)</x:f>
        <x:v>0.00008975617671630291</x:v>
      </x:c>
      <x:c r="H132" s="100" t="n">
        <x:f>'Raw R'!N126</x:f>
        <x:v>0.9733751184986214</x:v>
      </x:c>
      <x:c r="I132" t="b">
        <x:f>'Raw R'!O126</x:f>
        <x:v>1</x:v>
      </x:c>
      <x:c r="J132" s="100" t="n">
        <x:f>IF(I132,B132,"")</x:f>
        <x:v>0.01140518142590066</x:v>
      </x:c>
      <x:c r="K132" s="100" t="n">
        <x:f>IF(I132,E132,"")</x:f>
        <x:v>0.011494937602616963</x:v>
      </x:c>
      <x:c r="L132" s="100" t="n">
        <x:f>IF(I132,G132,"")</x:f>
        <x:v>0.00008975617671630291</x:v>
      </x:c>
      <x:c r="M132" s="100" t="n">
        <x:f>IF(I132,F132^2,"")</x:f>
        <x:v>8.056171258728197e-9</x:v>
      </x:c>
      <x:c r="N132" s="100" t="n">
        <x:f>IF(I132,F132,"")</x:f>
        <x:v>0.00008975617671630291</x:v>
      </x:c>
      <x:c r="P132" t="n">
        <x:f>J132</x:f>
        <x:v>0.01140518142590066</x:v>
      </x:c>
      <x:c r="Q132" t="n">
        <x:f>K132</x:f>
        <x:v>0.011494937602616963</x:v>
      </x:c>
    </x:row>
    <x:row r="133">
      <x:c r="A133" s="99" t="str">
        <x:f>'Raw R'!B127</x:f>
        <x:v>00170</x:v>
      </x:c>
      <x:c r="B133" s="100" t="n">
        <x:f>INDEX('Raw Stations'!$D$2:$D$299,MATCH(A133,'Raw Stations'!$A$2:$A$299,0))</x:f>
        <x:v>0.02580311407847424</x:v>
      </x:c>
      <x:c r="C133" s="100" t="n">
        <x:f>'Raw R'!L127</x:f>
        <x:v>0.007979578169425822</x:v>
      </x:c>
      <x:c r="D133" s="100" t="n">
        <x:f>$B$2</x:f>
        <x:v>-0.01791329208576473</x:v>
      </x:c>
      <x:c r="E133" s="100" t="n">
        <x:f>C133-D133</x:f>
        <x:v>0.02589287025519055</x:v>
      </x:c>
      <x:c r="F133" s="100" t="n">
        <x:f>E133-B133</x:f>
        <x:v>0.00008975617671631159</x:v>
      </x:c>
      <x:c r="G133" s="100" t="n">
        <x:f>ABS(F133)</x:f>
        <x:v>0.00008975617671631159</x:v>
      </x:c>
      <x:c r="H133" s="100" t="n">
        <x:f>'Raw R'!N127</x:f>
        <x:v>0.964544042290584</x:v>
      </x:c>
      <x:c r="I133" t="b">
        <x:f>'Raw R'!O127</x:f>
        <x:v>1</x:v>
      </x:c>
      <x:c r="J133" s="100" t="n">
        <x:f>IF(I133,B133,"")</x:f>
        <x:v>0.02580311407847424</x:v>
      </x:c>
      <x:c r="K133" s="100" t="n">
        <x:f>IF(I133,E133,"")</x:f>
        <x:v>0.02589287025519055</x:v>
      </x:c>
      <x:c r="L133" s="100" t="n">
        <x:f>IF(I133,G133,"")</x:f>
        <x:v>0.00008975617671631159</x:v>
      </x:c>
      <x:c r="M133" s="100" t="n">
        <x:f>IF(I133,F133^2,"")</x:f>
        <x:v>8.056171258729753e-9</x:v>
      </x:c>
      <x:c r="N133" s="100" t="n">
        <x:f>IF(I133,F133,"")</x:f>
        <x:v>0.00008975617671631159</x:v>
      </x:c>
      <x:c r="P133" t="n">
        <x:f>J133</x:f>
        <x:v>0.02580311407847424</x:v>
      </x:c>
      <x:c r="Q133" t="n">
        <x:f>K133</x:f>
        <x:v>0.02589287025519055</x:v>
      </x:c>
    </x:row>
    <x:row r="134">
      <x:c r="A134" s="99" t="str">
        <x:f>'Raw R'!B128</x:f>
        <x:v>00172</x:v>
      </x:c>
      <x:c r="B134" s="100" t="n">
        <x:f>INDEX('Raw Stations'!$D$2:$D$299,MATCH(A134,'Raw Stations'!$A$2:$A$299,0))</x:f>
        <x:v>0.01661207426215918</x:v>
      </x:c>
      <x:c r="C134" s="100" t="n">
        <x:f>'Raw R'!L128</x:f>
        <x:v>-0.002906571607650878</x:v>
      </x:c>
      <x:c r="D134" s="100" t="n">
        <x:f>$B$2</x:f>
        <x:v>-0.01791329208576473</x:v>
      </x:c>
      <x:c r="E134" s="100" t="n">
        <x:f>C134-D134</x:f>
        <x:v>0.015006720478113852</x:v>
      </x:c>
      <x:c r="F134" s="100" t="n">
        <x:f>E134-B134</x:f>
        <x:v>-0.001605353784045329</x:v>
      </x:c>
      <x:c r="G134" s="100" t="n">
        <x:f>ABS(F134)</x:f>
        <x:v>0.001605353784045329</x:v>
      </x:c>
      <x:c r="H134" s="100" t="n">
        <x:f>'Raw R'!N128</x:f>
        <x:v>0.9059643390900509</x:v>
      </x:c>
      <x:c r="I134" t="b">
        <x:f>'Raw R'!O128</x:f>
        <x:v>1</x:v>
      </x:c>
      <x:c r="J134" s="100" t="n">
        <x:f>IF(I134,B134,"")</x:f>
        <x:v>0.01661207426215918</x:v>
      </x:c>
      <x:c r="K134" s="100" t="n">
        <x:f>IF(I134,E134,"")</x:f>
        <x:v>0.015006720478113852</x:v>
      </x:c>
      <x:c r="L134" s="100" t="n">
        <x:f>IF(I134,G134,"")</x:f>
        <x:v>0.001605353784045329</x:v>
      </x:c>
      <x:c r="M134" s="100" t="n">
        <x:f>IF(I134,F134^2,"")</x:f>
        <x:v>0.0000025771607719486568</x:v>
      </x:c>
      <x:c r="N134" s="100" t="n">
        <x:f>IF(I134,F134,"")</x:f>
        <x:v>-0.001605353784045329</x:v>
      </x:c>
      <x:c r="P134" t="n">
        <x:f>J134</x:f>
        <x:v>0.01661207426215918</x:v>
      </x:c>
      <x:c r="Q134" t="n">
        <x:f>K134</x:f>
        <x:v>0.015006720478113852</x:v>
      </x:c>
    </x:row>
    <x:row r="135">
      <x:c r="A135" s="99" t="str">
        <x:f>'Raw R'!B129</x:f>
        <x:v>00173</x:v>
      </x:c>
      <x:c r="B135" s="100" t="n">
        <x:f>INDEX('Raw Stations'!$D$2:$D$299,MATCH(A135,'Raw Stations'!$A$2:$A$299,0))</x:f>
        <x:v>0.001890886602348679</x:v>
      </x:c>
      <x:c r="C135" s="100" t="n">
        <x:f>'Raw R'!L129</x:f>
        <x:v>-0.0216667120402563</x:v>
      </x:c>
      <x:c r="D135" s="100" t="n">
        <x:f>$B$2</x:f>
        <x:v>-0.01791329208576473</x:v>
      </x:c>
      <x:c r="E135" s="100" t="n">
        <x:f>C135-D135</x:f>
        <x:v>-0.00375341995449157</x:v>
      </x:c>
      <x:c r="F135" s="100" t="n">
        <x:f>E135-B135</x:f>
        <x:v>-0.005644306556840249</x:v>
      </x:c>
      <x:c r="G135" s="100" t="n">
        <x:f>ABS(F135)</x:f>
        <x:v>0.005644306556840249</x:v>
      </x:c>
      <x:c r="H135" s="100" t="n">
        <x:f>'Raw R'!N129</x:f>
        <x:v>0.9432289587075496</x:v>
      </x:c>
      <x:c r="I135" t="b">
        <x:f>'Raw R'!O129</x:f>
        <x:v>1</x:v>
      </x:c>
      <x:c r="J135" s="100" t="n">
        <x:f>IF(I135,B135,"")</x:f>
        <x:v>0.001890886602348679</x:v>
      </x:c>
      <x:c r="K135" s="100" t="n">
        <x:f>IF(I135,E135,"")</x:f>
        <x:v>-0.00375341995449157</x:v>
      </x:c>
      <x:c r="L135" s="100" t="n">
        <x:f>IF(I135,G135,"")</x:f>
        <x:v>0.005644306556840249</x:v>
      </x:c>
      <x:c r="M135" s="100" t="n">
        <x:f>IF(I135,F135^2,"")</x:f>
        <x:v>0.00003185819650758983</x:v>
      </x:c>
      <x:c r="N135" s="100" t="n">
        <x:f>IF(I135,F135,"")</x:f>
        <x:v>-0.005644306556840249</x:v>
      </x:c>
      <x:c r="P135" t="n">
        <x:f>J135</x:f>
        <x:v>0.001890886602348679</x:v>
      </x:c>
      <x:c r="Q135" t="n">
        <x:f>K135</x:f>
        <x:v>-0.00375341995449157</x:v>
      </x:c>
    </x:row>
    <x:row r="136">
      <x:c r="A136" s="99" t="str">
        <x:f>'Raw R'!B130</x:f>
        <x:v>00174</x:v>
      </x:c>
      <x:c r="B136" s="100" t="n">
        <x:f>INDEX('Raw Stations'!$D$2:$D$299,MATCH(A136,'Raw Stations'!$A$2:$A$299,0))</x:f>
        <x:v>-0.01099566257145661</x:v>
      </x:c>
      <x:c r="C136" s="100" t="n">
        <x:f>'Raw R'!L130</x:f>
        <x:v>-0.03154617130867524</x:v>
      </x:c>
      <x:c r="D136" s="100" t="n">
        <x:f>$B$2</x:f>
        <x:v>-0.01791329208576473</x:v>
      </x:c>
      <x:c r="E136" s="100" t="n">
        <x:f>C136-D136</x:f>
        <x:v>-0.013632879222910513</x:v>
      </x:c>
      <x:c r="F136" s="100" t="n">
        <x:f>E136-B136</x:f>
        <x:v>-0.0026372166514539042</x:v>
      </x:c>
      <x:c r="G136" s="100" t="n">
        <x:f>ABS(F136)</x:f>
        <x:v>0.0026372166514539042</x:v>
      </x:c>
      <x:c r="H136" s="100" t="n">
        <x:f>'Raw R'!N130</x:f>
        <x:v>0.8668724733920316</x:v>
      </x:c>
      <x:c r="I136" t="b">
        <x:f>'Raw R'!O130</x:f>
        <x:v>1</x:v>
      </x:c>
      <x:c r="J136" s="100" t="n">
        <x:f>IF(I136,B136,"")</x:f>
        <x:v>-0.01099566257145661</x:v>
      </x:c>
      <x:c r="K136" s="100" t="n">
        <x:f>IF(I136,E136,"")</x:f>
        <x:v>-0.013632879222910513</x:v>
      </x:c>
      <x:c r="L136" s="100" t="n">
        <x:f>IF(I136,G136,"")</x:f>
        <x:v>0.0026372166514539042</x:v>
      </x:c>
      <x:c r="M136" s="100" t="n">
        <x:f>IF(I136,F136^2,"")</x:f>
        <x:v>0.0000069549116667057435</x:v>
      </x:c>
      <x:c r="N136" s="100" t="n">
        <x:f>IF(I136,F136,"")</x:f>
        <x:v>-0.0026372166514539042</x:v>
      </x:c>
      <x:c r="P136" t="n">
        <x:f>J136</x:f>
        <x:v>-0.01099566257145661</x:v>
      </x:c>
      <x:c r="Q136" t="n">
        <x:f>K136</x:f>
        <x:v>-0.013632879222910513</x:v>
      </x:c>
    </x:row>
    <x:row r="137">
      <x:c r="A137" s="99" t="str">
        <x:f>'Raw R'!B131</x:f>
        <x:v>00175</x:v>
      </x:c>
      <x:c r="B137" s="100" t="n">
        <x:f>INDEX('Raw Stations'!$D$2:$D$299,MATCH(A137,'Raw Stations'!$A$2:$A$299,0))</x:f>
        <x:v>0.03054522035927432</x:v>
      </x:c>
      <x:c r="C137" s="100" t="n">
        <x:f>'Raw R'!L131</x:f>
        <x:v>0.04067207985183697</x:v>
      </x:c>
      <x:c r="D137" s="100" t="n">
        <x:f>$B$2</x:f>
        <x:v>-0.01791329208576473</x:v>
      </x:c>
      <x:c r="E137" s="100" t="n">
        <x:f>C137-D137</x:f>
        <x:v>0.0585853719376017</x:v>
      </x:c>
      <x:c r="F137" s="100" t="n">
        <x:f>E137-B137</x:f>
        <x:v>0.028040151578327382</x:v>
      </x:c>
      <x:c r="G137" s="100" t="n">
        <x:f>ABS(F137)</x:f>
        <x:v>0.028040151578327382</x:v>
      </x:c>
      <x:c r="H137" s="100" t="n">
        <x:f>'Raw R'!N131</x:f>
        <x:v>0.6394127423923575</x:v>
      </x:c>
      <x:c r="I137" t="b">
        <x:f>'Raw R'!O131</x:f>
        <x:v>1</x:v>
      </x:c>
      <x:c r="J137" s="100" t="n">
        <x:f>IF(I137,B137,"")</x:f>
        <x:v>0.03054522035927432</x:v>
      </x:c>
      <x:c r="K137" s="100" t="n">
        <x:f>IF(I137,E137,"")</x:f>
        <x:v>0.0585853719376017</x:v>
      </x:c>
      <x:c r="L137" s="100" t="n">
        <x:f>IF(I137,G137,"")</x:f>
        <x:v>0.028040151578327382</x:v>
      </x:c>
      <x:c r="M137" s="100" t="n">
        <x:f>IF(I137,F137^2,"")</x:f>
        <x:v>0.0007862501005355756</x:v>
      </x:c>
      <x:c r="N137" s="100" t="n">
        <x:f>IF(I137,F137,"")</x:f>
        <x:v>0.028040151578327382</x:v>
      </x:c>
      <x:c r="P137" t="n">
        <x:f>J137</x:f>
        <x:v>0.03054522035927432</x:v>
      </x:c>
      <x:c r="Q137" t="n">
        <x:f>K137</x:f>
        <x:v>0.0585853719376017</x:v>
      </x:c>
    </x:row>
    <x:row r="138">
      <x:c r="A138" s="99" t="str">
        <x:f>'Raw R'!B132</x:f>
        <x:v>00176</x:v>
      </x:c>
      <x:c r="B138" s="100" t="n">
        <x:f>INDEX('Raw Stations'!$D$2:$D$299,MATCH(A138,'Raw Stations'!$A$2:$A$299,0))</x:f>
        <x:v>-0.01182894483360597</x:v>
      </x:c>
      <x:c r="C138" s="100" t="n">
        <x:f>'Raw R'!L132</x:f>
        <x:v>-0.03628748847694611</x:v>
      </x:c>
      <x:c r="D138" s="100" t="n">
        <x:f>$B$2</x:f>
        <x:v>-0.01791329208576473</x:v>
      </x:c>
      <x:c r="E138" s="100" t="n">
        <x:f>C138-D138</x:f>
        <x:v>-0.018374196391181378</x:v>
      </x:c>
      <x:c r="F138" s="100" t="n">
        <x:f>E138-B138</x:f>
        <x:v>-0.006545251557575408</x:v>
      </x:c>
      <x:c r="G138" s="100" t="n">
        <x:f>ABS(F138)</x:f>
        <x:v>0.006545251557575408</x:v>
      </x:c>
      <x:c r="H138" s="100" t="n">
        <x:f>'Raw R'!N132</x:f>
        <x:v>0.9292254006968192</x:v>
      </x:c>
      <x:c r="I138" t="b">
        <x:f>'Raw R'!O132</x:f>
        <x:v>1</x:v>
      </x:c>
      <x:c r="J138" s="100" t="n">
        <x:f>IF(I138,B138,"")</x:f>
        <x:v>-0.01182894483360597</x:v>
      </x:c>
      <x:c r="K138" s="100" t="n">
        <x:f>IF(I138,E138,"")</x:f>
        <x:v>-0.018374196391181378</x:v>
      </x:c>
      <x:c r="L138" s="100" t="n">
        <x:f>IF(I138,G138,"")</x:f>
        <x:v>0.006545251557575408</x:v>
      </x:c>
      <x:c r="M138" s="100" t="n">
        <x:f>IF(I138,F138^2,"")</x:f>
        <x:v>0.0000428403179519433</x:v>
      </x:c>
      <x:c r="N138" s="100" t="n">
        <x:f>IF(I138,F138,"")</x:f>
        <x:v>-0.006545251557575408</x:v>
      </x:c>
      <x:c r="P138" t="n">
        <x:f>J138</x:f>
        <x:v>-0.01182894483360597</x:v>
      </x:c>
      <x:c r="Q138" t="n">
        <x:f>K138</x:f>
        <x:v>-0.018374196391181378</x:v>
      </x:c>
    </x:row>
    <x:row r="139">
      <x:c r="A139" s="99" t="str">
        <x:f>'Raw R'!B133</x:f>
        <x:v>00177</x:v>
      </x:c>
      <x:c r="B139" s="100" t="n">
        <x:f>INDEX('Raw Stations'!$D$2:$D$299,MATCH(A139,'Raw Stations'!$A$2:$A$299,0))</x:f>
        <x:v>-0.01351927101027975</x:v>
      </x:c>
      <x:c r="C139" s="100" t="n">
        <x:f>'Raw R'!L133</x:f>
        <x:v>-0.03134280691932817</x:v>
      </x:c>
      <x:c r="D139" s="100" t="n">
        <x:f>$B$2</x:f>
        <x:v>-0.01791329208576473</x:v>
      </x:c>
      <x:c r="E139" s="100" t="n">
        <x:f>C139-D139</x:f>
        <x:v>-0.01342951483356344</x:v>
      </x:c>
      <x:c r="F139" s="100" t="n">
        <x:f>E139-B139</x:f>
        <x:v>0.00008975617671630985</x:v>
      </x:c>
      <x:c r="G139" s="100" t="n">
        <x:f>ABS(F139)</x:f>
        <x:v>0.00008975617671630985</x:v>
      </x:c>
      <x:c r="H139" s="100" t="n">
        <x:f>'Raw R'!N133</x:f>
        <x:v>0.8174604999877183</x:v>
      </x:c>
      <x:c r="I139" t="b">
        <x:f>'Raw R'!O133</x:f>
        <x:v>1</x:v>
      </x:c>
      <x:c r="J139" s="100" t="n">
        <x:f>IF(I139,B139,"")</x:f>
        <x:v>-0.01351927101027975</x:v>
      </x:c>
      <x:c r="K139" s="100" t="n">
        <x:f>IF(I139,E139,"")</x:f>
        <x:v>-0.01342951483356344</x:v>
      </x:c>
      <x:c r="L139" s="100" t="n">
        <x:f>IF(I139,G139,"")</x:f>
        <x:v>0.00008975617671630985</x:v>
      </x:c>
      <x:c r="M139" s="100" t="n">
        <x:f>IF(I139,F139^2,"")</x:f>
        <x:v>8.056171258729442e-9</x:v>
      </x:c>
      <x:c r="N139" s="100" t="n">
        <x:f>IF(I139,F139,"")</x:f>
        <x:v>0.00008975617671630985</x:v>
      </x:c>
      <x:c r="P139" t="n">
        <x:f>J139</x:f>
        <x:v>-0.01351927101027975</x:v>
      </x:c>
      <x:c r="Q139" t="n">
        <x:f>K139</x:f>
        <x:v>-0.01342951483356344</x:v>
      </x:c>
    </x:row>
    <x:row r="140">
      <x:c r="A140" s="99" t="str">
        <x:f>'Raw R'!B134</x:f>
        <x:v>00178</x:v>
      </x:c>
      <x:c r="B140" s="100" t="n">
        <x:f>INDEX('Raw Stations'!$D$2:$D$299,MATCH(A140,'Raw Stations'!$A$2:$A$299,0))</x:f>
        <x:v>-0.016410237551615</x:v>
      </x:c>
      <x:c r="C140" s="100" t="n">
        <x:f>'Raw R'!L134</x:f>
        <x:v>-0.03995332730293905</x:v>
      </x:c>
      <x:c r="D140" s="100" t="n">
        <x:f>$B$2</x:f>
        <x:v>-0.01791329208576473</x:v>
      </x:c>
      <x:c r="E140" s="100" t="n">
        <x:f>C140-D140</x:f>
        <x:v>-0.022040035217174323</x:v>
      </x:c>
      <x:c r="F140" s="100" t="n">
        <x:f>E140-B140</x:f>
        <x:v>-0.005629797665559322</x:v>
      </x:c>
      <x:c r="G140" s="100" t="n">
        <x:f>ABS(F140)</x:f>
        <x:v>0.005629797665559322</x:v>
      </x:c>
      <x:c r="H140" s="100" t="n">
        <x:f>'Raw R'!N134</x:f>
        <x:v>0.9549867336536536</x:v>
      </x:c>
      <x:c r="I140" t="b">
        <x:f>'Raw R'!O134</x:f>
        <x:v>1</x:v>
      </x:c>
      <x:c r="J140" s="100" t="n">
        <x:f>IF(I140,B140,"")</x:f>
        <x:v>-0.016410237551615</x:v>
      </x:c>
      <x:c r="K140" s="100" t="n">
        <x:f>IF(I140,E140,"")</x:f>
        <x:v>-0.022040035217174323</x:v>
      </x:c>
      <x:c r="L140" s="100" t="n">
        <x:f>IF(I140,G140,"")</x:f>
        <x:v>0.005629797665559322</x:v>
      </x:c>
      <x:c r="M140" s="100" t="n">
        <x:f>IF(I140,F140^2,"")</x:f>
        <x:v>0.00003169462175513719</x:v>
      </x:c>
      <x:c r="N140" s="100" t="n">
        <x:f>IF(I140,F140,"")</x:f>
        <x:v>-0.005629797665559322</x:v>
      </x:c>
      <x:c r="P140" t="n">
        <x:f>J140</x:f>
        <x:v>-0.016410237551615</x:v>
      </x:c>
      <x:c r="Q140" t="n">
        <x:f>K140</x:f>
        <x:v>-0.022040035217174323</x:v>
      </x:c>
    </x:row>
    <x:row r="141">
      <x:c r="A141" s="99" t="str">
        <x:f>'Raw R'!B135</x:f>
        <x:v>00180</x:v>
      </x:c>
      <x:c r="B141" s="100" t="n">
        <x:f>INDEX('Raw Stations'!$D$2:$D$299,MATCH(A141,'Raw Stations'!$A$2:$A$299,0))</x:f>
        <x:v>0.006782414507763993</x:v>
      </x:c>
      <x:c r="C141" s="100" t="n">
        <x:f>'Raw R'!L135</x:f>
        <x:v>-0.01268311209062698</x:v>
      </x:c>
      <x:c r="D141" s="100" t="n">
        <x:f>$B$2</x:f>
        <x:v>-0.01791329208576473</x:v>
      </x:c>
      <x:c r="E141" s="100" t="n">
        <x:f>C141-D141</x:f>
        <x:v>0.00523017999513775</x:v>
      </x:c>
      <x:c r="F141" s="100" t="n">
        <x:f>E141-B141</x:f>
        <x:v>-0.001552234512626243</x:v>
      </x:c>
      <x:c r="G141" s="100" t="n">
        <x:f>ABS(F141)</x:f>
        <x:v>0.001552234512626243</x:v>
      </x:c>
      <x:c r="H141" s="100" t="n">
        <x:f>'Raw R'!N135</x:f>
        <x:v>0.9662711673003993</x:v>
      </x:c>
      <x:c r="I141" t="b">
        <x:f>'Raw R'!O135</x:f>
        <x:v>1</x:v>
      </x:c>
      <x:c r="J141" s="100" t="n">
        <x:f>IF(I141,B141,"")</x:f>
        <x:v>0.006782414507763993</x:v>
      </x:c>
      <x:c r="K141" s="100" t="n">
        <x:f>IF(I141,E141,"")</x:f>
        <x:v>0.00523017999513775</x:v>
      </x:c>
      <x:c r="L141" s="100" t="n">
        <x:f>IF(I141,G141,"")</x:f>
        <x:v>0.001552234512626243</x:v>
      </x:c>
      <x:c r="M141" s="100" t="n">
        <x:f>IF(I141,F141^2,"")</x:f>
        <x:v>0.0000024094319821880302</x:v>
      </x:c>
      <x:c r="N141" s="100" t="n">
        <x:f>IF(I141,F141,"")</x:f>
        <x:v>-0.001552234512626243</x:v>
      </x:c>
      <x:c r="P141" t="n">
        <x:f>J141</x:f>
        <x:v>0.006782414507763993</x:v>
      </x:c>
      <x:c r="Q141" t="n">
        <x:f>K141</x:f>
        <x:v>0.00523017999513775</x:v>
      </x:c>
    </x:row>
    <x:row r="142">
      <x:c r="A142" s="99" t="str">
        <x:f>'Raw R'!B136</x:f>
        <x:v>00181</x:v>
      </x:c>
      <x:c r="B142" s="100" t="n">
        <x:f>INDEX('Raw Stations'!$D$2:$D$299,MATCH(A142,'Raw Stations'!$A$2:$A$299,0))</x:f>
        <x:v>0.01851034852553748</x:v>
      </x:c>
      <x:c r="C142" s="100" t="n">
        <x:f>'Raw R'!L136</x:f>
        <x:v>0</x:v>
      </x:c>
      <x:c r="D142" s="100" t="n">
        <x:f>$B$2</x:f>
        <x:v>-0.01791329208576473</x:v>
      </x:c>
      <x:c r="E142" s="100" t="n">
        <x:f>C142-D142</x:f>
        <x:v>0.01791329208576473</x:v>
      </x:c>
      <x:c r="F142" s="100" t="n">
        <x:f>E142-B142</x:f>
        <x:v>-0.0005970564397727515</x:v>
      </x:c>
      <x:c r="G142" s="100" t="n">
        <x:f>ABS(F142)</x:f>
        <x:v>0.0005970564397727515</x:v>
      </x:c>
      <x:c r="H142" s="100" t="n">
        <x:f>'Raw R'!N136</x:f>
        <x:v>0.9669458520700313</x:v>
      </x:c>
      <x:c r="I142" t="b">
        <x:f>'Raw R'!O136</x:f>
        <x:v>1</x:v>
      </x:c>
      <x:c r="J142" s="100" t="n">
        <x:f>IF(I142,B142,"")</x:f>
        <x:v>0.01851034852553748</x:v>
      </x:c>
      <x:c r="K142" s="100" t="n">
        <x:f>IF(I142,E142,"")</x:f>
        <x:v>0.01791329208576473</x:v>
      </x:c>
      <x:c r="L142" s="100" t="n">
        <x:f>IF(I142,G142,"")</x:f>
        <x:v>0.0005970564397727515</x:v>
      </x:c>
      <x:c r="M142" s="100" t="n">
        <x:f>IF(I142,F142^2,"")</x:f>
        <x:v>3.5647639227411327e-7</x:v>
      </x:c>
      <x:c r="N142" s="100" t="n">
        <x:f>IF(I142,F142,"")</x:f>
        <x:v>-0.0005970564397727515</x:v>
      </x:c>
      <x:c r="P142" t="n">
        <x:f>J142</x:f>
        <x:v>0.01851034852553748</x:v>
      </x:c>
      <x:c r="Q142" t="n">
        <x:f>K142</x:f>
        <x:v>0.01791329208576473</x:v>
      </x:c>
    </x:row>
    <x:row r="143">
      <x:c r="A143" s="99" t="str">
        <x:f>'Raw R'!B137</x:f>
        <x:v>00182</x:v>
      </x:c>
      <x:c r="B143" s="100" t="n">
        <x:f>INDEX('Raw Stations'!$D$2:$D$299,MATCH(A143,'Raw Stations'!$A$2:$A$299,0))</x:f>
        <x:v>0.01835378137447511</x:v>
      </x:c>
      <x:c r="C143" s="100" t="n">
        <x:f>'Raw R'!L137</x:f>
        <x:v>0.00189523773113497</x:v>
      </x:c>
      <x:c r="D143" s="100" t="n">
        <x:f>$B$2</x:f>
        <x:v>-0.01791329208576473</x:v>
      </x:c>
      <x:c r="E143" s="100" t="n">
        <x:f>C143-D143</x:f>
        <x:v>0.0198085298168997</x:v>
      </x:c>
      <x:c r="F143" s="100" t="n">
        <x:f>E143-B143</x:f>
        <x:v>0.0014547484424245888</x:v>
      </x:c>
      <x:c r="G143" s="100" t="n">
        <x:f>ABS(F143)</x:f>
        <x:v>0.0014547484424245888</x:v>
      </x:c>
      <x:c r="H143" s="100" t="n">
        <x:f>'Raw R'!N137</x:f>
        <x:v>0.9585977966397027</x:v>
      </x:c>
      <x:c r="I143" t="b">
        <x:f>'Raw R'!O137</x:f>
        <x:v>1</x:v>
      </x:c>
      <x:c r="J143" s="100" t="n">
        <x:f>IF(I143,B143,"")</x:f>
        <x:v>0.01835378137447511</x:v>
      </x:c>
      <x:c r="K143" s="100" t="n">
        <x:f>IF(I143,E143,"")</x:f>
        <x:v>0.0198085298168997</x:v>
      </x:c>
      <x:c r="L143" s="100" t="n">
        <x:f>IF(I143,G143,"")</x:f>
        <x:v>0.0014547484424245888</x:v>
      </x:c>
      <x:c r="M143" s="100" t="n">
        <x:f>IF(I143,F143^2,"")</x:f>
        <x:v>0.000002116293030736767</x:v>
      </x:c>
      <x:c r="N143" s="100" t="n">
        <x:f>IF(I143,F143,"")</x:f>
        <x:v>0.0014547484424245888</x:v>
      </x:c>
      <x:c r="P143" t="n">
        <x:f>J143</x:f>
        <x:v>0.01835378137447511</x:v>
      </x:c>
      <x:c r="Q143" t="n">
        <x:f>K143</x:f>
        <x:v>0.0198085298168997</x:v>
      </x:c>
    </x:row>
    <x:row r="144">
      <x:c r="A144" s="99" t="str">
        <x:f>'Raw R'!B138</x:f>
        <x:v>00183</x:v>
      </x:c>
      <x:c r="B144" s="100" t="n">
        <x:f>INDEX('Raw Stations'!$D$2:$D$299,MATCH(A144,'Raw Stations'!$A$2:$A$299,0))</x:f>
        <x:v>0.005519076889924051</x:v>
      </x:c>
      <x:c r="C144" s="100" t="n">
        <x:f>'Raw R'!L138</x:f>
        <x:v>-0.01002401286139999</x:v>
      </x:c>
      <x:c r="D144" s="100" t="n">
        <x:f>$B$2</x:f>
        <x:v>-0.01791329208576473</x:v>
      </x:c>
      <x:c r="E144" s="100" t="n">
        <x:f>C144-D144</x:f>
        <x:v>0.00788927922436474</x:v>
      </x:c>
      <x:c r="F144" s="100" t="n">
        <x:f>E144-B144</x:f>
        <x:v>0.0023702023344406888</x:v>
      </x:c>
      <x:c r="G144" s="100" t="n">
        <x:f>ABS(F144)</x:f>
        <x:v>0.0023702023344406888</x:v>
      </x:c>
      <x:c r="H144" s="100" t="n">
        <x:f>'Raw R'!N138</x:f>
        <x:v>0.98830249739015</x:v>
      </x:c>
      <x:c r="I144" t="b">
        <x:f>'Raw R'!O138</x:f>
        <x:v>1</x:v>
      </x:c>
      <x:c r="J144" s="100" t="n">
        <x:f>IF(I144,B144,"")</x:f>
        <x:v>0.005519076889924051</x:v>
      </x:c>
      <x:c r="K144" s="100" t="n">
        <x:f>IF(I144,E144,"")</x:f>
        <x:v>0.00788927922436474</x:v>
      </x:c>
      <x:c r="L144" s="100" t="n">
        <x:f>IF(I144,G144,"")</x:f>
        <x:v>0.0023702023344406888</x:v>
      </x:c>
      <x:c r="M144" s="100" t="n">
        <x:f>IF(I144,F144^2,"")</x:f>
        <x:v>0.000005617859106188091</x:v>
      </x:c>
      <x:c r="N144" s="100" t="n">
        <x:f>IF(I144,F144,"")</x:f>
        <x:v>0.0023702023344406888</x:v>
      </x:c>
      <x:c r="P144" t="n">
        <x:f>J144</x:f>
        <x:v>0.005519076889924051</x:v>
      </x:c>
      <x:c r="Q144" t="n">
        <x:f>K144</x:f>
        <x:v>0.00788927922436474</x:v>
      </x:c>
    </x:row>
    <x:row r="145">
      <x:c r="A145" s="99" t="str">
        <x:f>'Raw R'!B139</x:f>
        <x:v>00184</x:v>
      </x:c>
      <x:c r="B145" s="100" t="n">
        <x:f>INDEX('Raw Stations'!$D$2:$D$299,MATCH(A145,'Raw Stations'!$A$2:$A$299,0))</x:f>
        <x:v>0.01701232412322604</x:v>
      </x:c>
      <x:c r="C145" s="100" t="n">
        <x:f>'Raw R'!L139</x:f>
        <x:v>-0.002375639322231862</x:v>
      </x:c>
      <x:c r="D145" s="100" t="n">
        <x:f>$B$2</x:f>
        <x:v>-0.01791329208576473</x:v>
      </x:c>
      <x:c r="E145" s="100" t="n">
        <x:f>C145-D145</x:f>
        <x:v>0.015537652763532868</x:v>
      </x:c>
      <x:c r="F145" s="100" t="n">
        <x:f>E145-B145</x:f>
        <x:v>-0.0014746713596931714</x:v>
      </x:c>
      <x:c r="G145" s="100" t="n">
        <x:f>ABS(F145)</x:f>
        <x:v>0.0014746713596931714</x:v>
      </x:c>
      <x:c r="H145" s="100" t="n">
        <x:f>'Raw R'!N139</x:f>
        <x:v>0.9436299735709142</x:v>
      </x:c>
      <x:c r="I145" t="b">
        <x:f>'Raw R'!O139</x:f>
        <x:v>1</x:v>
      </x:c>
      <x:c r="J145" s="100" t="n">
        <x:f>IF(I145,B145,"")</x:f>
        <x:v>0.01701232412322604</x:v>
      </x:c>
      <x:c r="K145" s="100" t="n">
        <x:f>IF(I145,E145,"")</x:f>
        <x:v>0.015537652763532868</x:v>
      </x:c>
      <x:c r="L145" s="100" t="n">
        <x:f>IF(I145,G145,"")</x:f>
        <x:v>0.0014746713596931714</x:v>
      </x:c>
      <x:c r="M145" s="100" t="n">
        <x:f>IF(I145,F145^2,"")</x:f>
        <x:v>0.0000021746556190993067</x:v>
      </x:c>
      <x:c r="N145" s="100" t="n">
        <x:f>IF(I145,F145,"")</x:f>
        <x:v>-0.0014746713596931714</x:v>
      </x:c>
      <x:c r="P145" t="n">
        <x:f>J145</x:f>
        <x:v>0.01701232412322604</x:v>
      </x:c>
      <x:c r="Q145" t="n">
        <x:f>K145</x:f>
        <x:v>0.015537652763532868</x:v>
      </x:c>
    </x:row>
    <x:row r="146">
      <x:c r="A146" s="99" t="str">
        <x:f>'Raw R'!B140</x:f>
        <x:v>00185</x:v>
      </x:c>
      <x:c r="B146" s="100" t="n">
        <x:f>INDEX('Raw Stations'!$D$2:$D$299,MATCH(A146,'Raw Stations'!$A$2:$A$299,0))</x:f>
        <x:v>0.01901763013329982</x:v>
      </x:c>
      <x:c r="C146" s="100" t="n">
        <x:f>'Raw R'!L140</x:f>
        <x:v>-0.001256983322283335</x:v>
      </x:c>
      <x:c r="D146" s="100" t="n">
        <x:f>$B$2</x:f>
        <x:v>-0.01791329208576473</x:v>
      </x:c>
      <x:c r="E146" s="100" t="n">
        <x:f>C146-D146</x:f>
        <x:v>0.016656308763481394</x:v>
      </x:c>
      <x:c r="F146" s="100" t="n">
        <x:f>E146-B146</x:f>
        <x:v>-0.0023613213698184254</x:v>
      </x:c>
      <x:c r="G146" s="100" t="n">
        <x:f>ABS(F146)</x:f>
        <x:v>0.0023613213698184254</x:v>
      </x:c>
      <x:c r="H146" s="100" t="n">
        <x:f>'Raw R'!N140</x:f>
        <x:v>0.9723825302555592</x:v>
      </x:c>
      <x:c r="I146" t="b">
        <x:f>'Raw R'!O140</x:f>
        <x:v>1</x:v>
      </x:c>
      <x:c r="J146" s="100" t="n">
        <x:f>IF(I146,B146,"")</x:f>
        <x:v>0.01901763013329982</x:v>
      </x:c>
      <x:c r="K146" s="100" t="n">
        <x:f>IF(I146,E146,"")</x:f>
        <x:v>0.016656308763481394</x:v>
      </x:c>
      <x:c r="L146" s="100" t="n">
        <x:f>IF(I146,G146,"")</x:f>
        <x:v>0.0023613213698184254</x:v>
      </x:c>
      <x:c r="M146" s="100" t="n">
        <x:f>IF(I146,F146^2,"")</x:f>
        <x:v>0.000005575838611561165</x:v>
      </x:c>
      <x:c r="N146" s="100" t="n">
        <x:f>IF(I146,F146,"")</x:f>
        <x:v>-0.0023613213698184254</x:v>
      </x:c>
      <x:c r="P146" t="n">
        <x:f>J146</x:f>
        <x:v>0.01901763013329982</x:v>
      </x:c>
      <x:c r="Q146" t="n">
        <x:f>K146</x:f>
        <x:v>0.016656308763481394</x:v>
      </x:c>
    </x:row>
    <x:row r="147">
      <x:c r="A147" s="99" t="str">
        <x:f>'Raw R'!B141</x:f>
        <x:v>00186</x:v>
      </x:c>
      <x:c r="B147" s="100" t="n">
        <x:f>INDEX('Raw Stations'!$D$2:$D$299,MATCH(A147,'Raw Stations'!$A$2:$A$299,0))</x:f>
        <x:v>0.027743444861805</x:v>
      </x:c>
      <x:c r="C147" s="100" t="n">
        <x:f>'Raw R'!L141</x:f>
        <x:v>0.00746883140622185</x:v>
      </x:c>
      <x:c r="D147" s="100" t="n">
        <x:f>$B$2</x:f>
        <x:v>-0.01791329208576473</x:v>
      </x:c>
      <x:c r="E147" s="100" t="n">
        <x:f>C147-D147</x:f>
        <x:v>0.02538212349198658</x:v>
      </x:c>
      <x:c r="F147" s="100" t="n">
        <x:f>E147-B147</x:f>
        <x:v>-0.002361321369818422</x:v>
      </x:c>
      <x:c r="G147" s="100" t="n">
        <x:f>ABS(F147)</x:f>
        <x:v>0.002361321369818422</x:v>
      </x:c>
      <x:c r="H147" s="100" t="n">
        <x:f>'Raw R'!N141</x:f>
        <x:v>0.990785194729891</x:v>
      </x:c>
      <x:c r="I147" t="b">
        <x:f>'Raw R'!O141</x:f>
        <x:v>1</x:v>
      </x:c>
      <x:c r="J147" s="100" t="n">
        <x:f>IF(I147,B147,"")</x:f>
        <x:v>0.027743444861805</x:v>
      </x:c>
      <x:c r="K147" s="100" t="n">
        <x:f>IF(I147,E147,"")</x:f>
        <x:v>0.02538212349198658</x:v>
      </x:c>
      <x:c r="L147" s="100" t="n">
        <x:f>IF(I147,G147,"")</x:f>
        <x:v>0.002361321369818422</x:v>
      </x:c>
      <x:c r="M147" s="100" t="n">
        <x:f>IF(I147,F147^2,"")</x:f>
        <x:v>0.000005575838611561149</x:v>
      </x:c>
      <x:c r="N147" s="100" t="n">
        <x:f>IF(I147,F147,"")</x:f>
        <x:v>-0.002361321369818422</x:v>
      </x:c>
      <x:c r="P147" t="n">
        <x:f>J147</x:f>
        <x:v>0.027743444861805</x:v>
      </x:c>
      <x:c r="Q147" t="n">
        <x:f>K147</x:f>
        <x:v>0.02538212349198658</x:v>
      </x:c>
    </x:row>
    <x:row r="148">
      <x:c r="A148" s="99" t="str">
        <x:f>'Raw R'!B142</x:f>
        <x:v>00187</x:v>
      </x:c>
      <x:c r="B148" s="100" t="n">
        <x:f>INDEX('Raw Stations'!$D$2:$D$299,MATCH(A148,'Raw Stations'!$A$2:$A$299,0))</x:f>
        <x:v>0.02340095171554957</x:v>
      </x:c>
      <x:c r="C148" s="100" t="n">
        <x:f>'Raw R'!L142</x:f>
        <x:v>0.001905491924754039</x:v>
      </x:c>
      <x:c r="D148" s="100" t="n">
        <x:f>$B$2</x:f>
        <x:v>-0.01791329208576473</x:v>
      </x:c>
      <x:c r="E148" s="100" t="n">
        <x:f>C148-D148</x:f>
        <x:v>0.01981878401051877</x:v>
      </x:c>
      <x:c r="F148" s="100" t="n">
        <x:f>E148-B148</x:f>
        <x:v>-0.003582167705030802</x:v>
      </x:c>
      <x:c r="G148" s="100" t="n">
        <x:f>ABS(F148)</x:f>
        <x:v>0.003582167705030802</x:v>
      </x:c>
      <x:c r="H148" s="100" t="n">
        <x:f>'Raw R'!N142</x:f>
        <x:v>0.9772530766335324</x:v>
      </x:c>
      <x:c r="I148" t="b">
        <x:f>'Raw R'!O142</x:f>
        <x:v>1</x:v>
      </x:c>
      <x:c r="J148" s="100" t="n">
        <x:f>IF(I148,B148,"")</x:f>
        <x:v>0.02340095171554957</x:v>
      </x:c>
      <x:c r="K148" s="100" t="n">
        <x:f>IF(I148,E148,"")</x:f>
        <x:v>0.01981878401051877</x:v>
      </x:c>
      <x:c r="L148" s="100" t="n">
        <x:f>IF(I148,G148,"")</x:f>
        <x:v>0.003582167705030802</x:v>
      </x:c>
      <x:c r="M148" s="100" t="n">
        <x:f>IF(I148,F148^2,"")</x:f>
        <x:v>0.000012831925466965642</x:v>
      </x:c>
      <x:c r="N148" s="100" t="n">
        <x:f>IF(I148,F148,"")</x:f>
        <x:v>-0.003582167705030802</x:v>
      </x:c>
      <x:c r="P148" t="n">
        <x:f>J148</x:f>
        <x:v>0.02340095171554957</x:v>
      </x:c>
      <x:c r="Q148" t="n">
        <x:f>K148</x:f>
        <x:v>0.01981878401051877</x:v>
      </x:c>
    </x:row>
    <x:row r="149">
      <x:c r="A149" s="99" t="str">
        <x:f>'Raw R'!B143</x:f>
        <x:v>00188</x:v>
      </x:c>
      <x:c r="B149" s="100" t="n">
        <x:f>INDEX('Raw Stations'!$D$2:$D$299,MATCH(A149,'Raw Stations'!$A$2:$A$299,0))</x:f>
        <x:v>0.02781441309388967</x:v>
      </x:c>
      <x:c r="C149" s="100" t="n">
        <x:f>'Raw R'!L143</x:f>
        <x:v>0.007051032721099235</x:v>
      </x:c>
      <x:c r="D149" s="100" t="n">
        <x:f>$B$2</x:f>
        <x:v>-0.01791329208576473</x:v>
      </x:c>
      <x:c r="E149" s="100" t="n">
        <x:f>C149-D149</x:f>
        <x:v>0.024964324806863964</x:v>
      </x:c>
      <x:c r="F149" s="100" t="n">
        <x:f>E149-B149</x:f>
        <x:v>-0.002850088287025706</x:v>
      </x:c>
      <x:c r="G149" s="100" t="n">
        <x:f>ABS(F149)</x:f>
        <x:v>0.002850088287025706</x:v>
      </x:c>
      <x:c r="H149" s="100" t="n">
        <x:f>'Raw R'!N143</x:f>
        <x:v>0.8929169004221832</x:v>
      </x:c>
      <x:c r="I149" t="b">
        <x:f>'Raw R'!O143</x:f>
        <x:v>1</x:v>
      </x:c>
      <x:c r="J149" s="100" t="n">
        <x:f>IF(I149,B149,"")</x:f>
        <x:v>0.02781441309388967</x:v>
      </x:c>
      <x:c r="K149" s="100" t="n">
        <x:f>IF(I149,E149,"")</x:f>
        <x:v>0.024964324806863964</x:v>
      </x:c>
      <x:c r="L149" s="100" t="n">
        <x:f>IF(I149,G149,"")</x:f>
        <x:v>0.002850088287025706</x:v>
      </x:c>
      <x:c r="M149" s="100" t="n">
        <x:f>IF(I149,F149^2,"")</x:f>
        <x:v>0.000008123003243841122</x:v>
      </x:c>
      <x:c r="N149" s="100" t="n">
        <x:f>IF(I149,F149,"")</x:f>
        <x:v>-0.002850088287025706</x:v>
      </x:c>
      <x:c r="P149" t="n">
        <x:f>J149</x:f>
        <x:v>0.02781441309388967</x:v>
      </x:c>
      <x:c r="Q149" t="n">
        <x:f>K149</x:f>
        <x:v>0.024964324806863964</x:v>
      </x:c>
    </x:row>
    <x:row r="150">
      <x:c r="A150" s="99" t="str">
        <x:f>'Raw R'!B144</x:f>
        <x:v>00189</x:v>
      </x:c>
      <x:c r="B150" s="100" t="n">
        <x:f>INDEX('Raw Stations'!$D$2:$D$299,MATCH(A150,'Raw Stations'!$A$2:$A$299,0))</x:f>
        <x:v>0.01484270935339562</x:v>
      </x:c>
      <x:c r="C150" s="100" t="n">
        <x:f>'Raw R'!L144</x:f>
        <x:v>-0.00845136061249191</x:v>
      </x:c>
      <x:c r="D150" s="100" t="n">
        <x:f>$B$2</x:f>
        <x:v>-0.01791329208576473</x:v>
      </x:c>
      <x:c r="E150" s="100" t="n">
        <x:f>C150-D150</x:f>
        <x:v>0.00946193147327282</x:v>
      </x:c>
      <x:c r="F150" s="100" t="n">
        <x:f>E150-B150</x:f>
        <x:v>-0.005380777880122801</x:v>
      </x:c>
      <x:c r="G150" s="100" t="n">
        <x:f>ABS(F150)</x:f>
        <x:v>0.005380777880122801</x:v>
      </x:c>
      <x:c r="H150" s="100" t="n">
        <x:f>'Raw R'!N144</x:f>
        <x:v>0.9292238514059271</x:v>
      </x:c>
      <x:c r="I150" t="b">
        <x:f>'Raw R'!O144</x:f>
        <x:v>1</x:v>
      </x:c>
      <x:c r="J150" s="100" t="n">
        <x:f>IF(I150,B150,"")</x:f>
        <x:v>0.01484270935339562</x:v>
      </x:c>
      <x:c r="K150" s="100" t="n">
        <x:f>IF(I150,E150,"")</x:f>
        <x:v>0.00946193147327282</x:v>
      </x:c>
      <x:c r="L150" s="100" t="n">
        <x:f>IF(I150,G150,"")</x:f>
        <x:v>0.005380777880122801</x:v>
      </x:c>
      <x:c r="M150" s="100" t="n">
        <x:f>IF(I150,F150^2,"")</x:f>
        <x:v>0.000028952770595218824</x:v>
      </x:c>
      <x:c r="N150" s="100" t="n">
        <x:f>IF(I150,F150,"")</x:f>
        <x:v>-0.005380777880122801</x:v>
      </x:c>
      <x:c r="P150" t="n">
        <x:f>J150</x:f>
        <x:v>0.01484270935339562</x:v>
      </x:c>
      <x:c r="Q150" t="n">
        <x:f>K150</x:f>
        <x:v>0.00946193147327282</x:v>
      </x:c>
    </x:row>
    <x:row r="151">
      <x:c r="A151" s="99" t="str">
        <x:f>'Raw R'!B145</x:f>
        <x:v>00190</x:v>
      </x:c>
      <x:c r="B151" s="100" t="n">
        <x:f>INDEX('Raw Stations'!$D$2:$D$299,MATCH(A151,'Raw Stations'!$A$2:$A$299,0))</x:f>
        <x:v>-0.01197156348711821</x:v>
      </x:c>
      <x:c r="C151" s="100" t="n">
        <x:f>'Raw R'!L145</x:f>
        <x:v>-0.03382825807102957</x:v>
      </x:c>
      <x:c r="D151" s="100" t="n">
        <x:f>$B$2</x:f>
        <x:v>-0.01791329208576473</x:v>
      </x:c>
      <x:c r="E151" s="100" t="n">
        <x:f>C151-D151</x:f>
        <x:v>-0.01591496598526484</x:v>
      </x:c>
      <x:c r="F151" s="100" t="n">
        <x:f>E151-B151</x:f>
        <x:v>-0.003943402498146632</x:v>
      </x:c>
      <x:c r="G151" s="100" t="n">
        <x:f>ABS(F151)</x:f>
        <x:v>0.003943402498146632</x:v>
      </x:c>
      <x:c r="H151" s="100" t="n">
        <x:f>'Raw R'!N145</x:f>
        <x:v>0.8203859358357851</x:v>
      </x:c>
      <x:c r="I151" t="b">
        <x:f>'Raw R'!O145</x:f>
        <x:v>1</x:v>
      </x:c>
      <x:c r="J151" s="100" t="n">
        <x:f>IF(I151,B151,"")</x:f>
        <x:v>-0.01197156348711821</x:v>
      </x:c>
      <x:c r="K151" s="100" t="n">
        <x:f>IF(I151,E151,"")</x:f>
        <x:v>-0.01591496598526484</x:v>
      </x:c>
      <x:c r="L151" s="100" t="n">
        <x:f>IF(I151,G151,"")</x:f>
        <x:v>0.003943402498146632</x:v>
      </x:c>
      <x:c r="M151" s="100" t="n">
        <x:f>IF(I151,F151^2,"")</x:f>
        <x:v>0.000015550423262389098</x:v>
      </x:c>
      <x:c r="N151" s="100" t="n">
        <x:f>IF(I151,F151,"")</x:f>
        <x:v>-0.003943402498146632</x:v>
      </x:c>
      <x:c r="P151" t="n">
        <x:f>J151</x:f>
        <x:v>-0.01197156348711821</x:v>
      </x:c>
      <x:c r="Q151" t="n">
        <x:f>K151</x:f>
        <x:v>-0.01591496598526484</x:v>
      </x:c>
    </x:row>
    <x:row r="152">
      <x:c r="A152" s="99" t="str">
        <x:f>'Raw R'!B146</x:f>
        <x:v>00191</x:v>
      </x:c>
      <x:c r="B152" s="100" t="n">
        <x:f>INDEX('Raw Stations'!$D$2:$D$299,MATCH(A152,'Raw Stations'!$A$2:$A$299,0))</x:f>
        <x:v>-0.004033335675302129</x:v>
      </x:c>
      <x:c r="C152" s="100" t="n">
        <x:f>'Raw R'!L146</x:f>
        <x:v>-0.02742129912076003</x:v>
      </x:c>
      <x:c r="D152" s="100" t="n">
        <x:f>$B$2</x:f>
        <x:v>-0.01791329208576473</x:v>
      </x:c>
      <x:c r="E152" s="100" t="n">
        <x:f>C152-D152</x:f>
        <x:v>-0.0095080070349953</x:v>
      </x:c>
      <x:c r="F152" s="100" t="n">
        <x:f>E152-B152</x:f>
        <x:v>-0.0054746713596931715</x:v>
      </x:c>
      <x:c r="G152" s="100" t="n">
        <x:f>ABS(F152)</x:f>
        <x:v>0.0054746713596931715</x:v>
      </x:c>
      <x:c r="H152" s="100" t="n">
        <x:f>'Raw R'!N146</x:f>
        <x:v>0.9620162711337606</x:v>
      </x:c>
      <x:c r="I152" t="b">
        <x:f>'Raw R'!O146</x:f>
        <x:v>1</x:v>
      </x:c>
      <x:c r="J152" s="100" t="n">
        <x:f>IF(I152,B152,"")</x:f>
        <x:v>-0.004033335675302129</x:v>
      </x:c>
      <x:c r="K152" s="100" t="n">
        <x:f>IF(I152,E152,"")</x:f>
        <x:v>-0.0095080070349953</x:v>
      </x:c>
      <x:c r="L152" s="100" t="n">
        <x:f>IF(I152,G152,"")</x:f>
        <x:v>0.0054746713596931715</x:v>
      </x:c>
      <x:c r="M152" s="100" t="n">
        <x:f>IF(I152,F152^2,"")</x:f>
        <x:v>0.00002997202649664468</x:v>
      </x:c>
      <x:c r="N152" s="100" t="n">
        <x:f>IF(I152,F152,"")</x:f>
        <x:v>-0.0054746713596931715</x:v>
      </x:c>
      <x:c r="P152" t="n">
        <x:f>J152</x:f>
        <x:v>-0.004033335675302129</x:v>
      </x:c>
      <x:c r="Q152" t="n">
        <x:f>K152</x:f>
        <x:v>-0.0095080070349953</x:v>
      </x:c>
    </x:row>
    <x:row r="153">
      <x:c r="A153" s="99" t="str">
        <x:f>'Raw R'!B147</x:f>
        <x:v>00192</x:v>
      </x:c>
      <x:c r="B153" s="100" t="n">
        <x:f>INDEX('Raw Stations'!$D$2:$D$299,MATCH(A153,'Raw Stations'!$A$2:$A$299,0))</x:f>
        <x:v>-0.00547796507800229</x:v>
      </x:c>
      <x:c r="C153" s="100" t="n">
        <x:f>'Raw R'!L147</x:f>
        <x:v>-0.02422936155665397</x:v>
      </x:c>
      <x:c r="D153" s="100" t="n">
        <x:f>$B$2</x:f>
        <x:v>-0.01791329208576473</x:v>
      </x:c>
      <x:c r="E153" s="100" t="n">
        <x:f>C153-D153</x:f>
        <x:v>-0.006316069470889241</x:v>
      </x:c>
      <x:c r="F153" s="100" t="n">
        <x:f>E153-B153</x:f>
        <x:v>-0.0008381043928869514</x:v>
      </x:c>
      <x:c r="G153" s="100" t="n">
        <x:f>ABS(F153)</x:f>
        <x:v>0.0008381043928869514</x:v>
      </x:c>
      <x:c r="H153" s="100" t="n">
        <x:f>'Raw R'!N147</x:f>
        <x:v>0.9235682309611551</x:v>
      </x:c>
      <x:c r="I153" t="b">
        <x:f>'Raw R'!O147</x:f>
        <x:v>1</x:v>
      </x:c>
      <x:c r="J153" s="100" t="n">
        <x:f>IF(I153,B153,"")</x:f>
        <x:v>-0.00547796507800229</x:v>
      </x:c>
      <x:c r="K153" s="100" t="n">
        <x:f>IF(I153,E153,"")</x:f>
        <x:v>-0.006316069470889241</x:v>
      </x:c>
      <x:c r="L153" s="100" t="n">
        <x:f>IF(I153,G153,"")</x:f>
        <x:v>0.0008381043928869514</x:v>
      </x:c>
      <x:c r="M153" s="100" t="n">
        <x:f>IF(I153,F153^2,"")</x:f>
        <x:v>7.024189733764054e-7</x:v>
      </x:c>
      <x:c r="N153" s="100" t="n">
        <x:f>IF(I153,F153,"")</x:f>
        <x:v>-0.0008381043928869514</x:v>
      </x:c>
      <x:c r="P153" t="n">
        <x:f>J153</x:f>
        <x:v>-0.00547796507800229</x:v>
      </x:c>
      <x:c r="Q153" t="n">
        <x:f>K153</x:f>
        <x:v>-0.006316069470889241</x:v>
      </x:c>
    </x:row>
    <x:row r="154">
      <x:c r="A154" s="99" t="str">
        <x:f>'Raw R'!B148</x:f>
        <x:v>00194</x:v>
      </x:c>
      <x:c r="B154" s="100" t="n">
        <x:f>INDEX('Raw Stations'!$D$2:$D$299,MATCH(A154,'Raw Stations'!$A$2:$A$299,0))</x:f>
        <x:v>-0.008163157509556488</x:v>
      </x:c>
      <x:c r="C154" s="100" t="n">
        <x:f>'Raw R'!L148</x:f>
        <x:v>-0.02667350603509397</x:v>
      </x:c>
      <x:c r="D154" s="100" t="n">
        <x:f>$B$2</x:f>
        <x:v>-0.01791329208576473</x:v>
      </x:c>
      <x:c r="E154" s="100" t="n">
        <x:f>C154-D154</x:f>
        <x:v>-0.00876021394932924</x:v>
      </x:c>
      <x:c r="F154" s="100" t="n">
        <x:f>E154-B154</x:f>
        <x:v>-0.0005970564397727515</x:v>
      </x:c>
      <x:c r="G154" s="100" t="n">
        <x:f>ABS(F154)</x:f>
        <x:v>0.0005970564397727515</x:v>
      </x:c>
      <x:c r="H154" s="100" t="n">
        <x:f>'Raw R'!N148</x:f>
        <x:v>0.9640135827873682</x:v>
      </x:c>
      <x:c r="I154" t="b">
        <x:f>'Raw R'!O148</x:f>
        <x:v>1</x:v>
      </x:c>
      <x:c r="J154" s="100" t="n">
        <x:f>IF(I154,B154,"")</x:f>
        <x:v>-0.008163157509556488</x:v>
      </x:c>
      <x:c r="K154" s="100" t="n">
        <x:f>IF(I154,E154,"")</x:f>
        <x:v>-0.00876021394932924</x:v>
      </x:c>
      <x:c r="L154" s="100" t="n">
        <x:f>IF(I154,G154,"")</x:f>
        <x:v>0.0005970564397727515</x:v>
      </x:c>
      <x:c r="M154" s="100" t="n">
        <x:f>IF(I154,F154^2,"")</x:f>
        <x:v>3.5647639227411327e-7</x:v>
      </x:c>
      <x:c r="N154" s="100" t="n">
        <x:f>IF(I154,F154,"")</x:f>
        <x:v>-0.0005970564397727515</x:v>
      </x:c>
      <x:c r="P154" t="n">
        <x:f>J154</x:f>
        <x:v>-0.008163157509556488</x:v>
      </x:c>
      <x:c r="Q154" t="n">
        <x:f>K154</x:f>
        <x:v>-0.00876021394932924</x:v>
      </x:c>
    </x:row>
    <x:row r="155">
      <x:c r="A155" s="99" t="str">
        <x:f>'Raw R'!B149</x:f>
        <x:v>00195</x:v>
      </x:c>
      <x:c r="B155" s="100" t="n">
        <x:f>INDEX('Raw Stations'!$D$2:$D$299,MATCH(A155,'Raw Stations'!$A$2:$A$299,0))</x:f>
        <x:v>-0.01120944848082588</x:v>
      </x:c>
      <x:c r="C155" s="100" t="n">
        <x:f>'Raw R'!L149</x:f>
        <x:v>-0.03166799212416602</x:v>
      </x:c>
      <x:c r="D155" s="100" t="n">
        <x:f>$B$2</x:f>
        <x:v>-0.01791329208576473</x:v>
      </x:c>
      <x:c r="E155" s="100" t="n">
        <x:f>C155-D155</x:f>
        <x:v>-0.013754700038401287</x:v>
      </x:c>
      <x:c r="F155" s="100" t="n">
        <x:f>E155-B155</x:f>
        <x:v>-0.002545251557575408</x:v>
      </x:c>
      <x:c r="G155" s="100" t="n">
        <x:f>ABS(F155)</x:f>
        <x:v>0.002545251557575408</x:v>
      </x:c>
      <x:c r="H155" s="100" t="n">
        <x:f>'Raw R'!N149</x:f>
        <x:v>0.9968152437236294</x:v>
      </x:c>
      <x:c r="I155" t="b">
        <x:f>'Raw R'!O149</x:f>
        <x:v>1</x:v>
      </x:c>
      <x:c r="J155" s="100" t="n">
        <x:f>IF(I155,B155,"")</x:f>
        <x:v>-0.01120944848082588</x:v>
      </x:c>
      <x:c r="K155" s="100" t="n">
        <x:f>IF(I155,E155,"")</x:f>
        <x:v>-0.013754700038401287</x:v>
      </x:c>
      <x:c r="L155" s="100" t="n">
        <x:f>IF(I155,G155,"")</x:f>
        <x:v>0.002545251557575408</x:v>
      </x:c>
      <x:c r="M155" s="100" t="n">
        <x:f>IF(I155,F155^2,"")</x:f>
        <x:v>0.00000647830549134004</x:v>
      </x:c>
      <x:c r="N155" s="100" t="n">
        <x:f>IF(I155,F155,"")</x:f>
        <x:v>-0.002545251557575408</x:v>
      </x:c>
      <x:c r="P155" t="n">
        <x:f>J155</x:f>
        <x:v>-0.01120944848082588</x:v>
      </x:c>
      <x:c r="Q155" t="n">
        <x:f>K155</x:f>
        <x:v>-0.013754700038401287</x:v>
      </x:c>
    </x:row>
    <x:row r="156">
      <x:c r="A156" s="99" t="str">
        <x:f>'Raw R'!B150</x:f>
        <x:v>00196</x:v>
      </x:c>
      <x:c r="B156" s="100" t="n">
        <x:f>INDEX('Raw Stations'!$D$2:$D$299,MATCH(A156,'Raw Stations'!$A$2:$A$299,0))</x:f>
        <x:v>0.001496941261580634</x:v>
      </x:c>
      <x:c r="C156" s="100" t="n">
        <x:f>'Raw R'!L150</x:f>
        <x:v>-0.01396858533681034</x:v>
      </x:c>
      <x:c r="D156" s="100" t="n">
        <x:f>$B$2</x:f>
        <x:v>-0.01791329208576473</x:v>
      </x:c>
      <x:c r="E156" s="100" t="n">
        <x:f>C156-D156</x:f>
        <x:v>0.003944706748954389</x:v>
      </x:c>
      <x:c r="F156" s="100" t="n">
        <x:f>E156-B156</x:f>
        <x:v>0.0024477654873737553</x:v>
      </x:c>
      <x:c r="G156" s="100" t="n">
        <x:f>ABS(F156)</x:f>
        <x:v>0.0024477654873737553</x:v>
      </x:c>
      <x:c r="H156" s="100" t="n">
        <x:f>'Raw R'!N150</x:f>
        <x:v>0.9923492480656111</x:v>
      </x:c>
      <x:c r="I156" t="b">
        <x:f>'Raw R'!O150</x:f>
        <x:v>1</x:v>
      </x:c>
      <x:c r="J156" s="100" t="n">
        <x:f>IF(I156,B156,"")</x:f>
        <x:v>0.001496941261580634</x:v>
      </x:c>
      <x:c r="K156" s="100" t="n">
        <x:f>IF(I156,E156,"")</x:f>
        <x:v>0.003944706748954389</x:v>
      </x:c>
      <x:c r="L156" s="100" t="n">
        <x:f>IF(I156,G156,"")</x:f>
        <x:v>0.0024477654873737553</x:v>
      </x:c>
      <x:c r="M156" s="100" t="n">
        <x:f>IF(I156,F156^2,"")</x:f>
        <x:v>0.0000059915558811780776</x:v>
      </x:c>
      <x:c r="N156" s="100" t="n">
        <x:f>IF(I156,F156,"")</x:f>
        <x:v>0.0024477654873737553</x:v>
      </x:c>
      <x:c r="P156" t="n">
        <x:f>J156</x:f>
        <x:v>0.001496941261580634</x:v>
      </x:c>
      <x:c r="Q156" t="n">
        <x:f>K156</x:f>
        <x:v>0.003944706748954389</x:v>
      </x:c>
    </x:row>
    <x:row r="157">
      <x:c r="A157" s="99" t="str">
        <x:f>'Raw R'!B151</x:f>
        <x:v>00197</x:v>
      </x:c>
      <x:c r="B157" s="100" t="n">
        <x:f>INDEX('Raw Stations'!$D$2:$D$299,MATCH(A157,'Raw Stations'!$A$2:$A$299,0))</x:f>
        <x:v>0.006090145512306378</x:v>
      </x:c>
      <x:c r="C157" s="100" t="n">
        <x:f>'Raw R'!L151</x:f>
        <x:v>-0.03076564658452518</x:v>
      </x:c>
      <x:c r="D157" s="100" t="n">
        <x:f>$B$2</x:f>
        <x:v>-0.01791329208576473</x:v>
      </x:c>
      <x:c r="E157" s="100" t="n">
        <x:f>C157-D157</x:f>
        <x:v>-0.01285235449876045</x:v>
      </x:c>
      <x:c r="F157" s="100" t="n">
        <x:f>E157-B157</x:f>
        <x:v>-0.01894250001106683</x:v>
      </x:c>
      <x:c r="G157" s="100" t="n">
        <x:f>ABS(F157)</x:f>
        <x:v>0.01894250001106683</x:v>
      </x:c>
      <x:c r="H157" s="100" t="n">
        <x:f>'Raw R'!N151</x:f>
        <x:v>0.7601683566201471</x:v>
      </x:c>
      <x:c r="I157" t="b">
        <x:f>'Raw R'!O151</x:f>
        <x:v>1</x:v>
      </x:c>
      <x:c r="J157" s="100" t="n">
        <x:f>IF(I157,B157,"")</x:f>
        <x:v>0.006090145512306378</x:v>
      </x:c>
      <x:c r="K157" s="100" t="n">
        <x:f>IF(I157,E157,"")</x:f>
        <x:v>-0.01285235449876045</x:v>
      </x:c>
      <x:c r="L157" s="100" t="n">
        <x:f>IF(I157,G157,"")</x:f>
        <x:v>0.01894250001106683</x:v>
      </x:c>
      <x:c r="M157" s="100" t="n">
        <x:f>IF(I157,F157^2,"")</x:f>
        <x:v>0.0003588183066692668</x:v>
      </x:c>
      <x:c r="N157" s="100" t="n">
        <x:f>IF(I157,F157,"")</x:f>
        <x:v>-0.01894250001106683</x:v>
      </x:c>
      <x:c r="P157" t="n">
        <x:f>J157</x:f>
        <x:v>0.006090145512306378</x:v>
      </x:c>
      <x:c r="Q157" t="n">
        <x:f>K157</x:f>
        <x:v>-0.01285235449876045</x:v>
      </x:c>
    </x:row>
    <x:row r="158">
      <x:c r="A158" s="99" t="str">
        <x:f>'Raw R'!B152</x:f>
        <x:v>00198</x:v>
      </x:c>
      <x:c r="B158" s="100" t="n">
        <x:f>INDEX('Raw Stations'!$D$2:$D$299,MATCH(A158,'Raw Stations'!$A$2:$A$299,0))</x:f>
        <x:v>0.01423790507455025</x:v>
      </x:c>
      <x:c r="C158" s="100" t="n">
        <x:f>'Raw R'!L152</x:f>
        <x:v>-0.003585630834498168</x:v>
      </x:c>
      <x:c r="D158" s="100" t="n">
        <x:f>$B$2</x:f>
        <x:v>-0.01791329208576473</x:v>
      </x:c>
      <x:c r="E158" s="100" t="n">
        <x:f>C158-D158</x:f>
        <x:v>0.014327661251266562</x:v>
      </x:c>
      <x:c r="F158" s="100" t="n">
        <x:f>E158-B158</x:f>
        <x:v>0.00008975617671631159</x:v>
      </x:c>
      <x:c r="G158" s="100" t="n">
        <x:f>ABS(F158)</x:f>
        <x:v>0.00008975617671631159</x:v>
      </x:c>
      <x:c r="H158" s="100" t="n">
        <x:f>'Raw R'!N152</x:f>
        <x:v>0.9780630510810971</x:v>
      </x:c>
      <x:c r="I158" t="b">
        <x:f>'Raw R'!O152</x:f>
        <x:v>1</x:v>
      </x:c>
      <x:c r="J158" s="100" t="n">
        <x:f>IF(I158,B158,"")</x:f>
        <x:v>0.01423790507455025</x:v>
      </x:c>
      <x:c r="K158" s="100" t="n">
        <x:f>IF(I158,E158,"")</x:f>
        <x:v>0.014327661251266562</x:v>
      </x:c>
      <x:c r="L158" s="100" t="n">
        <x:f>IF(I158,G158,"")</x:f>
        <x:v>0.00008975617671631159</x:v>
      </x:c>
      <x:c r="M158" s="100" t="n">
        <x:f>IF(I158,F158^2,"")</x:f>
        <x:v>8.056171258729753e-9</x:v>
      </x:c>
      <x:c r="N158" s="100" t="n">
        <x:f>IF(I158,F158,"")</x:f>
        <x:v>0.00008975617671631159</x:v>
      </x:c>
      <x:c r="P158" t="n">
        <x:f>J158</x:f>
        <x:v>0.01423790507455025</x:v>
      </x:c>
      <x:c r="Q158" t="n">
        <x:f>K158</x:f>
        <x:v>0.014327661251266562</x:v>
      </x:c>
    </x:row>
    <x:row r="159">
      <x:c r="A159" s="99" t="str">
        <x:f>'Raw R'!B153</x:f>
        <x:v>00199</x:v>
      </x:c>
      <x:c r="B159" s="100" t="n">
        <x:f>INDEX('Raw Stations'!$D$2:$D$299,MATCH(A159,'Raw Stations'!$A$2:$A$299,0))</x:f>
        <x:v>-0.0008974718772340393</x:v>
      </x:c>
      <x:c r="C159" s="100" t="n">
        <x:f>'Raw R'!L153</x:f>
        <x:v>-0.02019154184312157</x:v>
      </x:c>
      <x:c r="D159" s="100" t="n">
        <x:f>$B$2</x:f>
        <x:v>-0.01791329208576473</x:v>
      </x:c>
      <x:c r="E159" s="100" t="n">
        <x:f>C159-D159</x:f>
        <x:v>-0.00227824975735684</x:v>
      </x:c>
      <x:c r="F159" s="100" t="n">
        <x:f>E159-B159</x:f>
        <x:v>-0.0013807778801228007</x:v>
      </x:c>
      <x:c r="G159" s="100" t="n">
        <x:f>ABS(F159)</x:f>
        <x:v>0.0013807778801228007</x:v>
      </x:c>
      <x:c r="H159" s="100" t="n">
        <x:f>'Raw R'!N153</x:f>
        <x:v>0.9857734325365798</x:v>
      </x:c>
      <x:c r="I159" t="b">
        <x:f>'Raw R'!O153</x:f>
        <x:v>1</x:v>
      </x:c>
      <x:c r="J159" s="100" t="n">
        <x:f>IF(I159,B159,"")</x:f>
        <x:v>-0.0008974718772340393</x:v>
      </x:c>
      <x:c r="K159" s="100" t="n">
        <x:f>IF(I159,E159,"")</x:f>
        <x:v>-0.00227824975735684</x:v>
      </x:c>
      <x:c r="L159" s="100" t="n">
        <x:f>IF(I159,G159,"")</x:f>
        <x:v>0.0013807778801228007</x:v>
      </x:c>
      <x:c r="M159" s="100" t="n">
        <x:f>IF(I159,F159^2,"")</x:f>
        <x:v>0.0000019065475542364154</x:v>
      </x:c>
      <x:c r="N159" s="100" t="n">
        <x:f>IF(I159,F159,"")</x:f>
        <x:v>-0.0013807778801228007</x:v>
      </x:c>
      <x:c r="P159" t="n">
        <x:f>J159</x:f>
        <x:v>-0.0008974718772340393</x:v>
      </x:c>
      <x:c r="Q159" t="n">
        <x:f>K159</x:f>
        <x:v>-0.00227824975735684</x:v>
      </x:c>
    </x:row>
    <x:row r="160">
      <x:c r="A160" s="99" t="str">
        <x:f>'Raw R'!B154</x:f>
        <x:v>00200</x:v>
      </x:c>
      <x:c r="B160" s="100" t="n">
        <x:f>INDEX('Raw Stations'!$D$2:$D$299,MATCH(A160,'Raw Stations'!$A$2:$A$299,0))</x:f>
        <x:v>0.006653503226424532</x:v>
      </x:c>
      <x:c r="C160" s="100" t="n">
        <x:f>'Raw R'!L154</x:f>
        <x:v>-0.01281202337196644</x:v>
      </x:c>
      <x:c r="D160" s="100" t="n">
        <x:f>$B$2</x:f>
        <x:v>-0.01791329208576473</x:v>
      </x:c>
      <x:c r="E160" s="100" t="n">
        <x:f>C160-D160</x:f>
        <x:v>0.005101268713798289</x:v>
      </x:c>
      <x:c r="F160" s="100" t="n">
        <x:f>E160-B160</x:f>
        <x:v>-0.001552234512626243</x:v>
      </x:c>
      <x:c r="G160" s="100" t="n">
        <x:f>ABS(F160)</x:f>
        <x:v>0.001552234512626243</x:v>
      </x:c>
      <x:c r="H160" s="100" t="n">
        <x:f>'Raw R'!N154</x:f>
        <x:v>0.9735185490112415</x:v>
      </x:c>
      <x:c r="I160" t="b">
        <x:f>'Raw R'!O154</x:f>
        <x:v>1</x:v>
      </x:c>
      <x:c r="J160" s="100" t="n">
        <x:f>IF(I160,B160,"")</x:f>
        <x:v>0.006653503226424532</x:v>
      </x:c>
      <x:c r="K160" s="100" t="n">
        <x:f>IF(I160,E160,"")</x:f>
        <x:v>0.005101268713798289</x:v>
      </x:c>
      <x:c r="L160" s="100" t="n">
        <x:f>IF(I160,G160,"")</x:f>
        <x:v>0.001552234512626243</x:v>
      </x:c>
      <x:c r="M160" s="100" t="n">
        <x:f>IF(I160,F160^2,"")</x:f>
        <x:v>0.0000024094319821880302</x:v>
      </x:c>
      <x:c r="N160" s="100" t="n">
        <x:f>IF(I160,F160,"")</x:f>
        <x:v>-0.001552234512626243</x:v>
      </x:c>
      <x:c r="P160" t="n">
        <x:f>J160</x:f>
        <x:v>0.006653503226424532</x:v>
      </x:c>
      <x:c r="Q160" t="n">
        <x:f>K160</x:f>
        <x:v>0.005101268713798289</x:v>
      </x:c>
    </x:row>
    <x:row r="161">
      <x:c r="A161" s="99" t="str">
        <x:f>'Raw R'!B155</x:f>
        <x:v>00201</x:v>
      </x:c>
      <x:c r="B161" s="100" t="n">
        <x:f>INDEX('Raw Stations'!$D$2:$D$299,MATCH(A161,'Raw Stations'!$A$2:$A$299,0))</x:f>
        <x:v>0.02106592685755746</x:v>
      </x:c>
      <x:c r="C161" s="100" t="n">
        <x:f>'Raw R'!L155</x:f>
        <x:v>0.002314530378905777</x:v>
      </x:c>
      <x:c r="D161" s="100" t="n">
        <x:f>$B$2</x:f>
        <x:v>-0.01791329208576473</x:v>
      </x:c>
      <x:c r="E161" s="100" t="n">
        <x:f>C161-D161</x:f>
        <x:v>0.020227822464670506</x:v>
      </x:c>
      <x:c r="F161" s="100" t="n">
        <x:f>E161-B161</x:f>
        <x:v>-0.0008381043928869548</x:v>
      </x:c>
      <x:c r="G161" s="100" t="n">
        <x:f>ABS(F161)</x:f>
        <x:v>0.0008381043928869548</x:v>
      </x:c>
      <x:c r="H161" s="100" t="n">
        <x:f>'Raw R'!N155</x:f>
        <x:v>0.9439267196247053</x:v>
      </x:c>
      <x:c r="I161" t="b">
        <x:f>'Raw R'!O155</x:f>
        <x:v>1</x:v>
      </x:c>
      <x:c r="J161" s="100" t="n">
        <x:f>IF(I161,B161,"")</x:f>
        <x:v>0.02106592685755746</x:v>
      </x:c>
      <x:c r="K161" s="100" t="n">
        <x:f>IF(I161,E161,"")</x:f>
        <x:v>0.020227822464670506</x:v>
      </x:c>
      <x:c r="L161" s="100" t="n">
        <x:f>IF(I161,G161,"")</x:f>
        <x:v>0.0008381043928869548</x:v>
      </x:c>
      <x:c r="M161" s="100" t="n">
        <x:f>IF(I161,F161^2,"")</x:f>
        <x:v>7.024189733764112e-7</x:v>
      </x:c>
      <x:c r="N161" s="100" t="n">
        <x:f>IF(I161,F161,"")</x:f>
        <x:v>-0.0008381043928869548</x:v>
      </x:c>
      <x:c r="P161" t="n">
        <x:f>J161</x:f>
        <x:v>0.02106592685755746</x:v>
      </x:c>
      <x:c r="Q161" t="n">
        <x:f>K161</x:f>
        <x:v>0.020227822464670506</x:v>
      </x:c>
    </x:row>
    <x:row r="162">
      <x:c r="A162" s="99" t="str">
        <x:f>'Raw R'!B156</x:f>
        <x:v>00202</x:v>
      </x:c>
      <x:c r="B162" s="100" t="n">
        <x:f>INDEX('Raw Stations'!$D$2:$D$299,MATCH(A162,'Raw Stations'!$A$2:$A$299,0))</x:f>
        <x:v>0.0293473488385489</x:v>
      </x:c>
      <x:c r="C162" s="100" t="n">
        <x:f>'Raw R'!L156</x:f>
        <x:v>0.009804259087224862</x:v>
      </x:c>
      <x:c r="D162" s="100" t="n">
        <x:f>$B$2</x:f>
        <x:v>-0.01791329208576473</x:v>
      </x:c>
      <x:c r="E162" s="100" t="n">
        <x:f>C162-D162</x:f>
        <x:v>0.02771755117298959</x:v>
      </x:c>
      <x:c r="F162" s="100" t="n">
        <x:f>E162-B162</x:f>
        <x:v>-0.0016297976655593079</x:v>
      </x:c>
      <x:c r="G162" s="100" t="n">
        <x:f>ABS(F162)</x:f>
        <x:v>0.0016297976655593079</x:v>
      </x:c>
      <x:c r="H162" s="100" t="n">
        <x:f>'Raw R'!N156</x:f>
        <x:v>0.9711105869756615</x:v>
      </x:c>
      <x:c r="I162" t="b">
        <x:f>'Raw R'!O156</x:f>
        <x:v>1</x:v>
      </x:c>
      <x:c r="J162" s="100" t="n">
        <x:f>IF(I162,B162,"")</x:f>
        <x:v>0.0293473488385489</x:v>
      </x:c>
      <x:c r="K162" s="100" t="n">
        <x:f>IF(I162,E162,"")</x:f>
        <x:v>0.02771755117298959</x:v>
      </x:c>
      <x:c r="L162" s="100" t="n">
        <x:f>IF(I162,G162,"")</x:f>
        <x:v>0.0016297976655593079</x:v>
      </x:c>
      <x:c r="M162" s="100" t="n">
        <x:f>IF(I162,F162^2,"")</x:f>
        <x:v>0.0000026562404306625695</x:v>
      </x:c>
      <x:c r="N162" s="100" t="n">
        <x:f>IF(I162,F162,"")</x:f>
        <x:v>-0.0016297976655593079</x:v>
      </x:c>
      <x:c r="P162" t="n">
        <x:f>J162</x:f>
        <x:v>0.0293473488385489</x:v>
      </x:c>
      <x:c r="Q162" t="n">
        <x:f>K162</x:f>
        <x:v>0.02771755117298959</x:v>
      </x:c>
    </x:row>
    <x:row r="163">
      <x:c r="A163" s="99" t="str">
        <x:f>'Raw R'!B157</x:f>
        <x:v>00203</x:v>
      </x:c>
      <x:c r="B163" s="100" t="n">
        <x:f>INDEX('Raw Stations'!$D$2:$D$299,MATCH(A163,'Raw Stations'!$A$2:$A$299,0))</x:f>
        <x:v>0.02797364853392845</x:v>
      </x:c>
      <x:c r="C163" s="100" t="n">
        <x:f>'Raw R'!L157</x:f>
        <x:v>0.0120282061335252</x:v>
      </x:c>
      <x:c r="D163" s="100" t="n">
        <x:f>$B$2</x:f>
        <x:v>-0.01791329208576473</x:v>
      </x:c>
      <x:c r="E163" s="100" t="n">
        <x:f>C163-D163</x:f>
        <x:v>0.02994149821928993</x:v>
      </x:c>
      <x:c r="F163" s="100" t="n">
        <x:f>E163-B163</x:f>
        <x:v>0.00196784968536148</x:v>
      </x:c>
      <x:c r="G163" s="100" t="n">
        <x:f>ABS(F163)</x:f>
        <x:v>0.00196784968536148</x:v>
      </x:c>
      <x:c r="H163" s="100" t="n">
        <x:f>'Raw R'!N157</x:f>
        <x:v>0.9555229579359654</x:v>
      </x:c>
      <x:c r="I163" t="b">
        <x:f>'Raw R'!O157</x:f>
        <x:v>1</x:v>
      </x:c>
      <x:c r="J163" s="100" t="n">
        <x:f>IF(I163,B163,"")</x:f>
        <x:v>0.02797364853392845</x:v>
      </x:c>
      <x:c r="K163" s="100" t="n">
        <x:f>IF(I163,E163,"")</x:f>
        <x:v>0.02994149821928993</x:v>
      </x:c>
      <x:c r="L163" s="100" t="n">
        <x:f>IF(I163,G163,"")</x:f>
        <x:v>0.00196784968536148</x:v>
      </x:c>
      <x:c r="M163" s="100" t="n">
        <x:f>IF(I163,F163^2,"")</x:f>
        <x:v>0.000003872432384177276</x:v>
      </x:c>
      <x:c r="N163" s="100" t="n">
        <x:f>IF(I163,F163,"")</x:f>
        <x:v>0.00196784968536148</x:v>
      </x:c>
      <x:c r="P163" t="n">
        <x:f>J163</x:f>
        <x:v>0.02797364853392845</x:v>
      </x:c>
      <x:c r="Q163" t="n">
        <x:f>K163</x:f>
        <x:v>0.02994149821928993</x:v>
      </x:c>
    </x:row>
    <x:row r="164">
      <x:c r="A164" s="99" t="str">
        <x:f>'Raw R'!B158</x:f>
        <x:v>00204</x:v>
      </x:c>
      <x:c r="B164" s="100" t="n">
        <x:f>INDEX('Raw Stations'!$D$2:$D$299,MATCH(A164,'Raw Stations'!$A$2:$A$299,0))</x:f>
        <x:v>0.03222743319261328</x:v>
      </x:c>
      <x:c r="C164" s="100" t="n">
        <x:f>'Raw R'!L158</x:f>
        <x:v>0.01440389728356486</x:v>
      </x:c>
      <x:c r="D164" s="100" t="n">
        <x:f>$B$2</x:f>
        <x:v>-0.01791329208576473</x:v>
      </x:c>
      <x:c r="E164" s="100" t="n">
        <x:f>C164-D164</x:f>
        <x:v>0.03231718936932959</x:v>
      </x:c>
      <x:c r="F164" s="100" t="n">
        <x:f>E164-B164</x:f>
        <x:v>0.00008975617671631159</x:v>
      </x:c>
      <x:c r="G164" s="100" t="n">
        <x:f>ABS(F164)</x:f>
        <x:v>0.00008975617671631159</x:v>
      </x:c>
      <x:c r="H164" s="100" t="n">
        <x:f>'Raw R'!N158</x:f>
        <x:v>0.9008990698548055</x:v>
      </x:c>
      <x:c r="I164" t="b">
        <x:f>'Raw R'!O158</x:f>
        <x:v>1</x:v>
      </x:c>
      <x:c r="J164" s="100" t="n">
        <x:f>IF(I164,B164,"")</x:f>
        <x:v>0.03222743319261328</x:v>
      </x:c>
      <x:c r="K164" s="100" t="n">
        <x:f>IF(I164,E164,"")</x:f>
        <x:v>0.03231718936932959</x:v>
      </x:c>
      <x:c r="L164" s="100" t="n">
        <x:f>IF(I164,G164,"")</x:f>
        <x:v>0.00008975617671631159</x:v>
      </x:c>
      <x:c r="M164" s="100" t="n">
        <x:f>IF(I164,F164^2,"")</x:f>
        <x:v>8.056171258729753e-9</x:v>
      </x:c>
      <x:c r="N164" s="100" t="n">
        <x:f>IF(I164,F164,"")</x:f>
        <x:v>0.00008975617671631159</x:v>
      </x:c>
      <x:c r="P164" t="n">
        <x:f>J164</x:f>
        <x:v>0.03222743319261328</x:v>
      </x:c>
      <x:c r="Q164" t="n">
        <x:f>K164</x:f>
        <x:v>0.03231718936932959</x:v>
      </x:c>
    </x:row>
    <x:row r="165">
      <x:c r="A165" s="99" t="str">
        <x:f>'Raw R'!B159</x:f>
        <x:v>00205</x:v>
      </x:c>
      <x:c r="B165" s="100" t="n">
        <x:f>INDEX('Raw Stations'!$D$2:$D$299,MATCH(A165,'Raw Stations'!$A$2:$A$299,0))</x:f>
        <x:v>0.03290607268106729</x:v>
      </x:c>
      <x:c r="C165" s="100" t="n">
        <x:f>'Raw R'!L159</x:f>
        <x:v>0.01441433914418989</x:v>
      </x:c>
      <x:c r="D165" s="100" t="n">
        <x:f>$B$2</x:f>
        <x:v>-0.01791329208576473</x:v>
      </x:c>
      <x:c r="E165" s="100" t="n">
        <x:f>C165-D165</x:f>
        <x:v>0.03232763122995462</x:v>
      </x:c>
      <x:c r="F165" s="100" t="n">
        <x:f>E165-B165</x:f>
        <x:v>-0.000578441451112667</x:v>
      </x:c>
      <x:c r="G165" s="100" t="n">
        <x:f>ABS(F165)</x:f>
        <x:v>0.000578441451112667</x:v>
      </x:c>
      <x:c r="H165" s="100" t="n">
        <x:f>'Raw R'!N159</x:f>
        <x:v>0.7831900405006165</x:v>
      </x:c>
      <x:c r="I165" t="b">
        <x:f>'Raw R'!O159</x:f>
        <x:v>1</x:v>
      </x:c>
      <x:c r="J165" s="100" t="n">
        <x:f>IF(I165,B165,"")</x:f>
        <x:v>0.03290607268106729</x:v>
      </x:c>
      <x:c r="K165" s="100" t="n">
        <x:f>IF(I165,E165,"")</x:f>
        <x:v>0.03232763122995462</x:v>
      </x:c>
      <x:c r="L165" s="100" t="n">
        <x:f>IF(I165,G165,"")</x:f>
        <x:v>0.000578441451112667</x:v>
      </x:c>
      <x:c r="M165" s="100" t="n">
        <x:f>IF(I165,F165^2,"")</x:f>
        <x:v>3.3459451236532795e-7</x:v>
      </x:c>
      <x:c r="N165" s="100" t="n">
        <x:f>IF(I165,F165,"")</x:f>
        <x:v>-0.000578441451112667</x:v>
      </x:c>
      <x:c r="P165" t="n">
        <x:f>J165</x:f>
        <x:v>0.03290607268106729</x:v>
      </x:c>
      <x:c r="Q165" t="n">
        <x:f>K165</x:f>
        <x:v>0.03232763122995462</x:v>
      </x:c>
    </x:row>
    <x:row r="166">
      <x:c r="A166" s="99" t="str">
        <x:f>'Raw R'!B160</x:f>
        <x:v>00206</x:v>
      </x:c>
      <x:c r="B166" s="100" t="n">
        <x:f>INDEX('Raw Stations'!$D$2:$D$299,MATCH(A166,'Raw Stations'!$A$2:$A$299,0))</x:f>
        <x:v>-0.009619256451526385</x:v>
      </x:c>
      <x:c r="C166" s="100" t="n">
        <x:f>'Raw R'!L160</x:f>
        <x:v>-0.03070863579078105</x:v>
      </x:c>
      <x:c r="D166" s="100" t="n">
        <x:f>$B$2</x:f>
        <x:v>-0.01791329208576473</x:v>
      </x:c>
      <x:c r="E166" s="100" t="n">
        <x:f>C166-D166</x:f>
        <x:v>-0.01279534370501632</x:v>
      </x:c>
      <x:c r="F166" s="100" t="n">
        <x:f>E166-B166</x:f>
        <x:v>-0.003176087253489935</x:v>
      </x:c>
      <x:c r="G166" s="100" t="n">
        <x:f>ABS(F166)</x:f>
        <x:v>0.003176087253489935</x:v>
      </x:c>
      <x:c r="H166" s="100" t="n">
        <x:f>'Raw R'!N160</x:f>
        <x:v>0.8678672395308634</x:v>
      </x:c>
      <x:c r="I166" t="b">
        <x:f>'Raw R'!O160</x:f>
        <x:v>1</x:v>
      </x:c>
      <x:c r="J166" s="100" t="n">
        <x:f>IF(I166,B166,"")</x:f>
        <x:v>-0.009619256451526385</x:v>
      </x:c>
      <x:c r="K166" s="100" t="n">
        <x:f>IF(I166,E166,"")</x:f>
        <x:v>-0.01279534370501632</x:v>
      </x:c>
      <x:c r="L166" s="100" t="n">
        <x:f>IF(I166,G166,"")</x:f>
        <x:v>0.003176087253489935</x:v>
      </x:c>
      <x:c r="M166" s="100" t="n">
        <x:f>IF(I166,F166^2,"")</x:f>
        <x:v>0.000010087530241781238</x:v>
      </x:c>
      <x:c r="N166" s="100" t="n">
        <x:f>IF(I166,F166,"")</x:f>
        <x:v>-0.003176087253489935</x:v>
      </x:c>
      <x:c r="P166" t="n">
        <x:f>J166</x:f>
        <x:v>-0.009619256451526385</x:v>
      </x:c>
      <x:c r="Q166" t="n">
        <x:f>K166</x:f>
        <x:v>-0.01279534370501632</x:v>
      </x:c>
    </x:row>
    <x:row r="167">
      <x:c r="A167" s="99" t="str">
        <x:f>'Raw R'!B161</x:f>
        <x:v>00207</x:v>
      </x:c>
      <x:c r="B167" s="100" t="n">
        <x:f>INDEX('Raw Stations'!$D$2:$D$299,MATCH(A167,'Raw Stations'!$A$2:$A$299,0))</x:f>
        <x:v>-0.007172862165031633</x:v>
      </x:c>
      <x:c r="C167" s="100" t="n">
        <x:f>'Raw R'!L161</x:f>
        <x:v>-0.02673046080763661</x:v>
      </x:c>
      <x:c r="D167" s="100" t="n">
        <x:f>$B$2</x:f>
        <x:v>-0.01791329208576473</x:v>
      </x:c>
      <x:c r="E167" s="100" t="n">
        <x:f>C167-D167</x:f>
        <x:v>-0.008817168721871882</x:v>
      </x:c>
      <x:c r="F167" s="100" t="n">
        <x:f>E167-B167</x:f>
        <x:v>-0.0016443065568402492</x:v>
      </x:c>
      <x:c r="G167" s="100" t="n">
        <x:f>ABS(F167)</x:f>
        <x:v>0.0016443065568402492</x:v>
      </x:c>
      <x:c r="H167" s="100" t="n">
        <x:f>'Raw R'!N161</x:f>
        <x:v>0.8979173563772425</x:v>
      </x:c>
      <x:c r="I167" t="b">
        <x:f>'Raw R'!O161</x:f>
        <x:v>1</x:v>
      </x:c>
      <x:c r="J167" s="100" t="n">
        <x:f>IF(I167,B167,"")</x:f>
        <x:v>-0.007172862165031633</x:v>
      </x:c>
      <x:c r="K167" s="100" t="n">
        <x:f>IF(I167,E167,"")</x:f>
        <x:v>-0.008817168721871882</x:v>
      </x:c>
      <x:c r="L167" s="100" t="n">
        <x:f>IF(I167,G167,"")</x:f>
        <x:v>0.0016443065568402492</x:v>
      </x:c>
      <x:c r="M167" s="100" t="n">
        <x:f>IF(I167,F167^2,"")</x:f>
        <x:v>0.0000027037440528678354</x:v>
      </x:c>
      <x:c r="N167" s="100" t="n">
        <x:f>IF(I167,F167,"")</x:f>
        <x:v>-0.0016443065568402492</x:v>
      </x:c>
      <x:c r="P167" t="n">
        <x:f>J167</x:f>
        <x:v>-0.007172862165031633</x:v>
      </x:c>
      <x:c r="Q167" t="n">
        <x:f>K167</x:f>
        <x:v>-0.008817168721871882</x:v>
      </x:c>
    </x:row>
    <x:row r="168">
      <x:c r="A168" s="99" t="str">
        <x:f>'Raw R'!B162</x:f>
        <x:v>00209</x:v>
      </x:c>
      <x:c r="B168" s="100" t="n">
        <x:f>INDEX('Raw Stations'!$D$2:$D$299,MATCH(A168,'Raw Stations'!$A$2:$A$299,0))</x:f>
        <x:v>0.009499429343574405</x:v>
      </x:c>
      <x:c r="C168" s="100" t="n">
        <x:f>'Raw R'!L162</x:f>
        <x:v>-0.009966097254816567</x:v>
      </x:c>
      <x:c r="D168" s="100" t="n">
        <x:f>$B$2</x:f>
        <x:v>-0.01791329208576473</x:v>
      </x:c>
      <x:c r="E168" s="100" t="n">
        <x:f>C168-D168</x:f>
        <x:v>0.007947194830948162</x:v>
      </x:c>
      <x:c r="F168" s="100" t="n">
        <x:f>E168-B168</x:f>
        <x:v>-0.001552234512626243</x:v>
      </x:c>
      <x:c r="G168" s="100" t="n">
        <x:f>ABS(F168)</x:f>
        <x:v>0.001552234512626243</x:v>
      </x:c>
      <x:c r="H168" s="100" t="n">
        <x:f>'Raw R'!N162</x:f>
        <x:v>0.8587470656055741</x:v>
      </x:c>
      <x:c r="I168" t="b">
        <x:f>'Raw R'!O162</x:f>
        <x:v>1</x:v>
      </x:c>
      <x:c r="J168" s="100" t="n">
        <x:f>IF(I168,B168,"")</x:f>
        <x:v>0.009499429343574405</x:v>
      </x:c>
      <x:c r="K168" s="100" t="n">
        <x:f>IF(I168,E168,"")</x:f>
        <x:v>0.007947194830948162</x:v>
      </x:c>
      <x:c r="L168" s="100" t="n">
        <x:f>IF(I168,G168,"")</x:f>
        <x:v>0.001552234512626243</x:v>
      </x:c>
      <x:c r="M168" s="100" t="n">
        <x:f>IF(I168,F168^2,"")</x:f>
        <x:v>0.0000024094319821880302</x:v>
      </x:c>
      <x:c r="N168" s="100" t="n">
        <x:f>IF(I168,F168,"")</x:f>
        <x:v>-0.001552234512626243</x:v>
      </x:c>
      <x:c r="P168" t="n">
        <x:f>J168</x:f>
        <x:v>0.009499429343574405</x:v>
      </x:c>
      <x:c r="Q168" t="n">
        <x:f>K168</x:f>
        <x:v>0.007947194830948162</x:v>
      </x:c>
    </x:row>
    <x:row r="169">
      <x:c r="A169" s="99" t="str">
        <x:f>'Raw R'!B163</x:f>
        <x:v>00210</x:v>
      </x:c>
      <x:c r="B169" s="100" t="n">
        <x:f>INDEX('Raw Stations'!$D$2:$D$299,MATCH(A169,'Raw Stations'!$A$2:$A$299,0))</x:f>
        <x:v>-0.00565086612055193</x:v>
      </x:c>
      <x:c r="C169" s="100" t="n">
        <x:f>'Raw R'!L163</x:f>
        <x:v>-0.02543106341209</x:v>
      </x:c>
      <x:c r="D169" s="100" t="n">
        <x:f>$B$2</x:f>
        <x:v>-0.01791329208576473</x:v>
      </x:c>
      <x:c r="E169" s="100" t="n">
        <x:f>C169-D169</x:f>
        <x:v>-0.007517771326325272</x:v>
      </x:c>
      <x:c r="F169" s="100" t="n">
        <x:f>E169-B169</x:f>
        <x:v>-0.0018669052057733422</x:v>
      </x:c>
      <x:c r="G169" s="100" t="n">
        <x:f>ABS(F169)</x:f>
        <x:v>0.0018669052057733422</x:v>
      </x:c>
      <x:c r="H169" s="100" t="n">
        <x:f>'Raw R'!N163</x:f>
        <x:v>0.9884473887367058</x:v>
      </x:c>
      <x:c r="I169" t="b">
        <x:f>'Raw R'!O163</x:f>
        <x:v>1</x:v>
      </x:c>
      <x:c r="J169" s="100" t="n">
        <x:f>IF(I169,B169,"")</x:f>
        <x:v>-0.00565086612055193</x:v>
      </x:c>
      <x:c r="K169" s="100" t="n">
        <x:f>IF(I169,E169,"")</x:f>
        <x:v>-0.007517771326325272</x:v>
      </x:c>
      <x:c r="L169" s="100" t="n">
        <x:f>IF(I169,G169,"")</x:f>
        <x:v>0.0018669052057733422</x:v>
      </x:c>
      <x:c r="M169" s="100" t="n">
        <x:f>IF(I169,F169^2,"")</x:f>
        <x:v>0.0000034853350473436054</x:v>
      </x:c>
      <x:c r="N169" s="100" t="n">
        <x:f>IF(I169,F169,"")</x:f>
        <x:v>-0.0018669052057733422</x:v>
      </x:c>
      <x:c r="P169" t="n">
        <x:f>J169</x:f>
        <x:v>-0.00565086612055193</x:v>
      </x:c>
      <x:c r="Q169" t="n">
        <x:f>K169</x:f>
        <x:v>-0.007517771326325272</x:v>
      </x:c>
    </x:row>
    <x:row r="170">
      <x:c r="A170" s="99" t="str">
        <x:f>'Raw R'!B164</x:f>
        <x:v>00211</x:v>
      </x:c>
      <x:c r="B170" s="100" t="n">
        <x:f>INDEX('Raw Stations'!$D$2:$D$299,MATCH(A170,'Raw Stations'!$A$2:$A$299,0))</x:f>
        <x:v>-0.01032022145899443</x:v>
      </x:c>
      <x:c r="C170" s="100" t="n">
        <x:f>'Raw R'!L164</x:f>
        <x:v>-0.03077876510233457</x:v>
      </x:c>
      <x:c r="D170" s="100" t="n">
        <x:f>$B$2</x:f>
        <x:v>-0.01791329208576473</x:v>
      </x:c>
      <x:c r="E170" s="100" t="n">
        <x:f>C170-D170</x:f>
        <x:v>-0.012865473016569842</x:v>
      </x:c>
      <x:c r="F170" s="100" t="n">
        <x:f>E170-B170</x:f>
        <x:v>-0.0025452515575754113</x:v>
      </x:c>
      <x:c r="G170" s="100" t="n">
        <x:f>ABS(F170)</x:f>
        <x:v>0.0025452515575754113</x:v>
      </x:c>
      <x:c r="H170" s="100" t="n">
        <x:f>'Raw R'!N164</x:f>
        <x:v>0.9816030364626963</x:v>
      </x:c>
      <x:c r="I170" t="b">
        <x:f>'Raw R'!O164</x:f>
        <x:v>1</x:v>
      </x:c>
      <x:c r="J170" s="100" t="n">
        <x:f>IF(I170,B170,"")</x:f>
        <x:v>-0.01032022145899443</x:v>
      </x:c>
      <x:c r="K170" s="100" t="n">
        <x:f>IF(I170,E170,"")</x:f>
        <x:v>-0.012865473016569842</x:v>
      </x:c>
      <x:c r="L170" s="100" t="n">
        <x:f>IF(I170,G170,"")</x:f>
        <x:v>0.0025452515575754113</x:v>
      </x:c>
      <x:c r="M170" s="100" t="n">
        <x:f>IF(I170,F170^2,"")</x:f>
        <x:v>0.0000064783054913400575</x:v>
      </x:c>
      <x:c r="N170" s="100" t="n">
        <x:f>IF(I170,F170,"")</x:f>
        <x:v>-0.0025452515575754113</x:v>
      </x:c>
      <x:c r="P170" t="n">
        <x:f>J170</x:f>
        <x:v>-0.01032022145899443</x:v>
      </x:c>
      <x:c r="Q170" t="n">
        <x:f>K170</x:f>
        <x:v>-0.012865473016569842</x:v>
      </x:c>
    </x:row>
    <x:row r="171">
      <x:c r="A171" s="99" t="str">
        <x:f>'Raw R'!B165</x:f>
        <x:v>00212</x:v>
      </x:c>
      <x:c r="B171" s="100" t="n">
        <x:f>INDEX('Raw Stations'!$D$2:$D$299,MATCH(A171,'Raw Stations'!$A$2:$A$299,0))</x:f>
        <x:v>0.00106279257642573</x:v>
      </x:c>
      <x:c r="C171" s="100" t="n">
        <x:f>'Raw R'!L165</x:f>
        <x:v>-0.01610956650593522</x:v>
      </x:c>
      <x:c r="D171" s="100" t="n">
        <x:f>$B$2</x:f>
        <x:v>-0.01791329208576473</x:v>
      </x:c>
      <x:c r="E171" s="100" t="n">
        <x:f>C171-D171</x:f>
        <x:v>0.0018037255798295099</x:v>
      </x:c>
      <x:c r="F171" s="100" t="n">
        <x:f>E171-B171</x:f>
        <x:v>0.0007409330034037799</x:v>
      </x:c>
      <x:c r="G171" s="100" t="n">
        <x:f>ABS(F171)</x:f>
        <x:v>0.0007409330034037799</x:v>
      </x:c>
      <x:c r="H171" s="100" t="n">
        <x:f>'Raw R'!N165</x:f>
        <x:v>0.9899361897926655</x:v>
      </x:c>
      <x:c r="I171" t="b">
        <x:f>'Raw R'!O165</x:f>
        <x:v>1</x:v>
      </x:c>
      <x:c r="J171" s="100" t="n">
        <x:f>IF(I171,B171,"")</x:f>
        <x:v>0.00106279257642573</x:v>
      </x:c>
      <x:c r="K171" s="100" t="n">
        <x:f>IF(I171,E171,"")</x:f>
        <x:v>0.0018037255798295099</x:v>
      </x:c>
      <x:c r="L171" s="100" t="n">
        <x:f>IF(I171,G171,"")</x:f>
        <x:v>0.0007409330034037799</x:v>
      </x:c>
      <x:c r="M171" s="100" t="n">
        <x:f>IF(I171,F171^2,"")</x:f>
        <x:v>5.489817155329457e-7</x:v>
      </x:c>
      <x:c r="N171" s="100" t="n">
        <x:f>IF(I171,F171,"")</x:f>
        <x:v>0.0007409330034037799</x:v>
      </x:c>
      <x:c r="P171" t="n">
        <x:f>J171</x:f>
        <x:v>0.00106279257642573</x:v>
      </x:c>
      <x:c r="Q171" t="n">
        <x:f>K171</x:f>
        <x:v>0.0018037255798295099</x:v>
      </x:c>
    </x:row>
    <x:row r="172">
      <x:c r="A172" s="99" t="str">
        <x:f>'Raw R'!B166</x:f>
        <x:v>00213</x:v>
      </x:c>
      <x:c r="B172" s="100" t="n">
        <x:f>INDEX('Raw Stations'!$D$2:$D$299,MATCH(A172,'Raw Stations'!$A$2:$A$299,0))</x:f>
        <x:v>0.0001407953079788117</x:v>
      </x:c>
      <x:c r="C172" s="100" t="n">
        <x:f>'Raw R'!L166</x:f>
        <x:v>-0.01524716813747909</x:v>
      </x:c>
      <x:c r="D172" s="100" t="n">
        <x:f>$B$2</x:f>
        <x:v>-0.01791329208576473</x:v>
      </x:c>
      <x:c r="E172" s="100" t="n">
        <x:f>C172-D172</x:f>
        <x:v>0.0026661239482856387</x:v>
      </x:c>
      <x:c r="F172" s="100" t="n">
        <x:f>E172-B172</x:f>
        <x:v>0.002525328640306827</x:v>
      </x:c>
      <x:c r="G172" s="100" t="n">
        <x:f>ABS(F172)</x:f>
        <x:v>0.002525328640306827</x:v>
      </x:c>
      <x:c r="H172" s="100" t="n">
        <x:f>'Raw R'!N166</x:f>
        <x:v>0.9644670775421769</x:v>
      </x:c>
      <x:c r="I172" t="b">
        <x:f>'Raw R'!O166</x:f>
        <x:v>1</x:v>
      </x:c>
      <x:c r="J172" s="100" t="n">
        <x:f>IF(I172,B172,"")</x:f>
        <x:v>0.0001407953079788117</x:v>
      </x:c>
      <x:c r="K172" s="100" t="n">
        <x:f>IF(I172,E172,"")</x:f>
        <x:v>0.0026661239482856387</x:v>
      </x:c>
      <x:c r="L172" s="100" t="n">
        <x:f>IF(I172,G172,"")</x:f>
        <x:v>0.002525328640306827</x:v>
      </x:c>
      <x:c r="M172" s="100" t="n">
        <x:f>IF(I172,F172^2,"")</x:f>
        <x:v>0.000006377284741553928</x:v>
      </x:c>
      <x:c r="N172" s="100" t="n">
        <x:f>IF(I172,F172,"")</x:f>
        <x:v>0.002525328640306827</x:v>
      </x:c>
      <x:c r="P172" t="n">
        <x:f>J172</x:f>
        <x:v>0.0001407953079788117</x:v>
      </x:c>
      <x:c r="Q172" t="n">
        <x:f>K172</x:f>
        <x:v>0.0026661239482856387</x:v>
      </x:c>
    </x:row>
    <x:row r="173">
      <x:c r="A173" s="99" t="str">
        <x:f>'Raw R'!B167</x:f>
        <x:v>00214</x:v>
      </x:c>
      <x:c r="B173" s="100" t="n">
        <x:f>INDEX('Raw Stations'!$D$2:$D$299,MATCH(A173,'Raw Stations'!$A$2:$A$299,0))</x:f>
        <x:v>0.00355898282164346</x:v>
      </x:c>
      <x:c r="C173" s="100" t="n">
        <x:f>'Raw R'!L167</x:f>
        <x:v>-0.01289956082169667</x:v>
      </x:c>
      <x:c r="D173" s="100" t="n">
        <x:f>$B$2</x:f>
        <x:v>-0.01791329208576473</x:v>
      </x:c>
      <x:c r="E173" s="100" t="n">
        <x:f>C173-D173</x:f>
        <x:v>0.0050137312640680595</x:v>
      </x:c>
      <x:c r="F173" s="100" t="n">
        <x:f>E173-B173</x:f>
        <x:v>0.0014547484424245996</x:v>
      </x:c>
      <x:c r="G173" s="100" t="n">
        <x:f>ABS(F173)</x:f>
        <x:v>0.0014547484424245996</x:v>
      </x:c>
      <x:c r="H173" s="100" t="n">
        <x:f>'Raw R'!N167</x:f>
        <x:v>0.9770091194962554</x:v>
      </x:c>
      <x:c r="I173" t="b">
        <x:f>'Raw R'!O167</x:f>
        <x:v>1</x:v>
      </x:c>
      <x:c r="J173" s="100" t="n">
        <x:f>IF(I173,B173,"")</x:f>
        <x:v>0.00355898282164346</x:v>
      </x:c>
      <x:c r="K173" s="100" t="n">
        <x:f>IF(I173,E173,"")</x:f>
        <x:v>0.0050137312640680595</x:v>
      </x:c>
      <x:c r="L173" s="100" t="n">
        <x:f>IF(I173,G173,"")</x:f>
        <x:v>0.0014547484424245996</x:v>
      </x:c>
      <x:c r="M173" s="100" t="n">
        <x:f>IF(I173,F173^2,"")</x:f>
        <x:v>0.0000021162930307367987</x:v>
      </x:c>
      <x:c r="N173" s="100" t="n">
        <x:f>IF(I173,F173,"")</x:f>
        <x:v>0.0014547484424245996</x:v>
      </x:c>
      <x:c r="P173" t="n">
        <x:f>J173</x:f>
        <x:v>0.00355898282164346</x:v>
      </x:c>
      <x:c r="Q173" t="n">
        <x:f>K173</x:f>
        <x:v>0.0050137312640680595</x:v>
      </x:c>
    </x:row>
    <x:row r="174">
      <x:c r="A174" s="99" t="str">
        <x:f>'Raw R'!B168</x:f>
        <x:v>00215</x:v>
      </x:c>
      <x:c r="B174" s="100" t="n">
        <x:f>INDEX('Raw Stations'!$D$2:$D$299,MATCH(A174,'Raw Stations'!$A$2:$A$299,0))</x:f>
        <x:v>0.004751695118382891</x:v>
      </x:c>
      <x:c r="C174" s="100" t="n">
        <x:f>'Raw R'!L168</x:f>
        <x:v>-0.009740038418494516</x:v>
      </x:c>
      <x:c r="D174" s="100" t="n">
        <x:f>$B$2</x:f>
        <x:v>-0.01791329208576473</x:v>
      </x:c>
      <x:c r="E174" s="100" t="n">
        <x:f>C174-D174</x:f>
        <x:v>0.008173253667270213</x:v>
      </x:c>
      <x:c r="F174" s="100" t="n">
        <x:f>E174-B174</x:f>
        <x:v>0.0034215585488873218</x:v>
      </x:c>
      <x:c r="G174" s="100" t="n">
        <x:f>ABS(F174)</x:f>
        <x:v>0.0034215585488873218</x:v>
      </x:c>
      <x:c r="H174" s="100" t="n">
        <x:f>'Raw R'!N168</x:f>
        <x:v>0.9568484540457274</x:v>
      </x:c>
      <x:c r="I174" t="b">
        <x:f>'Raw R'!O168</x:f>
        <x:v>1</x:v>
      </x:c>
      <x:c r="J174" s="100" t="n">
        <x:f>IF(I174,B174,"")</x:f>
        <x:v>0.004751695118382891</x:v>
      </x:c>
      <x:c r="K174" s="100" t="n">
        <x:f>IF(I174,E174,"")</x:f>
        <x:v>0.008173253667270213</x:v>
      </x:c>
      <x:c r="L174" s="100" t="n">
        <x:f>IF(I174,G174,"")</x:f>
        <x:v>0.0034215585488873218</x:v>
      </x:c>
      <x:c r="M174" s="100" t="n">
        <x:f>IF(I174,F174^2,"")</x:f>
        <x:v>0.000011707062903463915</x:v>
      </x:c>
      <x:c r="N174" s="100" t="n">
        <x:f>IF(I174,F174,"")</x:f>
        <x:v>0.0034215585488873218</x:v>
      </x:c>
      <x:c r="P174" t="n">
        <x:f>J174</x:f>
        <x:v>0.004751695118382891</x:v>
      </x:c>
      <x:c r="Q174" t="n">
        <x:f>K174</x:f>
        <x:v>0.008173253667270213</x:v>
      </x:c>
    </x:row>
    <x:row r="175">
      <x:c r="A175" s="99" t="str">
        <x:f>'Raw R'!B169</x:f>
        <x:v>00216</x:v>
      </x:c>
      <x:c r="B175" s="100" t="n">
        <x:f>INDEX('Raw Stations'!$D$2:$D$299,MATCH(A175,'Raw Stations'!$A$2:$A$299,0))</x:f>
        <x:v>0.003101601441187631</x:v>
      </x:c>
      <x:c r="C175" s="100" t="n">
        <x:f>'Raw R'!L169</x:f>
        <x:v>-0.01540874708434985</x:v>
      </x:c>
      <x:c r="D175" s="100" t="n">
        <x:f>$B$2</x:f>
        <x:v>-0.01791329208576473</x:v>
      </x:c>
      <x:c r="E175" s="100" t="n">
        <x:f>C175-D175</x:f>
        <x:v>0.002504545001414879</x:v>
      </x:c>
      <x:c r="F175" s="100" t="n">
        <x:f>E175-B175</x:f>
        <x:v>-0.000597056439772752</x:v>
      </x:c>
      <x:c r="G175" s="100" t="n">
        <x:f>ABS(F175)</x:f>
        <x:v>0.000597056439772752</x:v>
      </x:c>
      <x:c r="H175" s="100" t="n">
        <x:f>'Raw R'!N169</x:f>
        <x:v>0.9723824190746322</x:v>
      </x:c>
      <x:c r="I175" t="b">
        <x:f>'Raw R'!O169</x:f>
        <x:v>1</x:v>
      </x:c>
      <x:c r="J175" s="100" t="n">
        <x:f>IF(I175,B175,"")</x:f>
        <x:v>0.003101601441187631</x:v>
      </x:c>
      <x:c r="K175" s="100" t="n">
        <x:f>IF(I175,E175,"")</x:f>
        <x:v>0.002504545001414879</x:v>
      </x:c>
      <x:c r="L175" s="100" t="n">
        <x:f>IF(I175,G175,"")</x:f>
        <x:v>0.000597056439772752</x:v>
      </x:c>
      <x:c r="M175" s="100" t="n">
        <x:f>IF(I175,F175^2,"")</x:f>
        <x:v>3.564763922741138e-7</x:v>
      </x:c>
      <x:c r="N175" s="100" t="n">
        <x:f>IF(I175,F175,"")</x:f>
        <x:v>-0.000597056439772752</x:v>
      </x:c>
      <x:c r="P175" t="n">
        <x:f>J175</x:f>
        <x:v>0.003101601441187631</x:v>
      </x:c>
      <x:c r="Q175" t="n">
        <x:f>K175</x:f>
        <x:v>0.002504545001414879</x:v>
      </x:c>
    </x:row>
    <x:row r="176">
      <x:c r="A176" s="99" t="str">
        <x:f>'Raw R'!B170</x:f>
        <x:v>00217</x:v>
      </x:c>
      <x:c r="B176" s="100" t="n">
        <x:f>INDEX('Raw Stations'!$D$2:$D$299,MATCH(A176,'Raw Stations'!$A$2:$A$299,0))</x:f>
        <x:v>0.01503641012920754</x:v>
      </x:c>
      <x:c r="C176" s="100" t="n">
        <x:f>'Raw R'!L170</x:f>
        <x:v>-0.004257659836679986</x:v>
      </x:c>
      <x:c r="D176" s="100" t="n">
        <x:f>$B$2</x:f>
        <x:v>-0.01791329208576473</x:v>
      </x:c>
      <x:c r="E176" s="100" t="n">
        <x:f>C176-D176</x:f>
        <x:v>0.013655632249084743</x:v>
      </x:c>
      <x:c r="F176" s="100" t="n">
        <x:f>E176-B176</x:f>
        <x:v>-0.0013807778801227973</x:v>
      </x:c>
      <x:c r="G176" s="100" t="n">
        <x:f>ABS(F176)</x:f>
        <x:v>0.0013807778801227973</x:v>
      </x:c>
      <x:c r="H176" s="100" t="n">
        <x:f>'Raw R'!N170</x:f>
        <x:v>0.9448020727228521</x:v>
      </x:c>
      <x:c r="I176" t="b">
        <x:f>'Raw R'!O170</x:f>
        <x:v>1</x:v>
      </x:c>
      <x:c r="J176" s="100" t="n">
        <x:f>IF(I176,B176,"")</x:f>
        <x:v>0.01503641012920754</x:v>
      </x:c>
      <x:c r="K176" s="100" t="n">
        <x:f>IF(I176,E176,"")</x:f>
        <x:v>0.013655632249084743</x:v>
      </x:c>
      <x:c r="L176" s="100" t="n">
        <x:f>IF(I176,G176,"")</x:f>
        <x:v>0.0013807778801227973</x:v>
      </x:c>
      <x:c r="M176" s="100" t="n">
        <x:f>IF(I176,F176^2,"")</x:f>
        <x:v>0.0000019065475542364058</x:v>
      </x:c>
      <x:c r="N176" s="100" t="n">
        <x:f>IF(I176,F176,"")</x:f>
        <x:v>-0.0013807778801227973</x:v>
      </x:c>
      <x:c r="P176" t="n">
        <x:f>J176</x:f>
        <x:v>0.01503641012920754</x:v>
      </x:c>
      <x:c r="Q176" t="n">
        <x:f>K176</x:f>
        <x:v>0.013655632249084743</x:v>
      </x:c>
    </x:row>
    <x:row r="177">
      <x:c r="A177" s="99" t="str">
        <x:f>'Raw R'!B171</x:f>
        <x:v>00218</x:v>
      </x:c>
      <x:c r="B177" s="100" t="n">
        <x:f>INDEX('Raw Stations'!$D$2:$D$299,MATCH(A177,'Raw Stations'!$A$2:$A$299,0))</x:f>
        <x:v>0.01187050924168058</x:v>
      </x:c>
      <x:c r="C177" s="100" t="n">
        <x:f>'Raw R'!L171</x:f>
        <x:v>-0.007517454203777321</x:v>
      </x:c>
      <x:c r="D177" s="100" t="n">
        <x:f>$B$2</x:f>
        <x:v>-0.01791329208576473</x:v>
      </x:c>
      <x:c r="E177" s="100" t="n">
        <x:f>C177-D177</x:f>
        <x:v>0.010395837881987408</x:v>
      </x:c>
      <x:c r="F177" s="100" t="n">
        <x:f>E177-B177</x:f>
        <x:v>-0.0014746713596931714</x:v>
      </x:c>
      <x:c r="G177" s="100" t="n">
        <x:f>ABS(F177)</x:f>
        <x:v>0.0014746713596931714</x:v>
      </x:c>
      <x:c r="H177" s="100" t="n">
        <x:f>'Raw R'!N171</x:f>
        <x:v>0.9949143934785218</x:v>
      </x:c>
      <x:c r="I177" t="b">
        <x:f>'Raw R'!O171</x:f>
        <x:v>1</x:v>
      </x:c>
      <x:c r="J177" s="100" t="n">
        <x:f>IF(I177,B177,"")</x:f>
        <x:v>0.01187050924168058</x:v>
      </x:c>
      <x:c r="K177" s="100" t="n">
        <x:f>IF(I177,E177,"")</x:f>
        <x:v>0.010395837881987408</x:v>
      </x:c>
      <x:c r="L177" s="100" t="n">
        <x:f>IF(I177,G177,"")</x:f>
        <x:v>0.0014746713596931714</x:v>
      </x:c>
      <x:c r="M177" s="100" t="n">
        <x:f>IF(I177,F177^2,"")</x:f>
        <x:v>0.0000021746556190993067</x:v>
      </x:c>
      <x:c r="N177" s="100" t="n">
        <x:f>IF(I177,F177,"")</x:f>
        <x:v>-0.0014746713596931714</x:v>
      </x:c>
      <x:c r="P177" t="n">
        <x:f>J177</x:f>
        <x:v>0.01187050924168058</x:v>
      </x:c>
      <x:c r="Q177" t="n">
        <x:f>K177</x:f>
        <x:v>0.010395837881987408</x:v>
      </x:c>
    </x:row>
    <x:row r="178">
      <x:c r="A178" s="99" t="str">
        <x:f>'Raw R'!B172</x:f>
        <x:v>00219</x:v>
      </x:c>
      <x:c r="B178" s="100" t="n">
        <x:f>INDEX('Raw Stations'!$D$2:$D$299,MATCH(A178,'Raw Stations'!$A$2:$A$299,0))</x:f>
        <x:v>0.02130093791491798</x:v>
      </x:c>
      <x:c r="C178" s="100" t="n">
        <x:f>'Raw R'!L172</x:f>
        <x:v>0.001026324459334843</x:v>
      </x:c>
      <x:c r="D178" s="100" t="n">
        <x:f>$B$2</x:f>
        <x:v>-0.01791329208576473</x:v>
      </x:c>
      <x:c r="E178" s="100" t="n">
        <x:f>C178-D178</x:f>
        <x:v>0.018939616545099573</x:v>
      </x:c>
      <x:c r="F178" s="100" t="n">
        <x:f>E178-B178</x:f>
        <x:v>-0.002361321369818408</x:v>
      </x:c>
      <x:c r="G178" s="100" t="n">
        <x:f>ABS(F178)</x:f>
        <x:v>0.002361321369818408</x:v>
      </x:c>
      <x:c r="H178" s="100" t="n">
        <x:f>'Raw R'!N172</x:f>
        <x:v>0.9888096276801084</x:v>
      </x:c>
      <x:c r="I178" t="b">
        <x:f>'Raw R'!O172</x:f>
        <x:v>1</x:v>
      </x:c>
      <x:c r="J178" s="100" t="n">
        <x:f>IF(I178,B178,"")</x:f>
        <x:v>0.02130093791491798</x:v>
      </x:c>
      <x:c r="K178" s="100" t="n">
        <x:f>IF(I178,E178,"")</x:f>
        <x:v>0.018939616545099573</x:v>
      </x:c>
      <x:c r="L178" s="100" t="n">
        <x:f>IF(I178,G178,"")</x:f>
        <x:v>0.002361321369818408</x:v>
      </x:c>
      <x:c r="M178" s="100" t="n">
        <x:f>IF(I178,F178^2,"")</x:f>
        <x:v>0.0000055758386115610835</x:v>
      </x:c>
      <x:c r="N178" s="100" t="n">
        <x:f>IF(I178,F178,"")</x:f>
        <x:v>-0.002361321369818408</x:v>
      </x:c>
      <x:c r="P178" t="n">
        <x:f>J178</x:f>
        <x:v>0.02130093791491798</x:v>
      </x:c>
      <x:c r="Q178" t="n">
        <x:f>K178</x:f>
        <x:v>0.018939616545099573</x:v>
      </x:c>
    </x:row>
    <x:row r="179">
      <x:c r="A179" s="99" t="str">
        <x:f>'Raw R'!B173</x:f>
        <x:v>00220</x:v>
      </x:c>
      <x:c r="B179" s="100" t="n">
        <x:f>INDEX('Raw Stations'!$D$2:$D$299,MATCH(A179,'Raw Stations'!$A$2:$A$299,0))</x:f>
        <x:v>0.02696093406928705</x:v>
      </x:c>
      <x:c r="C179" s="100" t="n">
        <x:f>'Raw R'!L173</x:f>
        <x:v>0.003713765931807958</x:v>
      </x:c>
      <x:c r="D179" s="100" t="n">
        <x:f>$B$2</x:f>
        <x:v>-0.01791329208576473</x:v>
      </x:c>
      <x:c r="E179" s="100" t="n">
        <x:f>C179-D179</x:f>
        <x:v>0.021627058017572687</x:v>
      </x:c>
      <x:c r="F179" s="100" t="n">
        <x:f>E179-B179</x:f>
        <x:v>-0.005333876051714363</x:v>
      </x:c>
      <x:c r="G179" s="100" t="n">
        <x:f>ABS(F179)</x:f>
        <x:v>0.005333876051714363</x:v>
      </x:c>
      <x:c r="H179" s="100" t="n">
        <x:f>'Raw R'!N173</x:f>
        <x:v>0.9481728326353344</x:v>
      </x:c>
      <x:c r="I179" t="b">
        <x:f>'Raw R'!O173</x:f>
        <x:v>1</x:v>
      </x:c>
      <x:c r="J179" s="100" t="n">
        <x:f>IF(I179,B179,"")</x:f>
        <x:v>0.02696093406928705</x:v>
      </x:c>
      <x:c r="K179" s="100" t="n">
        <x:f>IF(I179,E179,"")</x:f>
        <x:v>0.021627058017572687</x:v>
      </x:c>
      <x:c r="L179" s="100" t="n">
        <x:f>IF(I179,G179,"")</x:f>
        <x:v>0.005333876051714363</x:v>
      </x:c>
      <x:c r="M179" s="100" t="n">
        <x:f>IF(I179,F179^2,"")</x:f>
        <x:v>0.000028450233735052004</x:v>
      </x:c>
      <x:c r="N179" s="100" t="n">
        <x:f>IF(I179,F179,"")</x:f>
        <x:v>-0.005333876051714363</x:v>
      </x:c>
      <x:c r="P179" t="n">
        <x:f>J179</x:f>
        <x:v>0.02696093406928705</x:v>
      </x:c>
      <x:c r="Q179" t="n">
        <x:f>K179</x:f>
        <x:v>0.021627058017572687</x:v>
      </x:c>
    </x:row>
    <x:row r="180">
      <x:c r="A180" s="99" t="str">
        <x:f>'Raw R'!B174</x:f>
        <x:v>00221</x:v>
      </x:c>
      <x:c r="B180" s="100" t="n">
        <x:f>INDEX('Raw Stations'!$D$2:$D$299,MATCH(A180,'Raw Stations'!$A$2:$A$299,0))</x:f>
        <x:v>0.02964191310606143</x:v>
      </x:c>
      <x:c r="C180" s="100" t="n">
        <x:f>'Raw R'!L174</x:f>
        <x:v>0.006347843140173892</x:v>
      </x:c>
      <x:c r="D180" s="100" t="n">
        <x:f>$B$2</x:f>
        <x:v>-0.01791329208576473</x:v>
      </x:c>
      <x:c r="E180" s="100" t="n">
        <x:f>C180-D180</x:f>
        <x:v>0.02426113522593862</x:v>
      </x:c>
      <x:c r="F180" s="100" t="n">
        <x:f>E180-B180</x:f>
        <x:v>-0.005380777880122808</x:v>
      </x:c>
      <x:c r="G180" s="100" t="n">
        <x:f>ABS(F180)</x:f>
        <x:v>0.005380777880122808</x:v>
      </x:c>
      <x:c r="H180" s="100" t="n">
        <x:f>'Raw R'!N174</x:f>
        <x:v>0.8543149371446224</x:v>
      </x:c>
      <x:c r="I180" t="b">
        <x:f>'Raw R'!O174</x:f>
        <x:v>1</x:v>
      </x:c>
      <x:c r="J180" s="100" t="n">
        <x:f>IF(I180,B180,"")</x:f>
        <x:v>0.02964191310606143</x:v>
      </x:c>
      <x:c r="K180" s="100" t="n">
        <x:f>IF(I180,E180,"")</x:f>
        <x:v>0.02426113522593862</x:v>
      </x:c>
      <x:c r="L180" s="100" t="n">
        <x:f>IF(I180,G180,"")</x:f>
        <x:v>0.005380777880122808</x:v>
      </x:c>
      <x:c r="M180" s="100" t="n">
        <x:f>IF(I180,F180^2,"")</x:f>
        <x:v>0.000028952770595218898</x:v>
      </x:c>
      <x:c r="N180" s="100" t="n">
        <x:f>IF(I180,F180,"")</x:f>
        <x:v>-0.005380777880122808</x:v>
      </x:c>
      <x:c r="P180" t="n">
        <x:f>J180</x:f>
        <x:v>0.02964191310606143</x:v>
      </x:c>
      <x:c r="Q180" t="n">
        <x:f>K180</x:f>
        <x:v>0.02426113522593862</x:v>
      </x:c>
    </x:row>
    <x:row r="181">
      <x:c r="A181" s="99" t="str">
        <x:f>'Raw R'!B175</x:f>
        <x:v>00222</x:v>
      </x:c>
      <x:c r="B181" s="100" t="n">
        <x:f>INDEX('Raw Stations'!$D$2:$D$299,MATCH(A181,'Raw Stations'!$A$2:$A$299,0))</x:f>
        <x:v>-0.01066758252297335</x:v>
      </x:c>
      <x:c r="C181" s="100" t="n">
        <x:f>'Raw R'!L175</x:f>
        <x:v>-0.03152337461980491</x:v>
      </x:c>
      <x:c r="D181" s="100" t="n">
        <x:f>$B$2</x:f>
        <x:v>-0.01791329208576473</x:v>
      </x:c>
      <x:c r="E181" s="100" t="n">
        <x:f>C181-D181</x:f>
        <x:v>-0.01361008253404018</x:v>
      </x:c>
      <x:c r="F181" s="100" t="n">
        <x:f>E181-B181</x:f>
        <x:v>-0.0029425000110668287</x:v>
      </x:c>
      <x:c r="G181" s="100" t="n">
        <x:f>ABS(F181)</x:f>
        <x:v>0.0029425000110668287</x:v>
      </x:c>
      <x:c r="H181" s="100" t="n">
        <x:f>'Raw R'!N175</x:f>
        <x:v>0.8819542565838996</x:v>
      </x:c>
      <x:c r="I181" t="b">
        <x:f>'Raw R'!O175</x:f>
        <x:v>1</x:v>
      </x:c>
      <x:c r="J181" s="100" t="n">
        <x:f>IF(I181,B181,"")</x:f>
        <x:v>-0.01066758252297335</x:v>
      </x:c>
      <x:c r="K181" s="100" t="n">
        <x:f>IF(I181,E181,"")</x:f>
        <x:v>-0.01361008253404018</x:v>
      </x:c>
      <x:c r="L181" s="100" t="n">
        <x:f>IF(I181,G181,"")</x:f>
        <x:v>0.0029425000110668287</x:v>
      </x:c>
      <x:c r="M181" s="100" t="n">
        <x:f>IF(I181,F181^2,"")</x:f>
        <x:v>0.000008658306315128287</x:v>
      </x:c>
      <x:c r="N181" s="100" t="n">
        <x:f>IF(I181,F181,"")</x:f>
        <x:v>-0.0029425000110668287</x:v>
      </x:c>
      <x:c r="P181" t="n">
        <x:f>J181</x:f>
        <x:v>-0.01066758252297335</x:v>
      </x:c>
      <x:c r="Q181" t="n">
        <x:f>K181</x:f>
        <x:v>-0.01361008253404018</x:v>
      </x:c>
    </x:row>
    <x:row r="182">
      <x:c r="A182" s="99" t="str">
        <x:f>'Raw R'!B176</x:f>
        <x:v>00223</x:v>
      </x:c>
      <x:c r="B182" s="100" t="n">
        <x:f>INDEX('Raw Stations'!$D$2:$D$299,MATCH(A182,'Raw Stations'!$A$2:$A$299,0))</x:f>
        <x:v>-0.009487009863670848</x:v>
      </x:c>
      <x:c r="C182" s="100" t="n">
        <x:f>'Raw R'!L176</x:f>
        <x:v>-0.02994555350701099</x:v>
      </x:c>
      <x:c r="D182" s="100" t="n">
        <x:f>$B$2</x:f>
        <x:v>-0.01791329208576473</x:v>
      </x:c>
      <x:c r="E182" s="100" t="n">
        <x:f>C182-D182</x:f>
        <x:v>-0.012032261421246259</x:v>
      </x:c>
      <x:c r="F182" s="100" t="n">
        <x:f>E182-B182</x:f>
        <x:v>-0.0025452515575754113</x:v>
      </x:c>
      <x:c r="G182" s="100" t="n">
        <x:f>ABS(F182)</x:f>
        <x:v>0.0025452515575754113</x:v>
      </x:c>
      <x:c r="H182" s="100" t="n">
        <x:f>'Raw R'!N176</x:f>
        <x:v>0.8887065404558484</x:v>
      </x:c>
      <x:c r="I182" t="b">
        <x:f>'Raw R'!O176</x:f>
        <x:v>1</x:v>
      </x:c>
      <x:c r="J182" s="100" t="n">
        <x:f>IF(I182,B182,"")</x:f>
        <x:v>-0.009487009863670848</x:v>
      </x:c>
      <x:c r="K182" s="100" t="n">
        <x:f>IF(I182,E182,"")</x:f>
        <x:v>-0.012032261421246259</x:v>
      </x:c>
      <x:c r="L182" s="100" t="n">
        <x:f>IF(I182,G182,"")</x:f>
        <x:v>0.0025452515575754113</x:v>
      </x:c>
      <x:c r="M182" s="100" t="n">
        <x:f>IF(I182,F182^2,"")</x:f>
        <x:v>0.0000064783054913400575</x:v>
      </x:c>
      <x:c r="N182" s="100" t="n">
        <x:f>IF(I182,F182,"")</x:f>
        <x:v>-0.0025452515575754113</x:v>
      </x:c>
      <x:c r="P182" t="n">
        <x:f>J182</x:f>
        <x:v>-0.009487009863670848</x:v>
      </x:c>
      <x:c r="Q182" t="n">
        <x:f>K182</x:f>
        <x:v>-0.012032261421246259</x:v>
      </x:c>
    </x:row>
    <x:row r="183">
      <x:c r="A183" s="99" t="str">
        <x:f>'Raw R'!B177</x:f>
        <x:v>00225</x:v>
      </x:c>
      <x:c r="B183" s="100" t="n">
        <x:f>INDEX('Raw Stations'!$D$2:$D$299,MATCH(A183,'Raw Stations'!$A$2:$A$299,0))</x:f>
        <x:v>-0.003118418186049781</x:v>
      </x:c>
      <x:c r="C183" s="100" t="n">
        <x:f>'Raw R'!L177</x:f>
        <x:v>-0.02388179855884022</x:v>
      </x:c>
      <x:c r="D183" s="100" t="n">
        <x:f>$B$2</x:f>
        <x:v>-0.01791329208576473</x:v>
      </x:c>
      <x:c r="E183" s="100" t="n">
        <x:f>C183-D183</x:f>
        <x:v>-0.00596850647307549</x:v>
      </x:c>
      <x:c r="F183" s="100" t="n">
        <x:f>E183-B183</x:f>
        <x:v>-0.0028500882870257094</x:v>
      </x:c>
      <x:c r="G183" s="100" t="n">
        <x:f>ABS(F183)</x:f>
        <x:v>0.0028500882870257094</x:v>
      </x:c>
      <x:c r="H183" s="100" t="n">
        <x:f>'Raw R'!N177</x:f>
        <x:v>0.9605792136137055</x:v>
      </x:c>
      <x:c r="I183" t="b">
        <x:f>'Raw R'!O177</x:f>
        <x:v>1</x:v>
      </x:c>
      <x:c r="J183" s="100" t="n">
        <x:f>IF(I183,B183,"")</x:f>
        <x:v>-0.003118418186049781</x:v>
      </x:c>
      <x:c r="K183" s="100" t="n">
        <x:f>IF(I183,E183,"")</x:f>
        <x:v>-0.00596850647307549</x:v>
      </x:c>
      <x:c r="L183" s="100" t="n">
        <x:f>IF(I183,G183,"")</x:f>
        <x:v>0.0028500882870257094</x:v>
      </x:c>
      <x:c r="M183" s="100" t="n">
        <x:f>IF(I183,F183^2,"")</x:f>
        <x:v>0.000008123003243841143</x:v>
      </x:c>
      <x:c r="N183" s="100" t="n">
        <x:f>IF(I183,F183,"")</x:f>
        <x:v>-0.0028500882870257094</x:v>
      </x:c>
      <x:c r="P183" t="n">
        <x:f>J183</x:f>
        <x:v>-0.003118418186049781</x:v>
      </x:c>
      <x:c r="Q183" t="n">
        <x:f>K183</x:f>
        <x:v>-0.00596850647307549</x:v>
      </x:c>
    </x:row>
    <x:row r="184">
      <x:c r="A184" s="99" t="str">
        <x:f>'Raw R'!B178</x:f>
        <x:v>00226</x:v>
      </x:c>
      <x:c r="B184" s="100" t="n">
        <x:f>INDEX('Raw Stations'!$D$2:$D$299,MATCH(A184,'Raw Stations'!$A$2:$A$299,0))</x:f>
        <x:v>-0.003767656381839121</x:v>
      </x:c>
      <x:c r="C184" s="100" t="n">
        <x:f>'Raw R'!L178</x:f>
        <x:v>-0.02306172634772665</x:v>
      </x:c>
      <x:c r="D184" s="100" t="n">
        <x:f>$B$2</x:f>
        <x:v>-0.01791329208576473</x:v>
      </x:c>
      <x:c r="E184" s="100" t="n">
        <x:f>C184-D184</x:f>
        <x:v>-0.005148434261961921</x:v>
      </x:c>
      <x:c r="F184" s="100" t="n">
        <x:f>E184-B184</x:f>
        <x:v>-0.0013807778801228003</x:v>
      </x:c>
      <x:c r="G184" s="100" t="n">
        <x:f>ABS(F184)</x:f>
        <x:v>0.0013807778801228003</x:v>
      </x:c>
      <x:c r="H184" s="100" t="n">
        <x:f>'Raw R'!N178</x:f>
        <x:v>0.9616860419865031</x:v>
      </x:c>
      <x:c r="I184" t="b">
        <x:f>'Raw R'!O178</x:f>
        <x:v>1</x:v>
      </x:c>
      <x:c r="J184" s="100" t="n">
        <x:f>IF(I184,B184,"")</x:f>
        <x:v>-0.003767656381839121</x:v>
      </x:c>
      <x:c r="K184" s="100" t="n">
        <x:f>IF(I184,E184,"")</x:f>
        <x:v>-0.005148434261961921</x:v>
      </x:c>
      <x:c r="L184" s="100" t="n">
        <x:f>IF(I184,G184,"")</x:f>
        <x:v>0.0013807778801228003</x:v>
      </x:c>
      <x:c r="M184" s="100" t="n">
        <x:f>IF(I184,F184^2,"")</x:f>
        <x:v>0.0000019065475542364143</x:v>
      </x:c>
      <x:c r="N184" s="100" t="n">
        <x:f>IF(I184,F184,"")</x:f>
        <x:v>-0.0013807778801228003</x:v>
      </x:c>
      <x:c r="P184" t="n">
        <x:f>J184</x:f>
        <x:v>-0.003767656381839121</x:v>
      </x:c>
      <x:c r="Q184" t="n">
        <x:f>K184</x:f>
        <x:v>-0.005148434261961921</x:v>
      </x:c>
    </x:row>
    <x:row r="185">
      <x:c r="A185" s="99" t="str">
        <x:f>'Raw R'!B179</x:f>
        <x:v>00227</x:v>
      </x:c>
      <x:c r="B185" s="100" t="n">
        <x:f>INDEX('Raw Stations'!$D$2:$D$299,MATCH(A185,'Raw Stations'!$A$2:$A$299,0))</x:f>
        <x:v>-0.004420327043100358</x:v>
      </x:c>
      <x:c r="C185" s="100" t="n">
        <x:f>'Raw R'!L179</x:f>
        <x:v>-0.02274968759610599</x:v>
      </x:c>
      <x:c r="D185" s="100" t="n">
        <x:f>$B$2</x:f>
        <x:v>-0.01791329208576473</x:v>
      </x:c>
      <x:c r="E185" s="100" t="n">
        <x:f>C185-D185</x:f>
        <x:v>-0.004836395510341259</x:v>
      </x:c>
      <x:c r="F185" s="100" t="n">
        <x:f>E185-B185</x:f>
        <x:v>-0.0004160684672409008</x:v>
      </x:c>
      <x:c r="G185" s="100" t="n">
        <x:f>ABS(F185)</x:f>
        <x:v>0.0004160684672409008</x:v>
      </x:c>
      <x:c r="H185" s="100" t="n">
        <x:f>'Raw R'!N179</x:f>
        <x:v>0.9787479865580314</x:v>
      </x:c>
      <x:c r="I185" t="b">
        <x:f>'Raw R'!O179</x:f>
        <x:v>1</x:v>
      </x:c>
      <x:c r="J185" s="100" t="n">
        <x:f>IF(I185,B185,"")</x:f>
        <x:v>-0.004420327043100358</x:v>
      </x:c>
      <x:c r="K185" s="100" t="n">
        <x:f>IF(I185,E185,"")</x:f>
        <x:v>-0.004836395510341259</x:v>
      </x:c>
      <x:c r="L185" s="100" t="n">
        <x:f>IF(I185,G185,"")</x:f>
        <x:v>0.0004160684672409008</x:v>
      </x:c>
      <x:c r="M185" s="100" t="n">
        <x:f>IF(I185,F185^2,"")</x:f>
        <x:v>1.7311296943219257e-7</x:v>
      </x:c>
      <x:c r="N185" s="100" t="n">
        <x:f>IF(I185,F185,"")</x:f>
        <x:v>-0.0004160684672409008</x:v>
      </x:c>
      <x:c r="P185" t="n">
        <x:f>J185</x:f>
        <x:v>-0.004420327043100358</x:v>
      </x:c>
      <x:c r="Q185" t="n">
        <x:f>K185</x:f>
        <x:v>-0.004836395510341259</x:v>
      </x:c>
    </x:row>
    <x:row r="186">
      <x:c r="A186" s="99" t="str">
        <x:f>'Raw R'!B180</x:f>
        <x:v>00228</x:v>
      </x:c>
      <x:c r="B186" s="100" t="n">
        <x:f>INDEX('Raw Stations'!$D$2:$D$299,MATCH(A186,'Raw Stations'!$A$2:$A$299,0))</x:f>
        <x:v>-0.00244154980349898</x:v>
      </x:c>
      <x:c r="C186" s="100" t="n">
        <x:f>'Raw R'!L180</x:f>
        <x:v>-0.02077091035650461</x:v>
      </x:c>
      <x:c r="D186" s="100" t="n">
        <x:f>$B$2</x:f>
        <x:v>-0.01791329208576473</x:v>
      </x:c>
      <x:c r="E186" s="100" t="n">
        <x:f>C186-D186</x:f>
        <x:v>-0.002857618270739881</x:v>
      </x:c>
      <x:c r="F186" s="100" t="n">
        <x:f>E186-B186</x:f>
        <x:v>-0.00041606846724090126</x:v>
      </x:c>
      <x:c r="G186" s="100" t="n">
        <x:f>ABS(F186)</x:f>
        <x:v>0.00041606846724090126</x:v>
      </x:c>
      <x:c r="H186" s="100" t="n">
        <x:f>'Raw R'!N180</x:f>
        <x:v>0.9946336620109775</x:v>
      </x:c>
      <x:c r="I186" t="b">
        <x:f>'Raw R'!O180</x:f>
        <x:v>1</x:v>
      </x:c>
      <x:c r="J186" s="100" t="n">
        <x:f>IF(I186,B186,"")</x:f>
        <x:v>-0.00244154980349898</x:v>
      </x:c>
      <x:c r="K186" s="100" t="n">
        <x:f>IF(I186,E186,"")</x:f>
        <x:v>-0.002857618270739881</x:v>
      </x:c>
      <x:c r="L186" s="100" t="n">
        <x:f>IF(I186,G186,"")</x:f>
        <x:v>0.00041606846724090126</x:v>
      </x:c>
      <x:c r="M186" s="100" t="n">
        <x:f>IF(I186,F186^2,"")</x:f>
        <x:v>1.731129694321929e-7</x:v>
      </x:c>
      <x:c r="N186" s="100" t="n">
        <x:f>IF(I186,F186,"")</x:f>
        <x:v>-0.00041606846724090126</x:v>
      </x:c>
      <x:c r="P186" t="n">
        <x:f>J186</x:f>
        <x:v>-0.00244154980349898</x:v>
      </x:c>
      <x:c r="Q186" t="n">
        <x:f>K186</x:f>
        <x:v>-0.002857618270739881</x:v>
      </x:c>
    </x:row>
    <x:row r="187">
      <x:c r="A187" s="99" t="str">
        <x:f>'Raw R'!B181</x:f>
        <x:v>00229</x:v>
      </x:c>
      <x:c r="B187" s="100" t="n">
        <x:f>INDEX('Raw Stations'!$D$2:$D$299,MATCH(A187,'Raw Stations'!$A$2:$A$299,0))</x:f>
        <x:v>-0.00376126656179683</x:v>
      </x:c>
      <x:c r="C187" s="100" t="n">
        <x:f>'Raw R'!L181</x:f>
        <x:v>-0.02404532163643451</x:v>
      </x:c>
      <x:c r="D187" s="100" t="n">
        <x:f>$B$2</x:f>
        <x:v>-0.01791329208576473</x:v>
      </x:c>
      <x:c r="E187" s="100" t="n">
        <x:f>C187-D187</x:f>
        <x:v>-0.006132029550669781</x:v>
      </x:c>
      <x:c r="F187" s="100" t="n">
        <x:f>E187-B187</x:f>
        <x:v>-0.002370762988872951</x:v>
      </x:c>
      <x:c r="G187" s="100" t="n">
        <x:f>ABS(F187)</x:f>
        <x:v>0.002370762988872951</x:v>
      </x:c>
      <x:c r="H187" s="100" t="n">
        <x:f>'Raw R'!N181</x:f>
        <x:v>0.995988066452199</x:v>
      </x:c>
      <x:c r="I187" t="b">
        <x:f>'Raw R'!O181</x:f>
        <x:v>1</x:v>
      </x:c>
      <x:c r="J187" s="100" t="n">
        <x:f>IF(I187,B187,"")</x:f>
        <x:v>-0.00376126656179683</x:v>
      </x:c>
      <x:c r="K187" s="100" t="n">
        <x:f>IF(I187,E187,"")</x:f>
        <x:v>-0.006132029550669781</x:v>
      </x:c>
      <x:c r="L187" s="100" t="n">
        <x:f>IF(I187,G187,"")</x:f>
        <x:v>0.002370762988872951</x:v>
      </x:c>
      <x:c r="M187" s="100" t="n">
        <x:f>IF(I187,F187^2,"")</x:f>
        <x:v>0.000005620517149409809</x:v>
      </x:c>
      <x:c r="N187" s="100" t="n">
        <x:f>IF(I187,F187,"")</x:f>
        <x:v>-0.002370762988872951</x:v>
      </x:c>
      <x:c r="P187" t="n">
        <x:f>J187</x:f>
        <x:v>-0.00376126656179683</x:v>
      </x:c>
      <x:c r="Q187" t="n">
        <x:f>K187</x:f>
        <x:v>-0.006132029550669781</x:v>
      </x:c>
    </x:row>
    <x:row r="188">
      <x:c r="A188" s="99" t="str">
        <x:f>'Raw R'!B182</x:f>
        <x:v>00230</x:v>
      </x:c>
      <x:c r="B188" s="100" t="n">
        <x:f>INDEX('Raw Stations'!$D$2:$D$299,MATCH(A188,'Raw Stations'!$A$2:$A$299,0))</x:f>
        <x:v>-0.0003378697481772955</x:v>
      </x:c>
      <x:c r="C188" s="100" t="n">
        <x:f>'Raw R'!L182</x:f>
        <x:v>-0.01349545979079553</x:v>
      </x:c>
      <x:c r="D188" s="100" t="n">
        <x:f>$B$2</x:f>
        <x:v>-0.01791329208576473</x:v>
      </x:c>
      <x:c r="E188" s="100" t="n">
        <x:f>C188-D188</x:f>
        <x:v>0.0044178322949692</x:v>
      </x:c>
      <x:c r="F188" s="100" t="n">
        <x:f>E188-B188</x:f>
        <x:v>0.004755702043146496</x:v>
      </x:c>
      <x:c r="G188" s="100" t="n">
        <x:f>ABS(F188)</x:f>
        <x:v>0.004755702043146496</x:v>
      </x:c>
      <x:c r="H188" s="100" t="n">
        <x:f>'Raw R'!N182</x:f>
        <x:v>0.9246635010976898</x:v>
      </x:c>
      <x:c r="I188" t="b">
        <x:f>'Raw R'!O182</x:f>
        <x:v>1</x:v>
      </x:c>
      <x:c r="J188" s="100" t="n">
        <x:f>IF(I188,B188,"")</x:f>
        <x:v>-0.0003378697481772955</x:v>
      </x:c>
      <x:c r="K188" s="100" t="n">
        <x:f>IF(I188,E188,"")</x:f>
        <x:v>0.0044178322949692</x:v>
      </x:c>
      <x:c r="L188" s="100" t="n">
        <x:f>IF(I188,G188,"")</x:f>
        <x:v>0.004755702043146496</x:v>
      </x:c>
      <x:c r="M188" s="100" t="n">
        <x:f>IF(I188,F188^2,"")</x:f>
        <x:v>0.000022616701923187754</x:v>
      </x:c>
      <x:c r="N188" s="100" t="n">
        <x:f>IF(I188,F188,"")</x:f>
        <x:v>0.004755702043146496</x:v>
      </x:c>
      <x:c r="P188" t="n">
        <x:f>J188</x:f>
        <x:v>-0.0003378697481772955</x:v>
      </x:c>
      <x:c r="Q188" t="n">
        <x:f>K188</x:f>
        <x:v>0.0044178322949692</x:v>
      </x:c>
    </x:row>
    <x:row r="189">
      <x:c r="A189" s="99" t="str">
        <x:f>'Raw R'!B183</x:f>
        <x:v>00231</x:v>
      </x:c>
      <x:c r="B189" s="100" t="n">
        <x:f>INDEX('Raw Stations'!$D$2:$D$299,MATCH(A189,'Raw Stations'!$A$2:$A$299,0))</x:f>
        <x:v>-0.00112928863119377</x:v>
      </x:c>
      <x:c r="C189" s="100" t="n">
        <x:f>'Raw R'!L183</x:f>
        <x:v>-0.0177717624622909</x:v>
      </x:c>
      <x:c r="D189" s="100" t="n">
        <x:f>$B$2</x:f>
        <x:v>-0.01791329208576473</x:v>
      </x:c>
      <x:c r="E189" s="100" t="n">
        <x:f>C189-D189</x:f>
        <x:v>0.00014152962347382947</x:v>
      </x:c>
      <x:c r="F189" s="100" t="n">
        <x:f>E189-B189</x:f>
        <x:v>0.0012708182546675995</x:v>
      </x:c>
      <x:c r="G189" s="100" t="n">
        <x:f>ABS(F189)</x:f>
        <x:v>0.0012708182546675995</x:v>
      </x:c>
      <x:c r="H189" s="100" t="n">
        <x:f>'Raw R'!N183</x:f>
        <x:v>0.9740418692674876</x:v>
      </x:c>
      <x:c r="I189" t="b">
        <x:f>'Raw R'!O183</x:f>
        <x:v>1</x:v>
      </x:c>
      <x:c r="J189" s="100" t="n">
        <x:f>IF(I189,B189,"")</x:f>
        <x:v>-0.00112928863119377</x:v>
      </x:c>
      <x:c r="K189" s="100" t="n">
        <x:f>IF(I189,E189,"")</x:f>
        <x:v>0.00014152962347382947</x:v>
      </x:c>
      <x:c r="L189" s="100" t="n">
        <x:f>IF(I189,G189,"")</x:f>
        <x:v>0.0012708182546675995</x:v>
      </x:c>
      <x:c r="M189" s="100" t="n">
        <x:f>IF(I189,F189^2,"")</x:f>
        <x:v>0.0000016149790363964038</x:v>
      </x:c>
      <x:c r="N189" s="100" t="n">
        <x:f>IF(I189,F189,"")</x:f>
        <x:v>0.0012708182546675995</x:v>
      </x:c>
      <x:c r="P189" t="n">
        <x:f>J189</x:f>
        <x:v>-0.00112928863119377</x:v>
      </x:c>
      <x:c r="Q189" t="n">
        <x:f>K189</x:f>
        <x:v>0.00014152962347382947</x:v>
      </x:c>
    </x:row>
    <x:row r="190">
      <x:c r="A190" s="99" t="str">
        <x:f>'Raw R'!B184</x:f>
        <x:v>00232</x:v>
      </x:c>
      <x:c r="B190" s="100" t="n">
        <x:f>INDEX('Raw Stations'!$D$2:$D$299,MATCH(A190,'Raw Stations'!$A$2:$A$299,0))</x:f>
        <x:v>-0.001891077352445449</x:v>
      </x:c>
      <x:c r="C190" s="100" t="n">
        <x:f>'Raw R'!L184</x:f>
        <x:v>-0.02064247383109713</x:v>
      </x:c>
      <x:c r="D190" s="100" t="n">
        <x:f>$B$2</x:f>
        <x:v>-0.01791329208576473</x:v>
      </x:c>
      <x:c r="E190" s="100" t="n">
        <x:f>C190-D190</x:f>
        <x:v>-0.0027291817453324006</x:v>
      </x:c>
      <x:c r="F190" s="100" t="n">
        <x:f>E190-B190</x:f>
        <x:v>-0.0008381043928869516</x:v>
      </x:c>
      <x:c r="G190" s="100" t="n">
        <x:f>ABS(F190)</x:f>
        <x:v>0.0008381043928869516</x:v>
      </x:c>
      <x:c r="H190" s="100" t="n">
        <x:f>'Raw R'!N184</x:f>
        <x:v>0.9753710000748003</x:v>
      </x:c>
      <x:c r="I190" t="b">
        <x:f>'Raw R'!O184</x:f>
        <x:v>1</x:v>
      </x:c>
      <x:c r="J190" s="100" t="n">
        <x:f>IF(I190,B190,"")</x:f>
        <x:v>-0.001891077352445449</x:v>
      </x:c>
      <x:c r="K190" s="100" t="n">
        <x:f>IF(I190,E190,"")</x:f>
        <x:v>-0.0027291817453324006</x:v>
      </x:c>
      <x:c r="L190" s="100" t="n">
        <x:f>IF(I190,G190,"")</x:f>
        <x:v>0.0008381043928869516</x:v>
      </x:c>
      <x:c r="M190" s="100" t="n">
        <x:f>IF(I190,F190^2,"")</x:f>
        <x:v>7.024189733764057e-7</x:v>
      </x:c>
      <x:c r="N190" s="100" t="n">
        <x:f>IF(I190,F190,"")</x:f>
        <x:v>-0.0008381043928869516</x:v>
      </x:c>
      <x:c r="P190" t="n">
        <x:f>J190</x:f>
        <x:v>-0.001891077352445449</x:v>
      </x:c>
      <x:c r="Q190" t="n">
        <x:f>K190</x:f>
        <x:v>-0.0027291817453324006</x:v>
      </x:c>
    </x:row>
    <x:row r="191">
      <x:c r="A191" s="99" t="str">
        <x:f>'Raw R'!B185</x:f>
        <x:v>00233</x:v>
      </x:c>
      <x:c r="B191" s="100" t="n">
        <x:f>INDEX('Raw Stations'!$D$2:$D$299,MATCH(A191,'Raw Stations'!$A$2:$A$299,0))</x:f>
        <x:v>0.01132706022637328</x:v>
      </x:c>
      <x:c r="C191" s="100" t="n">
        <x:f>'Raw R'!L185</x:f>
        <x:v>-0.00616839956442225</x:v>
      </x:c>
      <x:c r="D191" s="100" t="n">
        <x:f>$B$2</x:f>
        <x:v>-0.01791329208576473</x:v>
      </x:c>
      <x:c r="E191" s="100" t="n">
        <x:f>C191-D191</x:f>
        <x:v>0.01174489252134248</x:v>
      </x:c>
      <x:c r="F191" s="100" t="n">
        <x:f>E191-B191</x:f>
        <x:v>0.00041783229496920003</x:v>
      </x:c>
      <x:c r="G191" s="100" t="n">
        <x:f>ABS(F191)</x:f>
        <x:v>0.00041783229496920003</x:v>
      </x:c>
      <x:c r="H191" s="100" t="n">
        <x:f>'Raw R'!N185</x:f>
        <x:v>0.9485090968265155</x:v>
      </x:c>
      <x:c r="I191" t="b">
        <x:f>'Raw R'!O185</x:f>
        <x:v>1</x:v>
      </x:c>
      <x:c r="J191" s="100" t="n">
        <x:f>IF(I191,B191,"")</x:f>
        <x:v>0.01132706022637328</x:v>
      </x:c>
      <x:c r="K191" s="100" t="n">
        <x:f>IF(I191,E191,"")</x:f>
        <x:v>0.01174489252134248</x:v>
      </x:c>
      <x:c r="L191" s="100" t="n">
        <x:f>IF(I191,G191,"")</x:f>
        <x:v>0.00041783229496920003</x:v>
      </x:c>
      <x:c r="M191" s="100" t="n">
        <x:f>IF(I191,F191^2,"")</x:f>
        <x:v>1.745838267192286e-7</x:v>
      </x:c>
      <x:c r="N191" s="100" t="n">
        <x:f>IF(I191,F191,"")</x:f>
        <x:v>0.00041783229496920003</x:v>
      </x:c>
      <x:c r="P191" t="n">
        <x:f>J191</x:f>
        <x:v>0.01132706022637328</x:v>
      </x:c>
      <x:c r="Q191" t="n">
        <x:f>K191</x:f>
        <x:v>0.01174489252134248</x:v>
      </x:c>
    </x:row>
    <x:row r="192">
      <x:c r="A192" s="99" t="str">
        <x:f>'Raw R'!B186</x:f>
        <x:v>00234</x:v>
      </x:c>
      <x:c r="B192" s="100" t="n">
        <x:f>INDEX('Raw Stations'!$D$2:$D$299,MATCH(A192,'Raw Stations'!$A$2:$A$299,0))</x:f>
        <x:v>0.02268010994876409</x:v>
      </x:c>
      <x:c r="C192" s="100" t="n">
        <x:f>'Raw R'!L186</x:f>
        <x:v>0.005184650157968554</x:v>
      </x:c>
      <x:c r="D192" s="100" t="n">
        <x:f>$B$2</x:f>
        <x:v>-0.01791329208576473</x:v>
      </x:c>
      <x:c r="E192" s="100" t="n">
        <x:f>C192-D192</x:f>
        <x:v>0.023097942243733283</x:v>
      </x:c>
      <x:c r="F192" s="100" t="n">
        <x:f>E192-B192</x:f>
        <x:v>0.00041783229496919483</x:v>
      </x:c>
      <x:c r="G192" s="100" t="n">
        <x:f>ABS(F192)</x:f>
        <x:v>0.00041783229496919483</x:v>
      </x:c>
      <x:c r="H192" s="100" t="n">
        <x:f>'Raw R'!N186</x:f>
        <x:v>0.8742363218902826</x:v>
      </x:c>
      <x:c r="I192" t="b">
        <x:f>'Raw R'!O186</x:f>
        <x:v>1</x:v>
      </x:c>
      <x:c r="J192" s="100" t="n">
        <x:f>IF(I192,B192,"")</x:f>
        <x:v>0.02268010994876409</x:v>
      </x:c>
      <x:c r="K192" s="100" t="n">
        <x:f>IF(I192,E192,"")</x:f>
        <x:v>0.023097942243733283</x:v>
      </x:c>
      <x:c r="L192" s="100" t="n">
        <x:f>IF(I192,G192,"")</x:f>
        <x:v>0.00041783229496919483</x:v>
      </x:c>
      <x:c r="M192" s="100" t="n">
        <x:f>IF(I192,F192^2,"")</x:f>
        <x:v>1.7458382671922423e-7</x:v>
      </x:c>
      <x:c r="N192" s="100" t="n">
        <x:f>IF(I192,F192,"")</x:f>
        <x:v>0.00041783229496919483</x:v>
      </x:c>
      <x:c r="P192" t="n">
        <x:f>J192</x:f>
        <x:v>0.02268010994876409</x:v>
      </x:c>
      <x:c r="Q192" t="n">
        <x:f>K192</x:f>
        <x:v>0.023097942243733283</x:v>
      </x:c>
    </x:row>
    <x:row r="193">
      <x:c r="A193" s="99" t="str">
        <x:f>'Raw R'!B187</x:f>
        <x:v>00235</x:v>
      </x:c>
      <x:c r="B193" s="100" t="n">
        <x:f>INDEX('Raw Stations'!$D$2:$D$299,MATCH(A193,'Raw Stations'!$A$2:$A$299,0))</x:f>
        <x:v>0.01072566199222151</x:v>
      </x:c>
      <x:c r="C193" s="100" t="n">
        <x:f>'Raw R'!L187</x:f>
        <x:v>-0.008817427759102534</x:v>
      </x:c>
      <x:c r="D193" s="100" t="n">
        <x:f>$B$2</x:f>
        <x:v>-0.01791329208576473</x:v>
      </x:c>
      <x:c r="E193" s="100" t="n">
        <x:f>C193-D193</x:f>
        <x:v>0.009095864326662196</x:v>
      </x:c>
      <x:c r="F193" s="100" t="n">
        <x:f>E193-B193</x:f>
        <x:v>-0.0016297976655593148</x:v>
      </x:c>
      <x:c r="G193" s="100" t="n">
        <x:f>ABS(F193)</x:f>
        <x:v>0.0016297976655593148</x:v>
      </x:c>
      <x:c r="H193" s="100" t="n">
        <x:f>'Raw R'!N187</x:f>
        <x:v>0.9781665686863718</x:v>
      </x:c>
      <x:c r="I193" t="b">
        <x:f>'Raw R'!O187</x:f>
        <x:v>1</x:v>
      </x:c>
      <x:c r="J193" s="100" t="n">
        <x:f>IF(I193,B193,"")</x:f>
        <x:v>0.01072566199222151</x:v>
      </x:c>
      <x:c r="K193" s="100" t="n">
        <x:f>IF(I193,E193,"")</x:f>
        <x:v>0.009095864326662196</x:v>
      </x:c>
      <x:c r="L193" s="100" t="n">
        <x:f>IF(I193,G193,"")</x:f>
        <x:v>0.0016297976655593148</x:v>
      </x:c>
      <x:c r="M193" s="100" t="n">
        <x:f>IF(I193,F193^2,"")</x:f>
        <x:v>0.000002656240430662592</x:v>
      </x:c>
      <x:c r="N193" s="100" t="n">
        <x:f>IF(I193,F193,"")</x:f>
        <x:v>-0.0016297976655593148</x:v>
      </x:c>
      <x:c r="P193" t="n">
        <x:f>J193</x:f>
        <x:v>0.01072566199222151</x:v>
      </x:c>
      <x:c r="Q193" t="n">
        <x:f>K193</x:f>
        <x:v>0.009095864326662196</x:v>
      </x:c>
    </x:row>
    <x:row r="194">
      <x:c r="A194" s="99" t="str">
        <x:f>'Raw R'!B188</x:f>
        <x:v>00236</x:v>
      </x:c>
      <x:c r="B194" s="100" t="n">
        <x:f>INDEX('Raw Stations'!$D$2:$D$299,MATCH(A194,'Raw Stations'!$A$2:$A$299,0))</x:f>
        <x:v>0.0175967628920943</x:v>
      </x:c>
      <x:c r="C194" s="100" t="n">
        <x:f>'Raw R'!L188</x:f>
        <x:v>-0.001697307073793231</x:v>
      </x:c>
      <x:c r="D194" s="100" t="n">
        <x:f>$B$2</x:f>
        <x:v>-0.01791329208576473</x:v>
      </x:c>
      <x:c r="E194" s="100" t="n">
        <x:f>C194-D194</x:f>
        <x:v>0.0162159850119715</x:v>
      </x:c>
      <x:c r="F194" s="100" t="n">
        <x:f>E194-B194</x:f>
        <x:v>-0.0013807778801228007</x:v>
      </x:c>
      <x:c r="G194" s="100" t="n">
        <x:f>ABS(F194)</x:f>
        <x:v>0.0013807778801228007</x:v>
      </x:c>
      <x:c r="H194" s="100" t="n">
        <x:f>'Raw R'!N188</x:f>
        <x:v>0.9826078282412283</x:v>
      </x:c>
      <x:c r="I194" t="b">
        <x:f>'Raw R'!O188</x:f>
        <x:v>1</x:v>
      </x:c>
      <x:c r="J194" s="100" t="n">
        <x:f>IF(I194,B194,"")</x:f>
        <x:v>0.0175967628920943</x:v>
      </x:c>
      <x:c r="K194" s="100" t="n">
        <x:f>IF(I194,E194,"")</x:f>
        <x:v>0.0162159850119715</x:v>
      </x:c>
      <x:c r="L194" s="100" t="n">
        <x:f>IF(I194,G194,"")</x:f>
        <x:v>0.0013807778801228007</x:v>
      </x:c>
      <x:c r="M194" s="100" t="n">
        <x:f>IF(I194,F194^2,"")</x:f>
        <x:v>0.0000019065475542364154</x:v>
      </x:c>
      <x:c r="N194" s="100" t="n">
        <x:f>IF(I194,F194,"")</x:f>
        <x:v>-0.0013807778801228007</x:v>
      </x:c>
      <x:c r="P194" t="n">
        <x:f>J194</x:f>
        <x:v>0.0175967628920943</x:v>
      </x:c>
      <x:c r="Q194" t="n">
        <x:f>K194</x:f>
        <x:v>0.0162159850119715</x:v>
      </x:c>
    </x:row>
    <x:row r="195">
      <x:c r="A195" s="99" t="str">
        <x:f>'Raw R'!B189</x:f>
        <x:v>00237</x:v>
      </x:c>
      <x:c r="B195" s="100" t="n">
        <x:f>INDEX('Raw Stations'!$D$2:$D$299,MATCH(A195,'Raw Stations'!$A$2:$A$299,0))</x:f>
        <x:v>0.01546514707173455</x:v>
      </x:c>
      <x:c r="C195" s="100" t="n">
        <x:f>'Raw R'!L189</x:f>
        <x:v>-0.006201564968521756</x:v>
      </x:c>
      <x:c r="D195" s="100" t="n">
        <x:f>$B$2</x:f>
        <x:v>-0.01791329208576473</x:v>
      </x:c>
      <x:c r="E195" s="100" t="n">
        <x:f>C195-D195</x:f>
        <x:v>0.011711727117242974</x:v>
      </x:c>
      <x:c r="F195" s="100" t="n">
        <x:f>E195-B195</x:f>
        <x:v>-0.003753419954491577</x:v>
      </x:c>
      <x:c r="G195" s="100" t="n">
        <x:f>ABS(F195)</x:f>
        <x:v>0.003753419954491577</x:v>
      </x:c>
      <x:c r="H195" s="100" t="n">
        <x:f>'Raw R'!N189</x:f>
        <x:v>0.956791380075372</x:v>
      </x:c>
      <x:c r="I195" t="b">
        <x:f>'Raw R'!O189</x:f>
        <x:v>1</x:v>
      </x:c>
      <x:c r="J195" s="100" t="n">
        <x:f>IF(I195,B195,"")</x:f>
        <x:v>0.01546514707173455</x:v>
      </x:c>
      <x:c r="K195" s="100" t="n">
        <x:f>IF(I195,E195,"")</x:f>
        <x:v>0.011711727117242974</x:v>
      </x:c>
      <x:c r="L195" s="100" t="n">
        <x:f>IF(I195,G195,"")</x:f>
        <x:v>0.003753419954491577</x:v>
      </x:c>
      <x:c r="M195" s="100" t="n">
        <x:f>IF(I195,F195^2,"")</x:f>
        <x:v>0.000014088161354775552</x:v>
      </x:c>
      <x:c r="N195" s="100" t="n">
        <x:f>IF(I195,F195,"")</x:f>
        <x:v>-0.003753419954491577</x:v>
      </x:c>
      <x:c r="P195" t="n">
        <x:f>J195</x:f>
        <x:v>0.01546514707173455</x:v>
      </x:c>
      <x:c r="Q195" t="n">
        <x:f>K195</x:f>
        <x:v>0.011711727117242974</x:v>
      </x:c>
    </x:row>
    <x:row r="196">
      <x:c r="A196" s="99" t="str">
        <x:f>'Raw R'!B190</x:f>
        <x:v>00238</x:v>
      </x:c>
      <x:c r="B196" s="100" t="n">
        <x:f>INDEX('Raw Stations'!$D$2:$D$299,MATCH(A196,'Raw Stations'!$A$2:$A$299,0))</x:f>
        <x:v>-0.007078440570739562</x:v>
      </x:c>
      <x:c r="C196" s="100" t="n">
        <x:f>'Raw R'!L190</x:f>
        <x:v>-0.02793423266757112</x:v>
      </x:c>
      <x:c r="D196" s="100" t="n">
        <x:f>$B$2</x:f>
        <x:v>-0.01791329208576473</x:v>
      </x:c>
      <x:c r="E196" s="100" t="n">
        <x:f>C196-D196</x:f>
        <x:v>-0.01002094058180639</x:v>
      </x:c>
      <x:c r="F196" s="100" t="n">
        <x:f>E196-B196</x:f>
        <x:v>-0.0029425000110668287</x:v>
      </x:c>
      <x:c r="G196" s="100" t="n">
        <x:f>ABS(F196)</x:f>
        <x:v>0.0029425000110668287</x:v>
      </x:c>
      <x:c r="H196" s="100" t="n">
        <x:f>'Raw R'!N190</x:f>
        <x:v>0.8995515348336978</x:v>
      </x:c>
      <x:c r="I196" t="b">
        <x:f>'Raw R'!O190</x:f>
        <x:v>1</x:v>
      </x:c>
      <x:c r="J196" s="100" t="n">
        <x:f>IF(I196,B196,"")</x:f>
        <x:v>-0.007078440570739562</x:v>
      </x:c>
      <x:c r="K196" s="100" t="n">
        <x:f>IF(I196,E196,"")</x:f>
        <x:v>-0.01002094058180639</x:v>
      </x:c>
      <x:c r="L196" s="100" t="n">
        <x:f>IF(I196,G196,"")</x:f>
        <x:v>0.0029425000110668287</x:v>
      </x:c>
      <x:c r="M196" s="100" t="n">
        <x:f>IF(I196,F196^2,"")</x:f>
        <x:v>0.000008658306315128287</x:v>
      </x:c>
      <x:c r="N196" s="100" t="n">
        <x:f>IF(I196,F196,"")</x:f>
        <x:v>-0.0029425000110668287</x:v>
      </x:c>
      <x:c r="P196" t="n">
        <x:f>J196</x:f>
        <x:v>-0.007078440570739562</x:v>
      </x:c>
      <x:c r="Q196" t="n">
        <x:f>K196</x:f>
        <x:v>-0.01002094058180639</x:v>
      </x:c>
    </x:row>
    <x:row r="197">
      <x:c r="A197" s="99" t="str">
        <x:f>'Raw R'!B191</x:f>
        <x:v>00239</x:v>
      </x:c>
      <x:c r="B197" s="100" t="n">
        <x:f>INDEX('Raw Stations'!$D$2:$D$299,MATCH(A197,'Raw Stations'!$A$2:$A$299,0))</x:f>
        <x:v>-0.004574537479721214</x:v>
      </x:c>
      <x:c r="C197" s="100" t="n">
        <x:f>'Raw R'!L191</x:f>
        <x:v>-0.02409318334953127</x:v>
      </x:c>
      <x:c r="D197" s="100" t="n">
        <x:f>$B$2</x:f>
        <x:v>-0.01791329208576473</x:v>
      </x:c>
      <x:c r="E197" s="100" t="n">
        <x:f>C197-D197</x:f>
        <x:v>-0.00617989126376654</x:v>
      </x:c>
      <x:c r="F197" s="100" t="n">
        <x:f>E197-B197</x:f>
        <x:v>-0.0016053537840453255</x:v>
      </x:c>
      <x:c r="G197" s="100" t="n">
        <x:f>ABS(F197)</x:f>
        <x:v>0.0016053537840453255</x:v>
      </x:c>
      <x:c r="H197" s="100" t="n">
        <x:f>'Raw R'!N191</x:f>
        <x:v>0.8529972523953187</x:v>
      </x:c>
      <x:c r="I197" t="b">
        <x:f>'Raw R'!O191</x:f>
        <x:v>1</x:v>
      </x:c>
      <x:c r="J197" s="100" t="n">
        <x:f>IF(I197,B197,"")</x:f>
        <x:v>-0.004574537479721214</x:v>
      </x:c>
      <x:c r="K197" s="100" t="n">
        <x:f>IF(I197,E197,"")</x:f>
        <x:v>-0.00617989126376654</x:v>
      </x:c>
      <x:c r="L197" s="100" t="n">
        <x:f>IF(I197,G197,"")</x:f>
        <x:v>0.0016053537840453255</x:v>
      </x:c>
      <x:c r="M197" s="100" t="n">
        <x:f>IF(I197,F197^2,"")</x:f>
        <x:v>0.0000025771607719486457</x:v>
      </x:c>
      <x:c r="N197" s="100" t="n">
        <x:f>IF(I197,F197,"")</x:f>
        <x:v>-0.0016053537840453255</x:v>
      </x:c>
      <x:c r="P197" t="n">
        <x:f>J197</x:f>
        <x:v>-0.004574537479721214</x:v>
      </x:c>
      <x:c r="Q197" t="n">
        <x:f>K197</x:f>
        <x:v>-0.00617989126376654</x:v>
      </x:c>
    </x:row>
    <x:row r="198">
      <x:c r="A198" s="99" t="str">
        <x:f>'Raw R'!B192</x:f>
        <x:v>00240</x:v>
      </x:c>
      <x:c r="B198" s="100" t="n">
        <x:f>INDEX('Raw Stations'!$D$2:$D$299,MATCH(A198,'Raw Stations'!$A$2:$A$299,0))</x:f>
        <x:v>0</x:v>
      </x:c>
      <x:c r="C198" s="100" t="n">
        <x:f>'Raw R'!L192</x:f>
        <x:v>-0.01875139647865168</x:v>
      </x:c>
      <x:c r="D198" s="100" t="n">
        <x:f>$B$2</x:f>
        <x:v>-0.01791329208576473</x:v>
      </x:c>
      <x:c r="E198" s="100" t="n">
        <x:f>C198-D198</x:f>
        <x:v>-0.0008381043928869514</x:v>
      </x:c>
      <x:c r="F198" s="100" t="n">
        <x:f>E198-B198</x:f>
        <x:v>-0.0008381043928869514</x:v>
      </x:c>
      <x:c r="G198" s="100" t="n">
        <x:f>ABS(F198)</x:f>
        <x:v>0.0008381043928869514</x:v>
      </x:c>
      <x:c r="H198" s="100" t="n">
        <x:f>'Raw R'!N192</x:f>
        <x:v>0.9105531932072127</x:v>
      </x:c>
      <x:c r="I198" t="b">
        <x:f>'Raw R'!O192</x:f>
        <x:v>1</x:v>
      </x:c>
      <x:c r="J198" s="100" t="n">
        <x:f>IF(I198,B198,"")</x:f>
        <x:v>0</x:v>
      </x:c>
      <x:c r="K198" s="100" t="n">
        <x:f>IF(I198,E198,"")</x:f>
        <x:v>-0.0008381043928869514</x:v>
      </x:c>
      <x:c r="L198" s="100" t="n">
        <x:f>IF(I198,G198,"")</x:f>
        <x:v>0.0008381043928869514</x:v>
      </x:c>
      <x:c r="M198" s="100" t="n">
        <x:f>IF(I198,F198^2,"")</x:f>
        <x:v>7.024189733764054e-7</x:v>
      </x:c>
      <x:c r="N198" s="100" t="n">
        <x:f>IF(I198,F198,"")</x:f>
        <x:v>-0.0008381043928869514</x:v>
      </x:c>
      <x:c r="P198" t="n">
        <x:f>J198</x:f>
        <x:v>0</x:v>
      </x:c>
      <x:c r="Q198" t="n">
        <x:f>K198</x:f>
        <x:v>-0.0008381043928869514</x:v>
      </x:c>
    </x:row>
    <x:row r="199">
      <x:c r="A199" s="99" t="str">
        <x:f>'Raw R'!B193</x:f>
        <x:v>00241</x:v>
      </x:c>
      <x:c r="B199" s="100" t="n">
        <x:f>INDEX('Raw Stations'!$D$2:$D$299,MATCH(A199,'Raw Stations'!$A$2:$A$299,0))</x:f>
        <x:v>0.006372561507490292</x:v>
      </x:c>
      <x:c r="C199" s="100" t="n">
        <x:f>'Raw R'!L193</x:f>
        <x:v>-0.01301540193796761</x:v>
      </x:c>
      <x:c r="D199" s="100" t="n">
        <x:f>$B$2</x:f>
        <x:v>-0.01791329208576473</x:v>
      </x:c>
      <x:c r="E199" s="100" t="n">
        <x:f>C199-D199</x:f>
        <x:v>0.00489789014779712</x:v>
      </x:c>
      <x:c r="F199" s="100" t="n">
        <x:f>E199-B199</x:f>
        <x:v>-0.0014746713596931714</x:v>
      </x:c>
      <x:c r="G199" s="100" t="n">
        <x:f>ABS(F199)</x:f>
        <x:v>0.0014746713596931714</x:v>
      </x:c>
      <x:c r="H199" s="100" t="n">
        <x:f>'Raw R'!N193</x:f>
        <x:v>0.9759165112348019</x:v>
      </x:c>
      <x:c r="I199" t="b">
        <x:f>'Raw R'!O193</x:f>
        <x:v>1</x:v>
      </x:c>
      <x:c r="J199" s="100" t="n">
        <x:f>IF(I199,B199,"")</x:f>
        <x:v>0.006372561507490292</x:v>
      </x:c>
      <x:c r="K199" s="100" t="n">
        <x:f>IF(I199,E199,"")</x:f>
        <x:v>0.00489789014779712</x:v>
      </x:c>
      <x:c r="L199" s="100" t="n">
        <x:f>IF(I199,G199,"")</x:f>
        <x:v>0.0014746713596931714</x:v>
      </x:c>
      <x:c r="M199" s="100" t="n">
        <x:f>IF(I199,F199^2,"")</x:f>
        <x:v>0.0000021746556190993067</x:v>
      </x:c>
      <x:c r="N199" s="100" t="n">
        <x:f>IF(I199,F199,"")</x:f>
        <x:v>-0.0014746713596931714</x:v>
      </x:c>
      <x:c r="P199" t="n">
        <x:f>J199</x:f>
        <x:v>0.006372561507490292</x:v>
      </x:c>
      <x:c r="Q199" t="n">
        <x:f>K199</x:f>
        <x:v>0.00489789014779712</x:v>
      </x:c>
    </x:row>
    <x:row r="200">
      <x:c r="A200" s="99" t="str">
        <x:f>'Raw R'!B194</x:f>
        <x:v>00242</x:v>
      </x:c>
      <x:c r="B200" s="100" t="n">
        <x:f>INDEX('Raw Stations'!$D$2:$D$299,MATCH(A200,'Raw Stations'!$A$2:$A$299,0))</x:f>
        <x:v>-0.002855592244025443</x:v>
      </x:c>
      <x:c r="C200" s="100" t="n">
        <x:f>'Raw R'!L194</x:f>
        <x:v>-0.02402100877776728</x:v>
      </x:c>
      <x:c r="D200" s="100" t="n">
        <x:f>$B$2</x:f>
        <x:v>-0.01791329208576473</x:v>
      </x:c>
      <x:c r="E200" s="100" t="n">
        <x:f>C200-D200</x:f>
        <x:v>-0.006107716692002552</x:v>
      </x:c>
      <x:c r="F200" s="100" t="n">
        <x:f>E200-B200</x:f>
        <x:v>-0.0032521244479771084</x:v>
      </x:c>
      <x:c r="G200" s="100" t="n">
        <x:f>ABS(F200)</x:f>
        <x:v>0.0032521244479771084</x:v>
      </x:c>
      <x:c r="H200" s="100" t="n">
        <x:f>'Raw R'!N194</x:f>
        <x:v>0.9563348017008402</x:v>
      </x:c>
      <x:c r="I200" t="b">
        <x:f>'Raw R'!O194</x:f>
        <x:v>1</x:v>
      </x:c>
      <x:c r="J200" s="100" t="n">
        <x:f>IF(I200,B200,"")</x:f>
        <x:v>-0.002855592244025443</x:v>
      </x:c>
      <x:c r="K200" s="100" t="n">
        <x:f>IF(I200,E200,"")</x:f>
        <x:v>-0.006107716692002552</x:v>
      </x:c>
      <x:c r="L200" s="100" t="n">
        <x:f>IF(I200,G200,"")</x:f>
        <x:v>0.0032521244479771084</x:v>
      </x:c>
      <x:c r="M200" s="100" t="n">
        <x:f>IF(I200,F200^2,"")</x:f>
        <x:v>0.000010576313425130411</x:v>
      </x:c>
      <x:c r="N200" s="100" t="n">
        <x:f>IF(I200,F200,"")</x:f>
        <x:v>-0.0032521244479771084</x:v>
      </x:c>
      <x:c r="P200" t="n">
        <x:f>J200</x:f>
        <x:v>-0.002855592244025443</x:v>
      </x:c>
      <x:c r="Q200" t="n">
        <x:f>K200</x:f>
        <x:v>-0.006107716692002552</x:v>
      </x:c>
    </x:row>
    <x:row r="201">
      <x:c r="A201" s="99" t="str">
        <x:f>'Raw R'!B195</x:f>
        <x:v>00243</x:v>
      </x:c>
      <x:c r="B201" s="100" t="n">
        <x:f>INDEX('Raw Stations'!$D$2:$D$299,MATCH(A201,'Raw Stations'!$A$2:$A$299,0))</x:f>
        <x:v>-0.005319679673306148</x:v>
      </x:c>
      <x:c r="C201" s="100" t="n">
        <x:f>'Raw R'!L195</x:f>
        <x:v>-0.02681513946410168</x:v>
      </x:c>
      <x:c r="D201" s="100" t="n">
        <x:f>$B$2</x:f>
        <x:v>-0.01791329208576473</x:v>
      </x:c>
      <x:c r="E201" s="100" t="n">
        <x:f>C201-D201</x:f>
        <x:v>-0.00890184737833695</x:v>
      </x:c>
      <x:c r="F201" s="100" t="n">
        <x:f>E201-B201</x:f>
        <x:v>-0.003582167705030802</x:v>
      </x:c>
      <x:c r="G201" s="100" t="n">
        <x:f>ABS(F201)</x:f>
        <x:v>0.003582167705030802</x:v>
      </x:c>
      <x:c r="H201" s="100" t="n">
        <x:f>'Raw R'!N195</x:f>
        <x:v>0.9818319551808354</x:v>
      </x:c>
      <x:c r="I201" t="b">
        <x:f>'Raw R'!O195</x:f>
        <x:v>1</x:v>
      </x:c>
      <x:c r="J201" s="100" t="n">
        <x:f>IF(I201,B201,"")</x:f>
        <x:v>-0.005319679673306148</x:v>
      </x:c>
      <x:c r="K201" s="100" t="n">
        <x:f>IF(I201,E201,"")</x:f>
        <x:v>-0.00890184737833695</x:v>
      </x:c>
      <x:c r="L201" s="100" t="n">
        <x:f>IF(I201,G201,"")</x:f>
        <x:v>0.003582167705030802</x:v>
      </x:c>
      <x:c r="M201" s="100" t="n">
        <x:f>IF(I201,F201^2,"")</x:f>
        <x:v>0.000012831925466965642</x:v>
      </x:c>
      <x:c r="N201" s="100" t="n">
        <x:f>IF(I201,F201,"")</x:f>
        <x:v>-0.003582167705030802</x:v>
      </x:c>
      <x:c r="P201" t="n">
        <x:f>J201</x:f>
        <x:v>-0.005319679673306148</x:v>
      </x:c>
      <x:c r="Q201" t="n">
        <x:f>K201</x:f>
        <x:v>-0.00890184737833695</x:v>
      </x:c>
    </x:row>
    <x:row r="202">
      <x:c r="A202" s="99" t="str">
        <x:f>'Raw R'!B196</x:f>
        <x:v>00244</x:v>
      </x:c>
      <x:c r="B202" s="100" t="n">
        <x:f>INDEX('Raw Stations'!$D$2:$D$299,MATCH(A202,'Raw Stations'!$A$2:$A$299,0))</x:f>
        <x:v>-0.006447440382238656</x:v>
      </x:c>
      <x:c r="C202" s="100" t="n">
        <x:f>'Raw R'!L196</x:f>
        <x:v>-0.02631026022820931</x:v>
      </x:c>
      <x:c r="D202" s="100" t="n">
        <x:f>$B$2</x:f>
        <x:v>-0.01791329208576473</x:v>
      </x:c>
      <x:c r="E202" s="100" t="n">
        <x:f>C202-D202</x:f>
        <x:v>-0.008396968142444582</x:v>
      </x:c>
      <x:c r="F202" s="100" t="n">
        <x:f>E202-B202</x:f>
        <x:v>-0.0019495277602059255</x:v>
      </x:c>
      <x:c r="G202" s="100" t="n">
        <x:f>ABS(F202)</x:f>
        <x:v>0.0019495277602059255</x:v>
      </x:c>
      <x:c r="H202" s="100" t="n">
        <x:f>'Raw R'!N196</x:f>
        <x:v>0.9785396375077642</x:v>
      </x:c>
      <x:c r="I202" t="b">
        <x:f>'Raw R'!O196</x:f>
        <x:v>1</x:v>
      </x:c>
      <x:c r="J202" s="100" t="n">
        <x:f>IF(I202,B202,"")</x:f>
        <x:v>-0.006447440382238656</x:v>
      </x:c>
      <x:c r="K202" s="100" t="n">
        <x:f>IF(I202,E202,"")</x:f>
        <x:v>-0.008396968142444582</x:v>
      </x:c>
      <x:c r="L202" s="100" t="n">
        <x:f>IF(I202,G202,"")</x:f>
        <x:v>0.0019495277602059255</x:v>
      </x:c>
      <x:c r="M202" s="100" t="n">
        <x:f>IF(I202,F202^2,"")</x:f>
        <x:v>0.0000038006584878135325</x:v>
      </x:c>
      <x:c r="N202" s="100" t="n">
        <x:f>IF(I202,F202,"")</x:f>
        <x:v>-0.0019495277602059255</x:v>
      </x:c>
      <x:c r="P202" t="n">
        <x:f>J202</x:f>
        <x:v>-0.006447440382238656</x:v>
      </x:c>
      <x:c r="Q202" t="n">
        <x:f>K202</x:f>
        <x:v>-0.008396968142444582</x:v>
      </x:c>
    </x:row>
    <x:row r="203">
      <x:c r="A203" s="99" t="str">
        <x:f>'Raw R'!B197</x:f>
        <x:v>00245</x:v>
      </x:c>
      <x:c r="B203" s="100" t="n">
        <x:f>INDEX('Raw Stations'!$D$2:$D$299,MATCH(A203,'Raw Stations'!$A$2:$A$299,0))</x:f>
        <x:v>-0.005999491690710009</x:v>
      </x:c>
      <x:c r="C203" s="100" t="n">
        <x:f>'Raw R'!L197</x:f>
        <x:v>-0.02664196552180714</x:v>
      </x:c>
      <x:c r="D203" s="100" t="n">
        <x:f>$B$2</x:f>
        <x:v>-0.01791329208576473</x:v>
      </x:c>
      <x:c r="E203" s="100" t="n">
        <x:f>C203-D203</x:f>
        <x:v>-0.00872867343604241</x:v>
      </x:c>
      <x:c r="F203" s="100" t="n">
        <x:f>E203-B203</x:f>
        <x:v>-0.0027291817453324006</x:v>
      </x:c>
      <x:c r="G203" s="100" t="n">
        <x:f>ABS(F203)</x:f>
        <x:v>0.0027291817453324006</x:v>
      </x:c>
      <x:c r="H203" s="100" t="n">
        <x:f>'Raw R'!N197</x:f>
        <x:v>0.9759515917737334</x:v>
      </x:c>
      <x:c r="I203" t="b">
        <x:f>'Raw R'!O197</x:f>
        <x:v>1</x:v>
      </x:c>
      <x:c r="J203" s="100" t="n">
        <x:f>IF(I203,B203,"")</x:f>
        <x:v>-0.005999491690710009</x:v>
      </x:c>
      <x:c r="K203" s="100" t="n">
        <x:f>IF(I203,E203,"")</x:f>
        <x:v>-0.00872867343604241</x:v>
      </x:c>
      <x:c r="L203" s="100" t="n">
        <x:f>IF(I203,G203,"")</x:f>
        <x:v>0.0027291817453324006</x:v>
      </x:c>
      <x:c r="M203" s="100" t="n">
        <x:f>IF(I203,F203^2,"")</x:f>
        <x:v>0.000007448432999055608</x:v>
      </x:c>
      <x:c r="N203" s="100" t="n">
        <x:f>IF(I203,F203,"")</x:f>
        <x:v>-0.0027291817453324006</x:v>
      </x:c>
      <x:c r="P203" t="n">
        <x:f>J203</x:f>
        <x:v>-0.005999491690710009</x:v>
      </x:c>
      <x:c r="Q203" t="n">
        <x:f>K203</x:f>
        <x:v>-0.00872867343604241</x:v>
      </x:c>
    </x:row>
    <x:row r="204">
      <x:c r="A204" s="99" t="str">
        <x:f>'Raw R'!B198</x:f>
        <x:v>00246</x:v>
      </x:c>
      <x:c r="B204" s="100" t="n">
        <x:f>INDEX('Raw Stations'!$D$2:$D$299,MATCH(A204,'Raw Stations'!$A$2:$A$299,0))</x:f>
        <x:v>-0.003334853758854929</x:v>
      </x:c>
      <x:c r="C204" s="100" t="n">
        <x:f>'Raw R'!L198</x:f>
        <x:v>-0.02208625023750661</x:v>
      </x:c>
      <x:c r="D204" s="100" t="n">
        <x:f>$B$2</x:f>
        <x:v>-0.01791329208576473</x:v>
      </x:c>
      <x:c r="E204" s="100" t="n">
        <x:f>C204-D204</x:f>
        <x:v>-0.00417295815174188</x:v>
      </x:c>
      <x:c r="F204" s="100" t="n">
        <x:f>E204-B204</x:f>
        <x:v>-0.0008381043928869514</x:v>
      </x:c>
      <x:c r="G204" s="100" t="n">
        <x:f>ABS(F204)</x:f>
        <x:v>0.0008381043928869514</x:v>
      </x:c>
      <x:c r="H204" s="100" t="n">
        <x:f>'Raw R'!N198</x:f>
        <x:v>0.9846840996785943</x:v>
      </x:c>
      <x:c r="I204" t="b">
        <x:f>'Raw R'!O198</x:f>
        <x:v>1</x:v>
      </x:c>
      <x:c r="J204" s="100" t="n">
        <x:f>IF(I204,B204,"")</x:f>
        <x:v>-0.003334853758854929</x:v>
      </x:c>
      <x:c r="K204" s="100" t="n">
        <x:f>IF(I204,E204,"")</x:f>
        <x:v>-0.00417295815174188</x:v>
      </x:c>
      <x:c r="L204" s="100" t="n">
        <x:f>IF(I204,G204,"")</x:f>
        <x:v>0.0008381043928869514</x:v>
      </x:c>
      <x:c r="M204" s="100" t="n">
        <x:f>IF(I204,F204^2,"")</x:f>
        <x:v>7.024189733764054e-7</x:v>
      </x:c>
      <x:c r="N204" s="100" t="n">
        <x:f>IF(I204,F204,"")</x:f>
        <x:v>-0.0008381043928869514</x:v>
      </x:c>
      <x:c r="P204" t="n">
        <x:f>J204</x:f>
        <x:v>-0.003334853758854929</x:v>
      </x:c>
      <x:c r="Q204" t="n">
        <x:f>K204</x:f>
        <x:v>-0.00417295815174188</x:v>
      </x:c>
    </x:row>
    <x:row r="205">
      <x:c r="A205" s="99" t="str">
        <x:f>'Raw R'!B199</x:f>
        <x:v>00247</x:v>
      </x:c>
      <x:c r="B205" s="100" t="n">
        <x:f>INDEX('Raw Stations'!$D$2:$D$299,MATCH(A205,'Raw Stations'!$A$2:$A$299,0))</x:f>
        <x:v>-0.004174738263577411</x:v>
      </x:c>
      <x:c r="C205" s="100" t="n">
        <x:f>'Raw R'!L199</x:f>
        <x:v>-0.01995493555511549</x:v>
      </x:c>
      <x:c r="D205" s="100" t="n">
        <x:f>$B$2</x:f>
        <x:v>-0.01791329208576473</x:v>
      </x:c>
      <x:c r="E205" s="100" t="n">
        <x:f>C205-D205</x:f>
        <x:v>-0.002041643469350759</x:v>
      </x:c>
      <x:c r="F205" s="100" t="n">
        <x:f>E205-B205</x:f>
        <x:v>0.0021330947942266518</x:v>
      </x:c>
      <x:c r="G205" s="100" t="n">
        <x:f>ABS(F205)</x:f>
        <x:v>0.0021330947942266518</x:v>
      </x:c>
      <x:c r="H205" s="100" t="n">
        <x:f>'Raw R'!N199</x:f>
        <x:v>0.9722023299990892</x:v>
      </x:c>
      <x:c r="I205" t="b">
        <x:f>'Raw R'!O199</x:f>
        <x:v>1</x:v>
      </x:c>
      <x:c r="J205" s="100" t="n">
        <x:f>IF(I205,B205,"")</x:f>
        <x:v>-0.004174738263577411</x:v>
      </x:c>
      <x:c r="K205" s="100" t="n">
        <x:f>IF(I205,E205,"")</x:f>
        <x:v>-0.002041643469350759</x:v>
      </x:c>
      <x:c r="L205" s="100" t="n">
        <x:f>IF(I205,G205,"")</x:f>
        <x:v>0.0021330947942266518</x:v>
      </x:c>
      <x:c r="M205" s="100" t="n">
        <x:f>IF(I205,F205^2,"")</x:f>
        <x:v>0.000004550093401156842</x:v>
      </x:c>
      <x:c r="N205" s="100" t="n">
        <x:f>IF(I205,F205,"")</x:f>
        <x:v>0.0021330947942266518</x:v>
      </x:c>
      <x:c r="P205" t="n">
        <x:f>J205</x:f>
        <x:v>-0.004174738263577411</x:v>
      </x:c>
      <x:c r="Q205" t="n">
        <x:f>K205</x:f>
        <x:v>-0.002041643469350759</x:v>
      </x:c>
    </x:row>
    <x:row r="206">
      <x:c r="A206" s="99" t="str">
        <x:f>'Raw R'!B200</x:f>
        <x:v>00248</x:v>
      </x:c>
      <x:c r="B206" s="100" t="n">
        <x:f>INDEX('Raw Stations'!$D$2:$D$299,MATCH(A206,'Raw Stations'!$A$2:$A$299,0))</x:f>
        <x:v>-0.002433906224654048</x:v>
      </x:c>
      <x:c r="C206" s="100" t="n">
        <x:f>'Raw R'!L200</x:f>
        <x:v>-0.01889244986799418</x:v>
      </x:c>
      <x:c r="D206" s="100" t="n">
        <x:f>$B$2</x:f>
        <x:v>-0.01791329208576473</x:v>
      </x:c>
      <x:c r="E206" s="100" t="n">
        <x:f>C206-D206</x:f>
        <x:v>-0.0009791577822294492</x:v>
      </x:c>
      <x:c r="F206" s="100" t="n">
        <x:f>E206-B206</x:f>
        <x:v>0.0014547484424245988</x:v>
      </x:c>
      <x:c r="G206" s="100" t="n">
        <x:f>ABS(F206)</x:f>
        <x:v>0.0014547484424245988</x:v>
      </x:c>
      <x:c r="H206" s="100" t="n">
        <x:f>'Raw R'!N200</x:f>
        <x:v>0.9708172565101618</x:v>
      </x:c>
      <x:c r="I206" t="b">
        <x:f>'Raw R'!O200</x:f>
        <x:v>1</x:v>
      </x:c>
      <x:c r="J206" s="100" t="n">
        <x:f>IF(I206,B206,"")</x:f>
        <x:v>-0.002433906224654048</x:v>
      </x:c>
      <x:c r="K206" s="100" t="n">
        <x:f>IF(I206,E206,"")</x:f>
        <x:v>-0.0009791577822294492</x:v>
      </x:c>
      <x:c r="L206" s="100" t="n">
        <x:f>IF(I206,G206,"")</x:f>
        <x:v>0.0014547484424245988</x:v>
      </x:c>
      <x:c r="M206" s="100" t="n">
        <x:f>IF(I206,F206^2,"")</x:f>
        <x:v>0.000002116293030736796</x:v>
      </x:c>
      <x:c r="N206" s="100" t="n">
        <x:f>IF(I206,F206,"")</x:f>
        <x:v>0.0014547484424245988</x:v>
      </x:c>
      <x:c r="P206" t="n">
        <x:f>J206</x:f>
        <x:v>-0.002433906224654048</x:v>
      </x:c>
      <x:c r="Q206" t="n">
        <x:f>K206</x:f>
        <x:v>-0.0009791577822294492</x:v>
      </x:c>
    </x:row>
    <x:row r="207">
      <x:c r="A207" s="99" t="str">
        <x:f>'Raw R'!B201</x:f>
        <x:v>00249</x:v>
      </x:c>
      <x:c r="B207" s="100" t="n">
        <x:f>INDEX('Raw Stations'!$D$2:$D$299,MATCH(A207,'Raw Stations'!$A$2:$A$299,0))</x:f>
        <x:v>-0.0005285886663962298</x:v>
      </x:c>
      <x:c r="C207" s="100" t="n">
        <x:f>'Raw R'!L201</x:f>
        <x:v>-0.01819530070665253</x:v>
      </x:c>
      <x:c r="D207" s="100" t="n">
        <x:f>$B$2</x:f>
        <x:v>-0.01791329208576473</x:v>
      </x:c>
      <x:c r="E207" s="100" t="n">
        <x:f>C207-D207</x:f>
        <x:v>-0.00028200862088779977</x:v>
      </x:c>
      <x:c r="F207" s="100" t="n">
        <x:f>E207-B207</x:f>
        <x:v>0.0002465800455084301</x:v>
      </x:c>
      <x:c r="G207" s="100" t="n">
        <x:f>ABS(F207)</x:f>
        <x:v>0.0002465800455084301</x:v>
      </x:c>
      <x:c r="H207" s="100" t="n">
        <x:f>'Raw R'!N201</x:f>
        <x:v>0.9528503433002191</x:v>
      </x:c>
      <x:c r="I207" t="b">
        <x:f>'Raw R'!O201</x:f>
        <x:v>1</x:v>
      </x:c>
      <x:c r="J207" s="100" t="n">
        <x:f>IF(I207,B207,"")</x:f>
        <x:v>-0.0005285886663962298</x:v>
      </x:c>
      <x:c r="K207" s="100" t="n">
        <x:f>IF(I207,E207,"")</x:f>
        <x:v>-0.00028200862088779977</x:v>
      </x:c>
      <x:c r="L207" s="100" t="n">
        <x:f>IF(I207,G207,"")</x:f>
        <x:v>0.0002465800455084301</x:v>
      </x:c>
      <x:c r="M207" s="100" t="n">
        <x:f>IF(I207,F207^2,"")</x:f>
        <x:v>6.080171884293945e-8</x:v>
      </x:c>
      <x:c r="N207" s="100" t="n">
        <x:f>IF(I207,F207,"")</x:f>
        <x:v>0.0002465800455084301</x:v>
      </x:c>
      <x:c r="P207" t="n">
        <x:f>J207</x:f>
        <x:v>-0.0005285886663962298</x:v>
      </x:c>
      <x:c r="Q207" t="n">
        <x:f>K207</x:f>
        <x:v>-0.00028200862088779977</x:v>
      </x:c>
    </x:row>
    <x:row r="208">
      <x:c r="A208" s="99" t="str">
        <x:f>'Raw R'!B202</x:f>
        <x:v>00250</x:v>
      </x:c>
      <x:c r="B208" s="100" t="n">
        <x:f>INDEX('Raw Stations'!$D$2:$D$299,MATCH(A208,'Raw Stations'!$A$2:$A$299,0))</x:f>
        <x:v>0.01009652619025008</x:v>
      </x:c>
      <x:c r="C208" s="100" t="n">
        <x:f>'Raw R'!L202</x:f>
        <x:v>-0.00942211967955997</x:v>
      </x:c>
      <x:c r="D208" s="100" t="n">
        <x:f>$B$2</x:f>
        <x:v>-0.01791329208576473</x:v>
      </x:c>
      <x:c r="E208" s="100" t="n">
        <x:f>C208-D208</x:f>
        <x:v>0.008491172406204759</x:v>
      </x:c>
      <x:c r="F208" s="100" t="n">
        <x:f>E208-B208</x:f>
        <x:v>-0.0016053537840453203</x:v>
      </x:c>
      <x:c r="G208" s="100" t="n">
        <x:f>ABS(F208)</x:f>
        <x:v>0.0016053537840453203</x:v>
      </x:c>
      <x:c r="H208" s="100" t="n">
        <x:f>'Raw R'!N202</x:f>
        <x:v>0.9085388430588052</x:v>
      </x:c>
      <x:c r="I208" t="b">
        <x:f>'Raw R'!O202</x:f>
        <x:v>1</x:v>
      </x:c>
      <x:c r="J208" s="100" t="n">
        <x:f>IF(I208,B208,"")</x:f>
        <x:v>0.01009652619025008</x:v>
      </x:c>
      <x:c r="K208" s="100" t="n">
        <x:f>IF(I208,E208,"")</x:f>
        <x:v>0.008491172406204759</x:v>
      </x:c>
      <x:c r="L208" s="100" t="n">
        <x:f>IF(I208,G208,"")</x:f>
        <x:v>0.0016053537840453203</x:v>
      </x:c>
      <x:c r="M208" s="100" t="n">
        <x:f>IF(I208,F208^2,"")</x:f>
        <x:v>0.000002577160771948629</x:v>
      </x:c>
      <x:c r="N208" s="100" t="n">
        <x:f>IF(I208,F208,"")</x:f>
        <x:v>-0.0016053537840453203</x:v>
      </x:c>
      <x:c r="P208" t="n">
        <x:f>J208</x:f>
        <x:v>0.01009652619025008</x:v>
      </x:c>
      <x:c r="Q208" t="n">
        <x:f>K208</x:f>
        <x:v>0.008491172406204759</x:v>
      </x:c>
    </x:row>
    <x:row r="209">
      <x:c r="A209" s="99" t="str">
        <x:f>'Raw R'!B203</x:f>
        <x:v>00251</x:v>
      </x:c>
      <x:c r="B209" s="100" t="n">
        <x:f>INDEX('Raw Stations'!$D$2:$D$299,MATCH(A209,'Raw Stations'!$A$2:$A$299,0))</x:f>
        <x:v>0.01443343041710357</x:v>
      </x:c>
      <x:c r="C209" s="100" t="n">
        <x:f>'Raw R'!L203</x:f>
        <x:v>-0.004317966061548106</x:v>
      </x:c>
      <x:c r="D209" s="100" t="n">
        <x:f>$B$2</x:f>
        <x:v>-0.01791329208576473</x:v>
      </x:c>
      <x:c r="E209" s="100" t="n">
        <x:f>C209-D209</x:f>
        <x:v>0.013595326024216623</x:v>
      </x:c>
      <x:c r="F209" s="100" t="n">
        <x:f>E209-B209</x:f>
        <x:v>-0.0008381043928869462</x:v>
      </x:c>
      <x:c r="G209" s="100" t="n">
        <x:f>ABS(F209)</x:f>
        <x:v>0.0008381043928869462</x:v>
      </x:c>
      <x:c r="H209" s="100" t="n">
        <x:f>'Raw R'!N203</x:f>
        <x:v>0.8846430082649006</x:v>
      </x:c>
      <x:c r="I209" t="b">
        <x:f>'Raw R'!O203</x:f>
        <x:v>1</x:v>
      </x:c>
      <x:c r="J209" s="100" t="n">
        <x:f>IF(I209,B209,"")</x:f>
        <x:v>0.01443343041710357</x:v>
      </x:c>
      <x:c r="K209" s="100" t="n">
        <x:f>IF(I209,E209,"")</x:f>
        <x:v>0.013595326024216623</x:v>
      </x:c>
      <x:c r="L209" s="100" t="n">
        <x:f>IF(I209,G209,"")</x:f>
        <x:v>0.0008381043928869462</x:v>
      </x:c>
      <x:c r="M209" s="100" t="n">
        <x:f>IF(I209,F209^2,"")</x:f>
        <x:v>7.024189733763966e-7</x:v>
      </x:c>
      <x:c r="N209" s="100" t="n">
        <x:f>IF(I209,F209,"")</x:f>
        <x:v>-0.0008381043928869462</x:v>
      </x:c>
      <x:c r="P209" t="n">
        <x:f>J209</x:f>
        <x:v>0.01443343041710357</x:v>
      </x:c>
      <x:c r="Q209" t="n">
        <x:f>K209</x:f>
        <x:v>0.013595326024216623</x:v>
      </x:c>
    </x:row>
    <x:row r="210">
      <x:c r="A210" s="99" t="str">
        <x:f>'Raw R'!B204</x:f>
        <x:v>00252</x:v>
      </x:c>
      <x:c r="B210" s="100" t="n">
        <x:f>INDEX('Raw Stations'!$D$2:$D$299,MATCH(A210,'Raw Stations'!$A$2:$A$299,0))</x:f>
        <x:v>0.008202143428452185</x:v>
      </x:c>
      <x:c r="C210" s="100" t="n">
        <x:f>'Raw R'!L204</x:f>
        <x:v>-0.01131650244135787</x:v>
      </x:c>
      <x:c r="D210" s="100" t="n">
        <x:f>$B$2</x:f>
        <x:v>-0.01791329208576473</x:v>
      </x:c>
      <x:c r="E210" s="100" t="n">
        <x:f>C210-D210</x:f>
        <x:v>0.00659678964440686</x:v>
      </x:c>
      <x:c r="F210" s="100" t="n">
        <x:f>E210-B210</x:f>
        <x:v>-0.0016053537840453255</x:v>
      </x:c>
      <x:c r="G210" s="100" t="n">
        <x:f>ABS(F210)</x:f>
        <x:v>0.0016053537840453255</x:v>
      </x:c>
      <x:c r="H210" s="100" t="n">
        <x:f>'Raw R'!N204</x:f>
        <x:v>0.9837844321523658</x:v>
      </x:c>
      <x:c r="I210" t="b">
        <x:f>'Raw R'!O204</x:f>
        <x:v>1</x:v>
      </x:c>
      <x:c r="J210" s="100" t="n">
        <x:f>IF(I210,B210,"")</x:f>
        <x:v>0.008202143428452185</x:v>
      </x:c>
      <x:c r="K210" s="100" t="n">
        <x:f>IF(I210,E210,"")</x:f>
        <x:v>0.00659678964440686</x:v>
      </x:c>
      <x:c r="L210" s="100" t="n">
        <x:f>IF(I210,G210,"")</x:f>
        <x:v>0.0016053537840453255</x:v>
      </x:c>
      <x:c r="M210" s="100" t="n">
        <x:f>IF(I210,F210^2,"")</x:f>
        <x:v>0.0000025771607719486457</x:v>
      </x:c>
      <x:c r="N210" s="100" t="n">
        <x:f>IF(I210,F210,"")</x:f>
        <x:v>-0.0016053537840453255</x:v>
      </x:c>
      <x:c r="P210" t="n">
        <x:f>J210</x:f>
        <x:v>0.008202143428452185</x:v>
      </x:c>
      <x:c r="Q210" t="n">
        <x:f>K210</x:f>
        <x:v>0.00659678964440686</x:v>
      </x:c>
    </x:row>
    <x:row r="211">
      <x:c r="A211" s="99" t="str">
        <x:f>'Raw R'!B205</x:f>
        <x:v>00253</x:v>
      </x:c>
      <x:c r="B211" s="100" t="n">
        <x:f>INDEX('Raw Stations'!$D$2:$D$299,MATCH(A211,'Raw Stations'!$A$2:$A$299,0))</x:f>
        <x:v>-0.00216005978490106</x:v>
      </x:c>
      <x:c r="C211" s="100" t="n">
        <x:f>'Raw R'!L205</x:f>
        <x:v>-0.02140722792238015</x:v>
      </x:c>
      <x:c r="D211" s="100" t="n">
        <x:f>$B$2</x:f>
        <x:v>-0.01791329208576473</x:v>
      </x:c>
      <x:c r="E211" s="100" t="n">
        <x:f>C211-D211</x:f>
        <x:v>-0.0034939358366154194</x:v>
      </x:c>
      <x:c r="F211" s="100" t="n">
        <x:f>E211-B211</x:f>
        <x:v>-0.0013338760517143593</x:v>
      </x:c>
      <x:c r="G211" s="100" t="n">
        <x:f>ABS(F211)</x:f>
        <x:v>0.0013338760517143593</x:v>
      </x:c>
      <x:c r="H211" s="100" t="n">
        <x:f>'Raw R'!N205</x:f>
        <x:v>0.9708995980406402</x:v>
      </x:c>
      <x:c r="I211" t="b">
        <x:f>'Raw R'!O205</x:f>
        <x:v>1</x:v>
      </x:c>
      <x:c r="J211" s="100" t="n">
        <x:f>IF(I211,B211,"")</x:f>
        <x:v>-0.00216005978490106</x:v>
      </x:c>
      <x:c r="K211" s="100" t="n">
        <x:f>IF(I211,E211,"")</x:f>
        <x:v>-0.0034939358366154194</x:v>
      </x:c>
      <x:c r="L211" s="100" t="n">
        <x:f>IF(I211,G211,"")</x:f>
        <x:v>0.0013338760517143593</x:v>
      </x:c>
      <x:c r="M211" s="100" t="n">
        <x:f>IF(I211,F211^2,"")</x:f>
        <x:v>0.000001779225321337088</x:v>
      </x:c>
      <x:c r="N211" s="100" t="n">
        <x:f>IF(I211,F211,"")</x:f>
        <x:v>-0.0013338760517143593</x:v>
      </x:c>
      <x:c r="P211" t="n">
        <x:f>J211</x:f>
        <x:v>-0.00216005978490106</x:v>
      </x:c>
      <x:c r="Q211" t="n">
        <x:f>K211</x:f>
        <x:v>-0.0034939358366154194</x:v>
      </x:c>
    </x:row>
    <x:row r="212">
      <x:c r="A212" s="99" t="str">
        <x:f>'Raw R'!B206</x:f>
        <x:v>00254</x:v>
      </x:c>
      <x:c r="B212" s="100" t="n">
        <x:f>INDEX('Raw Stations'!$D$2:$D$299,MATCH(A212,'Raw Stations'!$A$2:$A$299,0))</x:f>
        <x:v>-0.005124085243221884</x:v>
      </x:c>
      <x:c r="C212" s="100" t="n">
        <x:f>'Raw R'!L206</x:f>
        <x:v>-0.02549066379268353</x:v>
      </x:c>
      <x:c r="D212" s="100" t="n">
        <x:f>$B$2</x:f>
        <x:v>-0.01791329208576473</x:v>
      </x:c>
      <x:c r="E212" s="100" t="n">
        <x:f>C212-D212</x:f>
        <x:v>-0.007577371706918801</x:v>
      </x:c>
      <x:c r="F212" s="100" t="n">
        <x:f>E212-B212</x:f>
        <x:v>-0.0024532864636969166</x:v>
      </x:c>
      <x:c r="G212" s="100" t="n">
        <x:f>ABS(F212)</x:f>
        <x:v>0.0024532864636969166</x:v>
      </x:c>
      <x:c r="H212" s="100" t="n">
        <x:f>'Raw R'!N206</x:f>
        <x:v>0.9379894020130881</x:v>
      </x:c>
      <x:c r="I212" t="b">
        <x:f>'Raw R'!O206</x:f>
        <x:v>1</x:v>
      </x:c>
      <x:c r="J212" s="100" t="n">
        <x:f>IF(I212,B212,"")</x:f>
        <x:v>-0.005124085243221884</x:v>
      </x:c>
      <x:c r="K212" s="100" t="n">
        <x:f>IF(I212,E212,"")</x:f>
        <x:v>-0.007577371706918801</x:v>
      </x:c>
      <x:c r="L212" s="100" t="n">
        <x:f>IF(I212,G212,"")</x:f>
        <x:v>0.0024532864636969166</x:v>
      </x:c>
      <x:c r="M212" s="100" t="n">
        <x:f>IF(I212,F212^2,"")</x:f>
        <x:v>0.000006018614472958523</x:v>
      </x:c>
      <x:c r="N212" s="100" t="n">
        <x:f>IF(I212,F212,"")</x:f>
        <x:v>-0.0024532864636969166</x:v>
      </x:c>
      <x:c r="P212" t="n">
        <x:f>J212</x:f>
        <x:v>-0.005124085243221884</x:v>
      </x:c>
      <x:c r="Q212" t="n">
        <x:f>K212</x:f>
        <x:v>-0.007577371706918801</x:v>
      </x:c>
    </x:row>
    <x:row r="213">
      <x:c r="A213" s="99" t="str">
        <x:f>'Raw R'!B207</x:f>
        <x:v>00255</x:v>
      </x:c>
      <x:c r="B213" s="100" t="n">
        <x:f>INDEX('Raw Stations'!$D$2:$D$299,MATCH(A213,'Raw Stations'!$A$2:$A$299,0))</x:f>
        <x:v>-0.00187578681520597</x:v>
      </x:c>
      <x:c r="C213" s="100" t="n">
        <x:f>'Raw R'!L207</x:f>
        <x:v>-0.02123842005272673</x:v>
      </x:c>
      <x:c r="D213" s="100" t="n">
        <x:f>$B$2</x:f>
        <x:v>-0.01791329208576473</x:v>
      </x:c>
      <x:c r="E213" s="100" t="n">
        <x:f>C213-D213</x:f>
        <x:v>-0.0033251279669620007</x:v>
      </x:c>
      <x:c r="F213" s="100" t="n">
        <x:f>E213-B213</x:f>
        <x:v>-0.0014493411517560307</x:v>
      </x:c>
      <x:c r="G213" s="100" t="n">
        <x:f>ABS(F213)</x:f>
        <x:v>0.0014493411517560307</x:v>
      </x:c>
      <x:c r="H213" s="100" t="n">
        <x:f>'Raw R'!N207</x:f>
        <x:v>0.944720965960858</x:v>
      </x:c>
      <x:c r="I213" t="b">
        <x:f>'Raw R'!O207</x:f>
        <x:v>1</x:v>
      </x:c>
      <x:c r="J213" s="100" t="n">
        <x:f>IF(I213,B213,"")</x:f>
        <x:v>-0.00187578681520597</x:v>
      </x:c>
      <x:c r="K213" s="100" t="n">
        <x:f>IF(I213,E213,"")</x:f>
        <x:v>-0.0033251279669620007</x:v>
      </x:c>
      <x:c r="L213" s="100" t="n">
        <x:f>IF(I213,G213,"")</x:f>
        <x:v>0.0014493411517560307</x:v>
      </x:c>
      <x:c r="M213" s="100" t="n">
        <x:f>IF(I213,F213^2,"")</x:f>
        <x:v>0.0000021005897741734976</x:v>
      </x:c>
      <x:c r="N213" s="100" t="n">
        <x:f>IF(I213,F213,"")</x:f>
        <x:v>-0.0014493411517560307</x:v>
      </x:c>
      <x:c r="P213" t="n">
        <x:f>J213</x:f>
        <x:v>-0.00187578681520597</x:v>
      </x:c>
      <x:c r="Q213" t="n">
        <x:f>K213</x:f>
        <x:v>-0.0033251279669620007</x:v>
      </x:c>
    </x:row>
    <x:row r="214">
      <x:c r="A214" s="99" t="str">
        <x:f>'Raw R'!B208</x:f>
        <x:v>00256</x:v>
      </x:c>
      <x:c r="B214" s="100" t="n">
        <x:f>INDEX('Raw Stations'!$D$2:$D$299,MATCH(A214,'Raw Stations'!$A$2:$A$299,0))</x:f>
        <x:v>0.002057983199246202</x:v>
      </x:c>
      <x:c r="C214" s="100" t="n">
        <x:f>'Raw R'!L208</x:f>
        <x:v>-0.01669341327940548</x:v>
      </x:c>
      <x:c r="D214" s="100" t="n">
        <x:f>$B$2</x:f>
        <x:v>-0.01791329208576473</x:v>
      </x:c>
      <x:c r="E214" s="100" t="n">
        <x:f>C214-D214</x:f>
        <x:v>0.0012198788063592508</x:v>
      </x:c>
      <x:c r="F214" s="100" t="n">
        <x:f>E214-B214</x:f>
        <x:v>-0.0008381043928869514</x:v>
      </x:c>
      <x:c r="G214" s="100" t="n">
        <x:f>ABS(F214)</x:f>
        <x:v>0.0008381043928869514</x:v>
      </x:c>
      <x:c r="H214" s="100" t="n">
        <x:f>'Raw R'!N208</x:f>
        <x:v>0.9534399725888949</x:v>
      </x:c>
      <x:c r="I214" t="b">
        <x:f>'Raw R'!O208</x:f>
        <x:v>1</x:v>
      </x:c>
      <x:c r="J214" s="100" t="n">
        <x:f>IF(I214,B214,"")</x:f>
        <x:v>0.002057983199246202</x:v>
      </x:c>
      <x:c r="K214" s="100" t="n">
        <x:f>IF(I214,E214,"")</x:f>
        <x:v>0.0012198788063592508</x:v>
      </x:c>
      <x:c r="L214" s="100" t="n">
        <x:f>IF(I214,G214,"")</x:f>
        <x:v>0.0008381043928869514</x:v>
      </x:c>
      <x:c r="M214" s="100" t="n">
        <x:f>IF(I214,F214^2,"")</x:f>
        <x:v>7.024189733764054e-7</x:v>
      </x:c>
      <x:c r="N214" s="100" t="n">
        <x:f>IF(I214,F214,"")</x:f>
        <x:v>-0.0008381043928869514</x:v>
      </x:c>
      <x:c r="P214" t="n">
        <x:f>J214</x:f>
        <x:v>0.002057983199246202</x:v>
      </x:c>
      <x:c r="Q214" t="n">
        <x:f>K214</x:f>
        <x:v>0.0012198788063592508</x:v>
      </x:c>
    </x:row>
    <x:row r="215">
      <x:c r="A215" s="99" t="str">
        <x:f>'Raw R'!B209</x:f>
        <x:v>00257</x:v>
      </x:c>
      <x:c r="B215" s="100" t="n">
        <x:f>INDEX('Raw Stations'!$D$2:$D$299,MATCH(A215,'Raw Stations'!$A$2:$A$299,0))</x:f>
        <x:v>-0.002023806519780652</x:v>
      </x:c>
      <x:c r="C215" s="100" t="n">
        <x:f>'Raw R'!L209</x:f>
        <x:v>-0.01969051856003695</x:v>
      </x:c>
      <x:c r="D215" s="100" t="n">
        <x:f>$B$2</x:f>
        <x:v>-0.01791329208576473</x:v>
      </x:c>
      <x:c r="E215" s="100" t="n">
        <x:f>C215-D215</x:f>
        <x:v>-0.001777226474272222</x:v>
      </x:c>
      <x:c r="F215" s="100" t="n">
        <x:f>E215-B215</x:f>
        <x:v>0.0002465800455084301</x:v>
      </x:c>
      <x:c r="G215" s="100" t="n">
        <x:f>ABS(F215)</x:f>
        <x:v>0.0002465800455084301</x:v>
      </x:c>
      <x:c r="H215" s="100" t="n">
        <x:f>'Raw R'!N209</x:f>
        <x:v>0.9301887073429231</x:v>
      </x:c>
      <x:c r="I215" t="b">
        <x:f>'Raw R'!O209</x:f>
        <x:v>1</x:v>
      </x:c>
      <x:c r="J215" s="100" t="n">
        <x:f>IF(I215,B215,"")</x:f>
        <x:v>-0.002023806519780652</x:v>
      </x:c>
      <x:c r="K215" s="100" t="n">
        <x:f>IF(I215,E215,"")</x:f>
        <x:v>-0.001777226474272222</x:v>
      </x:c>
      <x:c r="L215" s="100" t="n">
        <x:f>IF(I215,G215,"")</x:f>
        <x:v>0.0002465800455084301</x:v>
      </x:c>
      <x:c r="M215" s="100" t="n">
        <x:f>IF(I215,F215^2,"")</x:f>
        <x:v>6.080171884293945e-8</x:v>
      </x:c>
      <x:c r="N215" s="100" t="n">
        <x:f>IF(I215,F215,"")</x:f>
        <x:v>0.0002465800455084301</x:v>
      </x:c>
      <x:c r="P215" t="n">
        <x:f>J215</x:f>
        <x:v>-0.002023806519780652</x:v>
      </x:c>
      <x:c r="Q215" t="n">
        <x:f>K215</x:f>
        <x:v>-0.001777226474272222</x:v>
      </x:c>
    </x:row>
    <x:row r="216">
      <x:c r="A216" s="99" t="str">
        <x:f>'Raw R'!B210</x:f>
        <x:v>00258</x:v>
      </x:c>
      <x:c r="B216" s="100" t="n">
        <x:f>INDEX('Raw Stations'!$D$2:$D$299,MATCH(A216,'Raw Stations'!$A$2:$A$299,0))</x:f>
        <x:v>-0.001294380249614171</x:v>
      </x:c>
      <x:c r="C216" s="100" t="n">
        <x:f>'Raw R'!L210</x:f>
        <x:v>-0.01896109228987047</x:v>
      </x:c>
      <x:c r="D216" s="100" t="n">
        <x:f>$B$2</x:f>
        <x:v>-0.01791329208576473</x:v>
      </x:c>
      <x:c r="E216" s="100" t="n">
        <x:f>C216-D216</x:f>
        <x:v>-0.0010478002041057408</x:v>
      </x:c>
      <x:c r="F216" s="100" t="n">
        <x:f>E216-B216</x:f>
        <x:v>0.0002465800455084303</x:v>
      </x:c>
      <x:c r="G216" s="100" t="n">
        <x:f>ABS(F216)</x:f>
        <x:v>0.0002465800455084303</x:v>
      </x:c>
      <x:c r="H216" s="100" t="n">
        <x:f>'Raw R'!N210</x:f>
        <x:v>0.9784793024873253</x:v>
      </x:c>
      <x:c r="I216" t="b">
        <x:f>'Raw R'!O210</x:f>
        <x:v>1</x:v>
      </x:c>
      <x:c r="J216" s="100" t="n">
        <x:f>IF(I216,B216,"")</x:f>
        <x:v>-0.001294380249614171</x:v>
      </x:c>
      <x:c r="K216" s="100" t="n">
        <x:f>IF(I216,E216,"")</x:f>
        <x:v>-0.0010478002041057408</x:v>
      </x:c>
      <x:c r="L216" s="100" t="n">
        <x:f>IF(I216,G216,"")</x:f>
        <x:v>0.0002465800455084303</x:v>
      </x:c>
      <x:c r="M216" s="100" t="n">
        <x:f>IF(I216,F216^2,"")</x:f>
        <x:v>6.080171884293955e-8</x:v>
      </x:c>
      <x:c r="N216" s="100" t="n">
        <x:f>IF(I216,F216,"")</x:f>
        <x:v>0.0002465800455084303</x:v>
      </x:c>
      <x:c r="P216" t="n">
        <x:f>J216</x:f>
        <x:v>-0.001294380249614171</x:v>
      </x:c>
      <x:c r="Q216" t="n">
        <x:f>K216</x:f>
        <x:v>-0.0010478002041057408</x:v>
      </x:c>
    </x:row>
    <x:row r="217">
      <x:c r="A217" s="99" t="str">
        <x:f>'Raw R'!B211</x:f>
        <x:v>00259</x:v>
      </x:c>
      <x:c r="B217" s="100" t="n">
        <x:f>INDEX('Raw Stations'!$D$2:$D$299,MATCH(A217,'Raw Stations'!$A$2:$A$299,0))</x:f>
        <x:v>-0.004563610697556827</x:v>
      </x:c>
      <x:c r="C217" s="100" t="n">
        <x:f>'Raw R'!L211</x:f>
        <x:v>-0.02643675120499417</x:v>
      </x:c>
      <x:c r="D217" s="100" t="n">
        <x:f>$B$2</x:f>
        <x:v>-0.01791329208576473</x:v>
      </x:c>
      <x:c r="E217" s="100" t="n">
        <x:f>C217-D217</x:f>
        <x:v>-0.00852345911922944</x:v>
      </x:c>
      <x:c r="F217" s="100" t="n">
        <x:f>E217-B217</x:f>
        <x:v>-0.003959848421672613</x:v>
      </x:c>
      <x:c r="G217" s="100" t="n">
        <x:f>ABS(F217)</x:f>
        <x:v>0.003959848421672613</x:v>
      </x:c>
      <x:c r="H217" s="100" t="n">
        <x:f>'Raw R'!N211</x:f>
        <x:v>0.9850930015994502</x:v>
      </x:c>
      <x:c r="I217" t="b">
        <x:f>'Raw R'!O211</x:f>
        <x:v>1</x:v>
      </x:c>
      <x:c r="J217" s="100" t="n">
        <x:f>IF(I217,B217,"")</x:f>
        <x:v>-0.004563610697556827</x:v>
      </x:c>
      <x:c r="K217" s="100" t="n">
        <x:f>IF(I217,E217,"")</x:f>
        <x:v>-0.00852345911922944</x:v>
      </x:c>
      <x:c r="L217" s="100" t="n">
        <x:f>IF(I217,G217,"")</x:f>
        <x:v>0.003959848421672613</x:v>
      </x:c>
      <x:c r="M217" s="100" t="n">
        <x:f>IF(I217,F217^2,"")</x:f>
        <x:v>0.000015680399522623083</x:v>
      </x:c>
      <x:c r="N217" s="100" t="n">
        <x:f>IF(I217,F217,"")</x:f>
        <x:v>-0.003959848421672613</x:v>
      </x:c>
      <x:c r="P217" t="n">
        <x:f>J217</x:f>
        <x:v>-0.004563610697556827</x:v>
      </x:c>
      <x:c r="Q217" t="n">
        <x:f>K217</x:f>
        <x:v>-0.00852345911922944</x:v>
      </x:c>
    </x:row>
    <x:row r="218">
      <x:c r="A218" s="99" t="str">
        <x:f>'Raw R'!B212</x:f>
        <x:v>00260</x:v>
      </x:c>
      <x:c r="B218" s="100" t="n">
        <x:f>INDEX('Raw Stations'!$D$2:$D$299,MATCH(A218,'Raw Stations'!$A$2:$A$299,0))</x:f>
        <x:v>-0.002526667458881783</x:v>
      </x:c>
      <x:c r="C218" s="100" t="n">
        <x:f>'Raw R'!L212</x:f>
        <x:v>-0.02338245955571334</x:v>
      </x:c>
      <x:c r="D218" s="100" t="n">
        <x:f>$B$2</x:f>
        <x:v>-0.01791329208576473</x:v>
      </x:c>
      <x:c r="E218" s="100" t="n">
        <x:f>C218-D218</x:f>
        <x:v>-0.005469167469948612</x:v>
      </x:c>
      <x:c r="F218" s="100" t="n">
        <x:f>E218-B218</x:f>
        <x:v>-0.0029425000110668287</x:v>
      </x:c>
      <x:c r="G218" s="100" t="n">
        <x:f>ABS(F218)</x:f>
        <x:v>0.0029425000110668287</x:v>
      </x:c>
      <x:c r="H218" s="100" t="n">
        <x:f>'Raw R'!N212</x:f>
        <x:v>0.9961760568513428</x:v>
      </x:c>
      <x:c r="I218" t="b">
        <x:f>'Raw R'!O212</x:f>
        <x:v>1</x:v>
      </x:c>
      <x:c r="J218" s="100" t="n">
        <x:f>IF(I218,B218,"")</x:f>
        <x:v>-0.002526667458881783</x:v>
      </x:c>
      <x:c r="K218" s="100" t="n">
        <x:f>IF(I218,E218,"")</x:f>
        <x:v>-0.005469167469948612</x:v>
      </x:c>
      <x:c r="L218" s="100" t="n">
        <x:f>IF(I218,G218,"")</x:f>
        <x:v>0.0029425000110668287</x:v>
      </x:c>
      <x:c r="M218" s="100" t="n">
        <x:f>IF(I218,F218^2,"")</x:f>
        <x:v>0.000008658306315128287</x:v>
      </x:c>
      <x:c r="N218" s="100" t="n">
        <x:f>IF(I218,F218,"")</x:f>
        <x:v>-0.0029425000110668287</x:v>
      </x:c>
      <x:c r="P218" t="n">
        <x:f>J218</x:f>
        <x:v>-0.002526667458881783</x:v>
      </x:c>
      <x:c r="Q218" t="n">
        <x:f>K218</x:f>
        <x:v>-0.005469167469948612</x:v>
      </x:c>
    </x:row>
    <x:row r="219">
      <x:c r="A219" s="99" t="str">
        <x:f>'Raw R'!B213</x:f>
        <x:v>00261</x:v>
      </x:c>
      <x:c r="B219" s="100" t="n">
        <x:f>INDEX('Raw Stations'!$D$2:$D$299,MATCH(A219,'Raw Stations'!$A$2:$A$299,0))</x:f>
        <x:v>-0.007720370968614467</x:v>
      </x:c>
      <x:c r="C219" s="100" t="n">
        <x:f>'Raw R'!L213</x:f>
        <x:v>-0.02521583075941</x:v>
      </x:c>
      <x:c r="D219" s="100" t="n">
        <x:f>$B$2</x:f>
        <x:v>-0.01791329208576473</x:v>
      </x:c>
      <x:c r="E219" s="100" t="n">
        <x:f>C219-D219</x:f>
        <x:v>-0.007302538673645269</x:v>
      </x:c>
      <x:c r="F219" s="100" t="n">
        <x:f>E219-B219</x:f>
        <x:v>0.0004178322949691983</x:v>
      </x:c>
      <x:c r="G219" s="100" t="n">
        <x:f>ABS(F219)</x:f>
        <x:v>0.0004178322949691983</x:v>
      </x:c>
      <x:c r="H219" s="100" t="n">
        <x:f>'Raw R'!N213</x:f>
        <x:v>0.985275034528456</x:v>
      </x:c>
      <x:c r="I219" t="b">
        <x:f>'Raw R'!O213</x:f>
        <x:v>1</x:v>
      </x:c>
      <x:c r="J219" s="100" t="n">
        <x:f>IF(I219,B219,"")</x:f>
        <x:v>-0.007720370968614467</x:v>
      </x:c>
      <x:c r="K219" s="100" t="n">
        <x:f>IF(I219,E219,"")</x:f>
        <x:v>-0.007302538673645269</x:v>
      </x:c>
      <x:c r="L219" s="100" t="n">
        <x:f>IF(I219,G219,"")</x:f>
        <x:v>0.0004178322949691983</x:v>
      </x:c>
      <x:c r="M219" s="100" t="n">
        <x:f>IF(I219,F219^2,"")</x:f>
        <x:v>1.7458382671922714e-7</x:v>
      </x:c>
      <x:c r="N219" s="100" t="n">
        <x:f>IF(I219,F219,"")</x:f>
        <x:v>0.0004178322949691983</x:v>
      </x:c>
      <x:c r="P219" t="n">
        <x:f>J219</x:f>
        <x:v>-0.007720370968614467</x:v>
      </x:c>
      <x:c r="Q219" t="n">
        <x:f>K219</x:f>
        <x:v>-0.007302538673645269</x:v>
      </x:c>
    </x:row>
    <x:row r="220">
      <x:c r="A220" s="99" t="str">
        <x:f>'Raw R'!B214</x:f>
        <x:v>00262</x:v>
      </x:c>
      <x:c r="B220" s="100" t="n">
        <x:f>INDEX('Raw Stations'!$D$2:$D$299,MATCH(A220,'Raw Stations'!$A$2:$A$299,0))</x:f>
        <x:v>-0.009227797673163621</x:v>
      </x:c>
      <x:c r="C220" s="100" t="n">
        <x:f>'Raw R'!L214</x:f>
        <x:v>-0.02918273322827911</x:v>
      </x:c>
      <x:c r="D220" s="100" t="n">
        <x:f>$B$2</x:f>
        <x:v>-0.01791329208576473</x:v>
      </x:c>
      <x:c r="E220" s="100" t="n">
        <x:f>C220-D220</x:f>
        <x:v>-0.01126944114251438</x:v>
      </x:c>
      <x:c r="F220" s="100" t="n">
        <x:f>E220-B220</x:f>
        <x:v>-0.002041643469350759</x:v>
      </x:c>
      <x:c r="G220" s="100" t="n">
        <x:f>ABS(F220)</x:f>
        <x:v>0.002041643469350759</x:v>
      </x:c>
      <x:c r="H220" s="100" t="n">
        <x:f>'Raw R'!N214</x:f>
        <x:v>0.9890452028865642</x:v>
      </x:c>
      <x:c r="I220" t="b">
        <x:f>'Raw R'!O214</x:f>
        <x:v>1</x:v>
      </x:c>
      <x:c r="J220" s="100" t="n">
        <x:f>IF(I220,B220,"")</x:f>
        <x:v>-0.009227797673163621</x:v>
      </x:c>
      <x:c r="K220" s="100" t="n">
        <x:f>IF(I220,E220,"")</x:f>
        <x:v>-0.01126944114251438</x:v>
      </x:c>
      <x:c r="L220" s="100" t="n">
        <x:f>IF(I220,G220,"")</x:f>
        <x:v>0.002041643469350759</x:v>
      </x:c>
      <x:c r="M220" s="100" t="n">
        <x:f>IF(I220,F220^2,"")</x:f>
        <x:v>0.000004168308055942603</x:v>
      </x:c>
      <x:c r="N220" s="100" t="n">
        <x:f>IF(I220,F220,"")</x:f>
        <x:v>-0.002041643469350759</x:v>
      </x:c>
      <x:c r="P220" t="n">
        <x:f>J220</x:f>
        <x:v>-0.009227797673163621</x:v>
      </x:c>
      <x:c r="Q220" t="n">
        <x:f>K220</x:f>
        <x:v>-0.01126944114251438</x:v>
      </x:c>
    </x:row>
    <x:row r="221">
      <x:c r="A221" s="99" t="str">
        <x:f>'Raw R'!B215</x:f>
        <x:v>00263</x:v>
      </x:c>
      <x:c r="B221" s="100" t="n">
        <x:f>INDEX('Raw Stations'!$D$2:$D$299,MATCH(A221,'Raw Stations'!$A$2:$A$299,0))</x:f>
        <x:v>-0.00642642892954003</x:v>
      </x:c>
      <x:c r="C221" s="100" t="n">
        <x:f>'Raw R'!L215</x:f>
        <x:v>-0.02581439237499793</x:v>
      </x:c>
      <x:c r="D221" s="100" t="n">
        <x:f>$B$2</x:f>
        <x:v>-0.01791329208576473</x:v>
      </x:c>
      <x:c r="E221" s="100" t="n">
        <x:f>C221-D221</x:f>
        <x:v>-0.007901100289233201</x:v>
      </x:c>
      <x:c r="F221" s="100" t="n">
        <x:f>E221-B221</x:f>
        <x:v>-0.0014746713596931714</x:v>
      </x:c>
      <x:c r="G221" s="100" t="n">
        <x:f>ABS(F221)</x:f>
        <x:v>0.0014746713596931714</x:v>
      </x:c>
      <x:c r="H221" s="100" t="n">
        <x:f>'Raw R'!N215</x:f>
        <x:v>0.9723432993212796</x:v>
      </x:c>
      <x:c r="I221" t="b">
        <x:f>'Raw R'!O215</x:f>
        <x:v>1</x:v>
      </x:c>
      <x:c r="J221" s="100" t="n">
        <x:f>IF(I221,B221,"")</x:f>
        <x:v>-0.00642642892954003</x:v>
      </x:c>
      <x:c r="K221" s="100" t="n">
        <x:f>IF(I221,E221,"")</x:f>
        <x:v>-0.007901100289233201</x:v>
      </x:c>
      <x:c r="L221" s="100" t="n">
        <x:f>IF(I221,G221,"")</x:f>
        <x:v>0.0014746713596931714</x:v>
      </x:c>
      <x:c r="M221" s="100" t="n">
        <x:f>IF(I221,F221^2,"")</x:f>
        <x:v>0.0000021746556190993067</x:v>
      </x:c>
      <x:c r="N221" s="100" t="n">
        <x:f>IF(I221,F221,"")</x:f>
        <x:v>-0.0014746713596931714</x:v>
      </x:c>
      <x:c r="P221" t="n">
        <x:f>J221</x:f>
        <x:v>-0.00642642892954003</x:v>
      </x:c>
      <x:c r="Q221" t="n">
        <x:f>K221</x:f>
        <x:v>-0.007901100289233201</x:v>
      </x:c>
    </x:row>
    <x:row r="222">
      <x:c r="A222" s="99" t="str">
        <x:f>'Raw R'!B216</x:f>
        <x:v>00265</x:v>
      </x:c>
      <x:c r="B222" s="100" t="n">
        <x:f>INDEX('Raw Stations'!$D$2:$D$299,MATCH(A222,'Raw Stations'!$A$2:$A$299,0))</x:f>
        <x:v>-0.007314118431269376</x:v>
      </x:c>
      <x:c r="C222" s="100" t="n">
        <x:f>'Raw R'!L216</x:f>
        <x:v>-0.02277964502966034</x:v>
      </x:c>
      <x:c r="D222" s="100" t="n">
        <x:f>$B$2</x:f>
        <x:v>-0.01791329208576473</x:v>
      </x:c>
      <x:c r="E222" s="100" t="n">
        <x:f>C222-D222</x:f>
        <x:v>-0.004866352943895612</x:v>
      </x:c>
      <x:c r="F222" s="100" t="n">
        <x:f>E222-B222</x:f>
        <x:v>0.002447765487373764</x:v>
      </x:c>
      <x:c r="G222" s="100" t="n">
        <x:f>ABS(F222)</x:f>
        <x:v>0.002447765487373764</x:v>
      </x:c>
      <x:c r="H222" s="100" t="n">
        <x:f>'Raw R'!N216</x:f>
        <x:v>0.9648630660582169</x:v>
      </x:c>
      <x:c r="I222" t="b">
        <x:f>'Raw R'!O216</x:f>
        <x:v>1</x:v>
      </x:c>
      <x:c r="J222" s="100" t="n">
        <x:f>IF(I222,B222,"")</x:f>
        <x:v>-0.007314118431269376</x:v>
      </x:c>
      <x:c r="K222" s="100" t="n">
        <x:f>IF(I222,E222,"")</x:f>
        <x:v>-0.004866352943895612</x:v>
      </x:c>
      <x:c r="L222" s="100" t="n">
        <x:f>IF(I222,G222,"")</x:f>
        <x:v>0.002447765487373764</x:v>
      </x:c>
      <x:c r="M222" s="100" t="n">
        <x:f>IF(I222,F222^2,"")</x:f>
        <x:v>0.00000599155588117812</x:v>
      </x:c>
      <x:c r="N222" s="100" t="n">
        <x:f>IF(I222,F222,"")</x:f>
        <x:v>0.002447765487373764</x:v>
      </x:c>
      <x:c r="P222" t="n">
        <x:f>J222</x:f>
        <x:v>-0.007314118431269376</x:v>
      </x:c>
      <x:c r="Q222" t="n">
        <x:f>K222</x:f>
        <x:v>-0.004866352943895612</x:v>
      </x:c>
    </x:row>
    <x:row r="223">
      <x:c r="A223" s="99" t="str">
        <x:f>'Raw R'!B217</x:f>
        <x:v>00266</x:v>
      </x:c>
      <x:c r="B223" s="100" t="n">
        <x:f>INDEX('Raw Stations'!$D$2:$D$299,MATCH(A223,'Raw Stations'!$A$2:$A$299,0))</x:f>
        <x:v>0.004838514066448982</x:v>
      </x:c>
      <x:c r="C223" s="100" t="n">
        <x:f>'Raw R'!L217</x:f>
        <x:v>-0.01143609938913417</x:v>
      </x:c>
      <x:c r="D223" s="100" t="n">
        <x:f>$B$2</x:f>
        <x:v>-0.01791329208576473</x:v>
      </x:c>
      <x:c r="E223" s="100" t="n">
        <x:f>C223-D223</x:f>
        <x:v>0.00647719269663056</x:v>
      </x:c>
      <x:c r="F223" s="100" t="n">
        <x:f>E223-B223</x:f>
        <x:v>0.0016386786301815781</x:v>
      </x:c>
      <x:c r="G223" s="100" t="n">
        <x:f>ABS(F223)</x:f>
        <x:v>0.0016386786301815781</x:v>
      </x:c>
      <x:c r="H223" s="100" t="n">
        <x:f>'Raw R'!N217</x:f>
        <x:v>0.8847749921937895</x:v>
      </x:c>
      <x:c r="I223" t="b">
        <x:f>'Raw R'!O217</x:f>
        <x:v>1</x:v>
      </x:c>
      <x:c r="J223" s="100" t="n">
        <x:f>IF(I223,B223,"")</x:f>
        <x:v>0.004838514066448982</x:v>
      </x:c>
      <x:c r="K223" s="100" t="n">
        <x:f>IF(I223,E223,"")</x:f>
        <x:v>0.00647719269663056</x:v>
      </x:c>
      <x:c r="L223" s="100" t="n">
        <x:f>IF(I223,G223,"")</x:f>
        <x:v>0.0016386786301815781</x:v>
      </x:c>
      <x:c r="M223" s="100" t="n">
        <x:f>IF(I223,F223^2,"")</x:f>
        <x:v>0.0000026852676530137734</x:v>
      </x:c>
      <x:c r="N223" s="100" t="n">
        <x:f>IF(I223,F223,"")</x:f>
        <x:v>0.0016386786301815781</x:v>
      </x:c>
      <x:c r="P223" t="n">
        <x:f>J223</x:f>
        <x:v>0.004838514066448982</x:v>
      </x:c>
      <x:c r="Q223" t="n">
        <x:f>K223</x:f>
        <x:v>0.00647719269663056</x:v>
      </x:c>
    </x:row>
    <x:row r="224">
      <x:c r="A224" s="99" t="str">
        <x:f>'Raw R'!B218</x:f>
        <x:v>00267</x:v>
      </x:c>
      <x:c r="B224" s="100" t="n">
        <x:f>INDEX('Raw Stations'!$D$2:$D$299,MATCH(A224,'Raw Stations'!$A$2:$A$299,0))</x:f>
        <x:v>0.005624526503978931</x:v>
      </x:c>
      <x:c r="C224" s="100" t="n">
        <x:f>'Raw R'!L218</x:f>
        <x:v>-0.0127048340490267</x:v>
      </x:c>
      <x:c r="D224" s="100" t="n">
        <x:f>$B$2</x:f>
        <x:v>-0.01791329208576473</x:v>
      </x:c>
      <x:c r="E224" s="100" t="n">
        <x:f>C224-D224</x:f>
        <x:v>0.00520845803673803</x:v>
      </x:c>
      <x:c r="F224" s="100" t="n">
        <x:f>E224-B224</x:f>
        <x:v>-0.0004160684672409008</x:v>
      </x:c>
      <x:c r="G224" s="100" t="n">
        <x:f>ABS(F224)</x:f>
        <x:v>0.0004160684672409008</x:v>
      </x:c>
      <x:c r="H224" s="100" t="n">
        <x:f>'Raw R'!N218</x:f>
        <x:v>0.8997307681013784</x:v>
      </x:c>
      <x:c r="I224" t="b">
        <x:f>'Raw R'!O218</x:f>
        <x:v>1</x:v>
      </x:c>
      <x:c r="J224" s="100" t="n">
        <x:f>IF(I224,B224,"")</x:f>
        <x:v>0.005624526503978931</x:v>
      </x:c>
      <x:c r="K224" s="100" t="n">
        <x:f>IF(I224,E224,"")</x:f>
        <x:v>0.00520845803673803</x:v>
      </x:c>
      <x:c r="L224" s="100" t="n">
        <x:f>IF(I224,G224,"")</x:f>
        <x:v>0.0004160684672409008</x:v>
      </x:c>
      <x:c r="M224" s="100" t="n">
        <x:f>IF(I224,F224^2,"")</x:f>
        <x:v>1.7311296943219257e-7</x:v>
      </x:c>
      <x:c r="N224" s="100" t="n">
        <x:f>IF(I224,F224,"")</x:f>
        <x:v>-0.0004160684672409008</x:v>
      </x:c>
      <x:c r="P224" t="n">
        <x:f>J224</x:f>
        <x:v>0.005624526503978931</x:v>
      </x:c>
      <x:c r="Q224" t="n">
        <x:f>K224</x:f>
        <x:v>0.00520845803673803</x:v>
      </x:c>
    </x:row>
    <x:row r="225">
      <x:c r="A225" s="99" t="str">
        <x:f>'Raw R'!B219</x:f>
        <x:v>00268</x:v>
      </x:c>
      <x:c r="B225" s="100" t="n">
        <x:f>INDEX('Raw Stations'!$D$2:$D$299,MATCH(A225,'Raw Stations'!$A$2:$A$299,0))</x:f>
        <x:v>0.007156186526945923</x:v>
      </x:c>
      <x:c r="C225" s="100" t="n">
        <x:f>'Raw R'!L219</x:f>
        <x:v>-0.008309340071445043</x:v>
      </x:c>
      <x:c r="D225" s="100" t="n">
        <x:f>$B$2</x:f>
        <x:v>-0.01791329208576473</x:v>
      </x:c>
      <x:c r="E225" s="100" t="n">
        <x:f>C225-D225</x:f>
        <x:v>0.009603952014319687</x:v>
      </x:c>
      <x:c r="F225" s="100" t="n">
        <x:f>E225-B225</x:f>
        <x:v>0.002447765487373764</x:v>
      </x:c>
      <x:c r="G225" s="100" t="n">
        <x:f>ABS(F225)</x:f>
        <x:v>0.002447765487373764</x:v>
      </x:c>
      <x:c r="H225" s="100" t="n">
        <x:f>'Raw R'!N219</x:f>
        <x:v>0.9042358838480488</x:v>
      </x:c>
      <x:c r="I225" t="b">
        <x:f>'Raw R'!O219</x:f>
        <x:v>1</x:v>
      </x:c>
      <x:c r="J225" s="100" t="n">
        <x:f>IF(I225,B225,"")</x:f>
        <x:v>0.007156186526945923</x:v>
      </x:c>
      <x:c r="K225" s="100" t="n">
        <x:f>IF(I225,E225,"")</x:f>
        <x:v>0.009603952014319687</x:v>
      </x:c>
      <x:c r="L225" s="100" t="n">
        <x:f>IF(I225,G225,"")</x:f>
        <x:v>0.002447765487373764</x:v>
      </x:c>
      <x:c r="M225" s="100" t="n">
        <x:f>IF(I225,F225^2,"")</x:f>
        <x:v>0.00000599155588117812</x:v>
      </x:c>
      <x:c r="N225" s="100" t="n">
        <x:f>IF(I225,F225,"")</x:f>
        <x:v>0.002447765487373764</x:v>
      </x:c>
      <x:c r="P225" t="n">
        <x:f>J225</x:f>
        <x:v>0.007156186526945923</x:v>
      </x:c>
      <x:c r="Q225" t="n">
        <x:f>K225</x:f>
        <x:v>0.009603952014319687</x:v>
      </x:c>
    </x:row>
    <x:row r="226">
      <x:c r="A226" s="99" t="str">
        <x:f>'Raw R'!B220</x:f>
        <x:v>00269</x:v>
      </x:c>
      <x:c r="B226" s="100" t="n">
        <x:f>INDEX('Raw Stations'!$D$2:$D$299,MATCH(A226,'Raw Stations'!$A$2:$A$299,0))</x:f>
        <x:v>0.001540874414542367</x:v>
      </x:c>
      <x:c r="C226" s="100" t="n">
        <x:f>'Raw R'!L220</x:f>
        <x:v>-0.01441406114057311</x:v>
      </x:c>
      <x:c r="D226" s="100" t="n">
        <x:f>$B$2</x:f>
        <x:v>-0.01791329208576473</x:v>
      </x:c>
      <x:c r="E226" s="100" t="n">
        <x:f>C226-D226</x:f>
        <x:v>0.00349923094519162</x:v>
      </x:c>
      <x:c r="F226" s="100" t="n">
        <x:f>E226-B226</x:f>
        <x:v>0.0019583565306492533</x:v>
      </x:c>
      <x:c r="G226" s="100" t="n">
        <x:f>ABS(F226)</x:f>
        <x:v>0.0019583565306492533</x:v>
      </x:c>
      <x:c r="H226" s="100" t="n">
        <x:f>'Raw R'!N220</x:f>
        <x:v>0.9389748955323486</x:v>
      </x:c>
      <x:c r="I226" t="b">
        <x:f>'Raw R'!O220</x:f>
        <x:v>1</x:v>
      </x:c>
      <x:c r="J226" s="100" t="n">
        <x:f>IF(I226,B226,"")</x:f>
        <x:v>0.001540874414542367</x:v>
      </x:c>
      <x:c r="K226" s="100" t="n">
        <x:f>IF(I226,E226,"")</x:f>
        <x:v>0.00349923094519162</x:v>
      </x:c>
      <x:c r="L226" s="100" t="n">
        <x:f>IF(I226,G226,"")</x:f>
        <x:v>0.0019583565306492533</x:v>
      </x:c>
      <x:c r="M226" s="100" t="n">
        <x:f>IF(I226,F226^2,"")</x:f>
        <x:v>0.00000383516030113658</x:v>
      </x:c>
      <x:c r="N226" s="100" t="n">
        <x:f>IF(I226,F226,"")</x:f>
        <x:v>0.0019583565306492533</x:v>
      </x:c>
      <x:c r="P226" t="n">
        <x:f>J226</x:f>
        <x:v>0.001540874414542367</x:v>
      </x:c>
      <x:c r="Q226" t="n">
        <x:f>K226</x:f>
        <x:v>0.00349923094519162</x:v>
      </x:c>
    </x:row>
    <x:row r="227">
      <x:c r="A227" s="99" t="str">
        <x:f>'Raw R'!B221</x:f>
        <x:v>00270</x:v>
      </x:c>
      <x:c r="B227" s="100" t="n">
        <x:f>INDEX('Raw Stations'!$D$2:$D$299,MATCH(A227,'Raw Stations'!$A$2:$A$299,0))</x:f>
        <x:v>-0.008267538828072438</x:v>
      </x:c>
      <x:c r="C227" s="100" t="n">
        <x:f>'Raw R'!L221</x:f>
        <x:v>-0.02773306542646341</x:v>
      </x:c>
      <x:c r="D227" s="100" t="n">
        <x:f>$B$2</x:f>
        <x:v>-0.01791329208576473</x:v>
      </x:c>
      <x:c r="E227" s="100" t="n">
        <x:f>C227-D227</x:f>
        <x:v>-0.009819773340698681</x:v>
      </x:c>
      <x:c r="F227" s="100" t="n">
        <x:f>E227-B227</x:f>
        <x:v>-0.001552234512626243</x:v>
      </x:c>
      <x:c r="G227" s="100" t="n">
        <x:f>ABS(F227)</x:f>
        <x:v>0.001552234512626243</x:v>
      </x:c>
      <x:c r="H227" s="100" t="n">
        <x:f>'Raw R'!N221</x:f>
        <x:v>0.9470736385262702</x:v>
      </x:c>
      <x:c r="I227" t="b">
        <x:f>'Raw R'!O221</x:f>
        <x:v>1</x:v>
      </x:c>
      <x:c r="J227" s="100" t="n">
        <x:f>IF(I227,B227,"")</x:f>
        <x:v>-0.008267538828072438</x:v>
      </x:c>
      <x:c r="K227" s="100" t="n">
        <x:f>IF(I227,E227,"")</x:f>
        <x:v>-0.009819773340698681</x:v>
      </x:c>
      <x:c r="L227" s="100" t="n">
        <x:f>IF(I227,G227,"")</x:f>
        <x:v>0.001552234512626243</x:v>
      </x:c>
      <x:c r="M227" s="100" t="n">
        <x:f>IF(I227,F227^2,"")</x:f>
        <x:v>0.0000024094319821880302</x:v>
      </x:c>
      <x:c r="N227" s="100" t="n">
        <x:f>IF(I227,F227,"")</x:f>
        <x:v>-0.001552234512626243</x:v>
      </x:c>
      <x:c r="P227" t="n">
        <x:f>J227</x:f>
        <x:v>-0.008267538828072438</x:v>
      </x:c>
      <x:c r="Q227" t="n">
        <x:f>K227</x:f>
        <x:v>-0.009819773340698681</x:v>
      </x:c>
    </x:row>
    <x:row r="228">
      <x:c r="A228" s="99" t="str">
        <x:f>'Raw R'!B222</x:f>
        <x:v>00271</x:v>
      </x:c>
      <x:c r="B228" s="100" t="n">
        <x:f>INDEX('Raw Stations'!$D$2:$D$299,MATCH(A228,'Raw Stations'!$A$2:$A$299,0))</x:f>
        <x:v>-0.001652562687817688</x:v>
      </x:c>
      <x:c r="C228" s="100" t="n">
        <x:f>'Raw R'!L222</x:f>
        <x:v>-0.02040395916646937</x:v>
      </x:c>
      <x:c r="D228" s="100" t="n">
        <x:f>$B$2</x:f>
        <x:v>-0.01791329208576473</x:v>
      </x:c>
      <x:c r="E228" s="100" t="n">
        <x:f>C228-D228</x:f>
        <x:v>-0.0024906670807046394</x:v>
      </x:c>
      <x:c r="F228" s="100" t="n">
        <x:f>E228-B228</x:f>
        <x:v>-0.0008381043928869514</x:v>
      </x:c>
      <x:c r="G228" s="100" t="n">
        <x:f>ABS(F228)</x:f>
        <x:v>0.0008381043928869514</x:v>
      </x:c>
      <x:c r="H228" s="100" t="n">
        <x:f>'Raw R'!N222</x:f>
        <x:v>0.9620785980832991</x:v>
      </x:c>
      <x:c r="I228" t="b">
        <x:f>'Raw R'!O222</x:f>
        <x:v>1</x:v>
      </x:c>
      <x:c r="J228" s="100" t="n">
        <x:f>IF(I228,B228,"")</x:f>
        <x:v>-0.001652562687817688</x:v>
      </x:c>
      <x:c r="K228" s="100" t="n">
        <x:f>IF(I228,E228,"")</x:f>
        <x:v>-0.0024906670807046394</x:v>
      </x:c>
      <x:c r="L228" s="100" t="n">
        <x:f>IF(I228,G228,"")</x:f>
        <x:v>0.0008381043928869514</x:v>
      </x:c>
      <x:c r="M228" s="100" t="n">
        <x:f>IF(I228,F228^2,"")</x:f>
        <x:v>7.024189733764054e-7</x:v>
      </x:c>
      <x:c r="N228" s="100" t="n">
        <x:f>IF(I228,F228,"")</x:f>
        <x:v>-0.0008381043928869514</x:v>
      </x:c>
      <x:c r="P228" t="n">
        <x:f>J228</x:f>
        <x:v>-0.001652562687817688</x:v>
      </x:c>
      <x:c r="Q228" t="n">
        <x:f>K228</x:f>
        <x:v>-0.0024906670807046394</x:v>
      </x:c>
    </x:row>
    <x:row r="229">
      <x:c r="A229" s="99" t="str">
        <x:f>'Raw R'!B223</x:f>
        <x:v>00272</x:v>
      </x:c>
      <x:c r="B229" s="100" t="n">
        <x:f>INDEX('Raw Stations'!$D$2:$D$299,MATCH(A229,'Raw Stations'!$A$2:$A$299,0))</x:f>
        <x:v>-0.004471468804326518</x:v>
      </x:c>
      <x:c r="C229" s="100" t="n">
        <x:f>'Raw R'!L223</x:f>
        <x:v>-0.022981817329864</x:v>
      </x:c>
      <x:c r="D229" s="100" t="n">
        <x:f>$B$2</x:f>
        <x:v>-0.01791329208576473</x:v>
      </x:c>
      <x:c r="E229" s="100" t="n">
        <x:f>C229-D229</x:f>
        <x:v>-0.005068525244099269</x:v>
      </x:c>
      <x:c r="F229" s="100" t="n">
        <x:f>E229-B229</x:f>
        <x:v>-0.0005970564397727515</x:v>
      </x:c>
      <x:c r="G229" s="100" t="n">
        <x:f>ABS(F229)</x:f>
        <x:v>0.0005970564397727515</x:v>
      </x:c>
      <x:c r="H229" s="100" t="n">
        <x:f>'Raw R'!N223</x:f>
        <x:v>0.9628220392930004</x:v>
      </x:c>
      <x:c r="I229" t="b">
        <x:f>'Raw R'!O223</x:f>
        <x:v>1</x:v>
      </x:c>
      <x:c r="J229" s="100" t="n">
        <x:f>IF(I229,B229,"")</x:f>
        <x:v>-0.004471468804326518</x:v>
      </x:c>
      <x:c r="K229" s="100" t="n">
        <x:f>IF(I229,E229,"")</x:f>
        <x:v>-0.005068525244099269</x:v>
      </x:c>
      <x:c r="L229" s="100" t="n">
        <x:f>IF(I229,G229,"")</x:f>
        <x:v>0.0005970564397727515</x:v>
      </x:c>
      <x:c r="M229" s="100" t="n">
        <x:f>IF(I229,F229^2,"")</x:f>
        <x:v>3.5647639227411327e-7</x:v>
      </x:c>
      <x:c r="N229" s="100" t="n">
        <x:f>IF(I229,F229,"")</x:f>
        <x:v>-0.0005970564397727515</x:v>
      </x:c>
      <x:c r="P229" t="n">
        <x:f>J229</x:f>
        <x:v>-0.004471468804326518</x:v>
      </x:c>
      <x:c r="Q229" t="n">
        <x:f>K229</x:f>
        <x:v>-0.005068525244099269</x:v>
      </x:c>
    </x:row>
    <x:row r="230">
      <x:c r="A230" s="99" t="str">
        <x:f>'Raw R'!B224</x:f>
        <x:v>00273</x:v>
      </x:c>
      <x:c r="B230" s="100" t="n">
        <x:f>INDEX('Raw Stations'!$D$2:$D$299,MATCH(A230,'Raw Stations'!$A$2:$A$299,0))</x:f>
        <x:v>-0.00342057324194233</x:v>
      </x:c>
      <x:c r="C230" s="100" t="n">
        <x:f>'Raw R'!L224</x:f>
        <x:v>-0.02271464320782986</x:v>
      </x:c>
      <x:c r="D230" s="100" t="n">
        <x:f>$B$2</x:f>
        <x:v>-0.01791329208576473</x:v>
      </x:c>
      <x:c r="E230" s="100" t="n">
        <x:f>C230-D230</x:f>
        <x:v>-0.004801351122065131</x:v>
      </x:c>
      <x:c r="F230" s="100" t="n">
        <x:f>E230-B230</x:f>
        <x:v>-0.0013807778801228012</x:v>
      </x:c>
      <x:c r="G230" s="100" t="n">
        <x:f>ABS(F230)</x:f>
        <x:v>0.0013807778801228012</x:v>
      </x:c>
      <x:c r="H230" s="100" t="n">
        <x:f>'Raw R'!N224</x:f>
        <x:v>0.9176747569438019</x:v>
      </x:c>
      <x:c r="I230" t="b">
        <x:f>'Raw R'!O224</x:f>
        <x:v>1</x:v>
      </x:c>
      <x:c r="J230" s="100" t="n">
        <x:f>IF(I230,B230,"")</x:f>
        <x:v>-0.00342057324194233</x:v>
      </x:c>
      <x:c r="K230" s="100" t="n">
        <x:f>IF(I230,E230,"")</x:f>
        <x:v>-0.004801351122065131</x:v>
      </x:c>
      <x:c r="L230" s="100" t="n">
        <x:f>IF(I230,G230,"")</x:f>
        <x:v>0.0013807778801228012</x:v>
      </x:c>
      <x:c r="M230" s="100" t="n">
        <x:f>IF(I230,F230^2,"")</x:f>
        <x:v>0.0000019065475542364166</x:v>
      </x:c>
      <x:c r="N230" s="100" t="n">
        <x:f>IF(I230,F230,"")</x:f>
        <x:v>-0.0013807778801228012</x:v>
      </x:c>
      <x:c r="P230" t="n">
        <x:f>J230</x:f>
        <x:v>-0.00342057324194233</x:v>
      </x:c>
      <x:c r="Q230" t="n">
        <x:f>K230</x:f>
        <x:v>-0.004801351122065131</x:v>
      </x:c>
    </x:row>
    <x:row r="231">
      <x:c r="A231" s="99" t="str">
        <x:f>'Raw R'!B225</x:f>
        <x:v>00274</x:v>
      </x:c>
      <x:c r="B231" s="100" t="n">
        <x:f>INDEX('Raw Stations'!$D$2:$D$299,MATCH(A231,'Raw Stations'!$A$2:$A$299,0))</x:f>
        <x:v>-0.002631698819795018</x:v>
      </x:c>
      <x:c r="C231" s="100" t="n">
        <x:f>'Raw R'!L225</x:f>
        <x:v>-0.0213830952984467</x:v>
      </x:c>
      <x:c r="D231" s="100" t="n">
        <x:f>$B$2</x:f>
        <x:v>-0.01791329208576473</x:v>
      </x:c>
      <x:c r="E231" s="100" t="n">
        <x:f>C231-D231</x:f>
        <x:v>-0.0034698032126819697</x:v>
      </x:c>
      <x:c r="F231" s="100" t="n">
        <x:f>E231-B231</x:f>
        <x:v>-0.0008381043928869518</x:v>
      </x:c>
      <x:c r="G231" s="100" t="n">
        <x:f>ABS(F231)</x:f>
        <x:v>0.0008381043928869518</x:v>
      </x:c>
      <x:c r="H231" s="100" t="n">
        <x:f>'Raw R'!N225</x:f>
        <x:v>0.9579055266103446</x:v>
      </x:c>
      <x:c r="I231" t="b">
        <x:f>'Raw R'!O225</x:f>
        <x:v>1</x:v>
      </x:c>
      <x:c r="J231" s="100" t="n">
        <x:f>IF(I231,B231,"")</x:f>
        <x:v>-0.002631698819795018</x:v>
      </x:c>
      <x:c r="K231" s="100" t="n">
        <x:f>IF(I231,E231,"")</x:f>
        <x:v>-0.0034698032126819697</x:v>
      </x:c>
      <x:c r="L231" s="100" t="n">
        <x:f>IF(I231,G231,"")</x:f>
        <x:v>0.0008381043928869518</x:v>
      </x:c>
      <x:c r="M231" s="100" t="n">
        <x:f>IF(I231,F231^2,"")</x:f>
        <x:v>7.02418973376406e-7</x:v>
      </x:c>
      <x:c r="N231" s="100" t="n">
        <x:f>IF(I231,F231,"")</x:f>
        <x:v>-0.0008381043928869518</x:v>
      </x:c>
      <x:c r="P231" t="n">
        <x:f>J231</x:f>
        <x:v>-0.002631698819795018</x:v>
      </x:c>
      <x:c r="Q231" t="n">
        <x:f>K231</x:f>
        <x:v>-0.0034698032126819697</x:v>
      </x:c>
    </x:row>
    <x:row r="232">
      <x:c r="A232" s="99" t="str">
        <x:f>'Raw R'!B226</x:f>
        <x:v>00275</x:v>
      </x:c>
      <x:c r="B232" s="100" t="n">
        <x:f>INDEX('Raw Stations'!$D$2:$D$299,MATCH(A232,'Raw Stations'!$A$2:$A$299,0))</x:f>
        <x:v>-0.01256790923355527</x:v>
      </x:c>
      <x:c r="C232" s="100" t="n">
        <x:f>'Raw R'!L226</x:f>
        <x:v>-0.03327083633549906</x:v>
      </x:c>
      <x:c r="D232" s="100" t="n">
        <x:f>$B$2</x:f>
        <x:v>-0.01791329208576473</x:v>
      </x:c>
      <x:c r="E232" s="100" t="n">
        <x:f>C232-D232</x:f>
        <x:v>-0.015357544249734328</x:v>
      </x:c>
      <x:c r="F232" s="100" t="n">
        <x:f>E232-B232</x:f>
        <x:v>-0.0027896350161790585</x:v>
      </x:c>
      <x:c r="G232" s="100" t="n">
        <x:f>ABS(F232)</x:f>
        <x:v>0.0027896350161790585</x:v>
      </x:c>
      <x:c r="H232" s="100" t="n">
        <x:f>'Raw R'!N226</x:f>
        <x:v>0.9421974555644335</x:v>
      </x:c>
      <x:c r="I232" t="b">
        <x:f>'Raw R'!O226</x:f>
        <x:v>1</x:v>
      </x:c>
      <x:c r="J232" s="100" t="n">
        <x:f>IF(I232,B232,"")</x:f>
        <x:v>-0.01256790923355527</x:v>
      </x:c>
      <x:c r="K232" s="100" t="n">
        <x:f>IF(I232,E232,"")</x:f>
        <x:v>-0.015357544249734328</x:v>
      </x:c>
      <x:c r="L232" s="100" t="n">
        <x:f>IF(I232,G232,"")</x:f>
        <x:v>0.0027896350161790585</x:v>
      </x:c>
      <x:c r="M232" s="100" t="n">
        <x:f>IF(I232,F232^2,"")</x:f>
        <x:v>0.000007782063523492337</x:v>
      </x:c>
      <x:c r="N232" s="100" t="n">
        <x:f>IF(I232,F232,"")</x:f>
        <x:v>-0.0027896350161790585</x:v>
      </x:c>
      <x:c r="P232" t="n">
        <x:f>J232</x:f>
        <x:v>-0.01256790923355527</x:v>
      </x:c>
      <x:c r="Q232" t="n">
        <x:f>K232</x:f>
        <x:v>-0.015357544249734328</x:v>
      </x:c>
    </x:row>
    <x:row r="233">
      <x:c r="A233" s="99" t="str">
        <x:f>'Raw R'!B227</x:f>
        <x:v>00276</x:v>
      </x:c>
      <x:c r="B233" s="100" t="n">
        <x:f>INDEX('Raw Stations'!$D$2:$D$299,MATCH(A233,'Raw Stations'!$A$2:$A$299,0))</x:f>
        <x:v>-0.006088901078824292</x:v>
      </x:c>
      <x:c r="C233" s="100" t="n">
        <x:f>'Raw R'!L227</x:f>
        <x:v>-0.02964649972142927</x:v>
      </x:c>
      <x:c r="D233" s="100" t="n">
        <x:f>$B$2</x:f>
        <x:v>-0.01791329208576473</x:v>
      </x:c>
      <x:c r="E233" s="100" t="n">
        <x:f>C233-D233</x:f>
        <x:v>-0.01173320763566454</x:v>
      </x:c>
      <x:c r="F233" s="100" t="n">
        <x:f>E233-B233</x:f>
        <x:v>-0.005644306556840249</x:v>
      </x:c>
      <x:c r="G233" s="100" t="n">
        <x:f>ABS(F233)</x:f>
        <x:v>0.005644306556840249</x:v>
      </x:c>
      <x:c r="H233" s="100" t="n">
        <x:f>'Raw R'!N227</x:f>
        <x:v>0.9885467384857393</x:v>
      </x:c>
      <x:c r="I233" t="b">
        <x:f>'Raw R'!O227</x:f>
        <x:v>1</x:v>
      </x:c>
      <x:c r="J233" s="100" t="n">
        <x:f>IF(I233,B233,"")</x:f>
        <x:v>-0.006088901078824292</x:v>
      </x:c>
      <x:c r="K233" s="100" t="n">
        <x:f>IF(I233,E233,"")</x:f>
        <x:v>-0.01173320763566454</x:v>
      </x:c>
      <x:c r="L233" s="100" t="n">
        <x:f>IF(I233,G233,"")</x:f>
        <x:v>0.005644306556840249</x:v>
      </x:c>
      <x:c r="M233" s="100" t="n">
        <x:f>IF(I233,F233^2,"")</x:f>
        <x:v>0.00003185819650758983</x:v>
      </x:c>
      <x:c r="N233" s="100" t="n">
        <x:f>IF(I233,F233,"")</x:f>
        <x:v>-0.005644306556840249</x:v>
      </x:c>
      <x:c r="P233" t="n">
        <x:f>J233</x:f>
        <x:v>-0.006088901078824292</x:v>
      </x:c>
      <x:c r="Q233" t="n">
        <x:f>K233</x:f>
        <x:v>-0.01173320763566454</x:v>
      </x:c>
    </x:row>
    <x:row r="234">
      <x:c r="A234" s="99" t="str">
        <x:f>'Raw R'!B228</x:f>
        <x:v>00277</x:v>
      </x:c>
      <x:c r="B234" s="100" t="n">
        <x:f>INDEX('Raw Stations'!$D$2:$D$299,MATCH(A234,'Raw Stations'!$A$2:$A$299,0))</x:f>
        <x:v>-0.01392700144312171</x:v>
      </x:c>
      <x:c r="C234" s="100" t="n">
        <x:f>'Raw R'!L228</x:f>
        <x:v>-0.03509936052548265</x:v>
      </x:c>
      <x:c r="D234" s="100" t="n">
        <x:f>$B$2</x:f>
        <x:v>-0.01791329208576473</x:v>
      </x:c>
      <x:c r="E234" s="100" t="n">
        <x:f>C234-D234</x:f>
        <x:v>-0.017186068439717917</x:v>
      </x:c>
      <x:c r="F234" s="100" t="n">
        <x:f>E234-B234</x:f>
        <x:v>-0.0032590669965962063</x:v>
      </x:c>
      <x:c r="G234" s="100" t="n">
        <x:f>ABS(F234)</x:f>
        <x:v>0.0032590669965962063</x:v>
      </x:c>
      <x:c r="H234" s="100" t="n">
        <x:f>'Raw R'!N228</x:f>
        <x:v>0.9253500927703594</x:v>
      </x:c>
      <x:c r="I234" t="b">
        <x:f>'Raw R'!O228</x:f>
        <x:v>1</x:v>
      </x:c>
      <x:c r="J234" s="100" t="n">
        <x:f>IF(I234,B234,"")</x:f>
        <x:v>-0.01392700144312171</x:v>
      </x:c>
      <x:c r="K234" s="100" t="n">
        <x:f>IF(I234,E234,"")</x:f>
        <x:v>-0.017186068439717917</x:v>
      </x:c>
      <x:c r="L234" s="100" t="n">
        <x:f>IF(I234,G234,"")</x:f>
        <x:v>0.0032590669965962063</x:v>
      </x:c>
      <x:c r="M234" s="100" t="n">
        <x:f>IF(I234,F234^2,"")</x:f>
        <x:v>0.000010621517688302617</x:v>
      </x:c>
      <x:c r="N234" s="100" t="n">
        <x:f>IF(I234,F234,"")</x:f>
        <x:v>-0.0032590669965962063</x:v>
      </x:c>
      <x:c r="P234" t="n">
        <x:f>J234</x:f>
        <x:v>-0.01392700144312171</x:v>
      </x:c>
      <x:c r="Q234" t="n">
        <x:f>K234</x:f>
        <x:v>-0.017186068439717917</x:v>
      </x:c>
    </x:row>
    <x:row r="235">
      <x:c r="A235" s="99" t="str">
        <x:f>'Raw R'!B229</x:f>
        <x:v>00278</x:v>
      </x:c>
      <x:c r="B235" s="100" t="n">
        <x:f>INDEX('Raw Stations'!$D$2:$D$299,MATCH(A235,'Raw Stations'!$A$2:$A$299,0))</x:f>
        <x:v>-0.01647761243116913</x:v>
      </x:c>
      <x:c r="C235" s="100" t="n">
        <x:f>'Raw R'!L229</x:f>
        <x:v>-0.03693615607450927</x:v>
      </x:c>
      <x:c r="D235" s="100" t="n">
        <x:f>$B$2</x:f>
        <x:v>-0.01791329208576473</x:v>
      </x:c>
      <x:c r="E235" s="100" t="n">
        <x:f>C235-D235</x:f>
        <x:v>-0.019022863988744542</x:v>
      </x:c>
      <x:c r="F235" s="100" t="n">
        <x:f>E235-B235</x:f>
        <x:v>-0.0025452515575754113</x:v>
      </x:c>
      <x:c r="G235" s="100" t="n">
        <x:f>ABS(F235)</x:f>
        <x:v>0.0025452515575754113</x:v>
      </x:c>
      <x:c r="H235" s="100" t="n">
        <x:f>'Raw R'!N229</x:f>
        <x:v>0.9930736254748678</x:v>
      </x:c>
      <x:c r="I235" t="b">
        <x:f>'Raw R'!O229</x:f>
        <x:v>1</x:v>
      </x:c>
      <x:c r="J235" s="100" t="n">
        <x:f>IF(I235,B235,"")</x:f>
        <x:v>-0.01647761243116913</x:v>
      </x:c>
      <x:c r="K235" s="100" t="n">
        <x:f>IF(I235,E235,"")</x:f>
        <x:v>-0.019022863988744542</x:v>
      </x:c>
      <x:c r="L235" s="100" t="n">
        <x:f>IF(I235,G235,"")</x:f>
        <x:v>0.0025452515575754113</x:v>
      </x:c>
      <x:c r="M235" s="100" t="n">
        <x:f>IF(I235,F235^2,"")</x:f>
        <x:v>0.0000064783054913400575</x:v>
      </x:c>
      <x:c r="N235" s="100" t="n">
        <x:f>IF(I235,F235,"")</x:f>
        <x:v>-0.0025452515575754113</x:v>
      </x:c>
      <x:c r="P235" t="n">
        <x:f>J235</x:f>
        <x:v>-0.01647761243116913</x:v>
      </x:c>
      <x:c r="Q235" t="n">
        <x:f>K235</x:f>
        <x:v>-0.019022863988744542</x:v>
      </x:c>
    </x:row>
    <x:row r="236">
      <x:c r="A236" s="99" t="str">
        <x:f>'Raw R'!B230</x:f>
        <x:v>00279</x:v>
      </x:c>
      <x:c r="B236" s="100" t="n">
        <x:f>INDEX('Raw Stations'!$D$2:$D$299,MATCH(A236,'Raw Stations'!$A$2:$A$299,0))</x:f>
        <x:v>-0.01426499017635994</x:v>
      </x:c>
      <x:c r="C236" s="100" t="n">
        <x:f>'Raw R'!L230</x:f>
        <x:v>-0.0342151791541193</x:v>
      </x:c>
      <x:c r="D236" s="100" t="n">
        <x:f>$B$2</x:f>
        <x:v>-0.01791329208576473</x:v>
      </x:c>
      <x:c r="E236" s="100" t="n">
        <x:f>C236-D236</x:f>
        <x:v>-0.01630188706835457</x:v>
      </x:c>
      <x:c r="F236" s="100" t="n">
        <x:f>E236-B236</x:f>
        <x:v>-0.002036896891994629</x:v>
      </x:c>
      <x:c r="G236" s="100" t="n">
        <x:f>ABS(F236)</x:f>
        <x:v>0.002036896891994629</x:v>
      </x:c>
      <x:c r="H236" s="100" t="n">
        <x:f>'Raw R'!N230</x:f>
        <x:v>0.9849639204690681</x:v>
      </x:c>
      <x:c r="I236" t="b">
        <x:f>'Raw R'!O230</x:f>
        <x:v>1</x:v>
      </x:c>
      <x:c r="J236" s="100" t="n">
        <x:f>IF(I236,B236,"")</x:f>
        <x:v>-0.01426499017635994</x:v>
      </x:c>
      <x:c r="K236" s="100" t="n">
        <x:f>IF(I236,E236,"")</x:f>
        <x:v>-0.01630188706835457</x:v>
      </x:c>
      <x:c r="L236" s="100" t="n">
        <x:f>IF(I236,G236,"")</x:f>
        <x:v>0.002036896891994629</x:v>
      </x:c>
      <x:c r="M236" s="100" t="n">
        <x:f>IF(I236,F236^2,"")</x:f>
        <x:v>0.00000414894894861738</x:v>
      </x:c>
      <x:c r="N236" s="100" t="n">
        <x:f>IF(I236,F236,"")</x:f>
        <x:v>-0.002036896891994629</x:v>
      </x:c>
      <x:c r="P236" t="n">
        <x:f>J236</x:f>
        <x:v>-0.01426499017635994</x:v>
      </x:c>
      <x:c r="Q236" t="n">
        <x:f>K236</x:f>
        <x:v>-0.01630188706835457</x:v>
      </x:c>
    </x:row>
    <x:row r="237">
      <x:c r="A237" s="99" t="str">
        <x:f>'Raw R'!B231</x:f>
        <x:v>00281</x:v>
      </x:c>
      <x:c r="B237" s="100" t="n">
        <x:f>INDEX('Raw Stations'!$D$2:$D$299,MATCH(A237,'Raw Stations'!$A$2:$A$299,0))</x:f>
        <x:v>0.00004699165116192963</x:v>
      </x:c>
      <x:c r="C237" s="100" t="n">
        <x:f>'Raw R'!L231</x:f>
        <x:v>-0.01934097179429597</x:v>
      </x:c>
      <x:c r="D237" s="100" t="n">
        <x:f>$B$2</x:f>
        <x:v>-0.01791329208576473</x:v>
      </x:c>
      <x:c r="E237" s="100" t="n">
        <x:f>C237-D237</x:f>
        <x:v>-0.0014276797085312418</x:v>
      </x:c>
      <x:c r="F237" s="100" t="n">
        <x:f>E237-B237</x:f>
        <x:v>-0.0014746713596931714</x:v>
      </x:c>
      <x:c r="G237" s="100" t="n">
        <x:f>ABS(F237)</x:f>
        <x:v>0.0014746713596931714</x:v>
      </x:c>
      <x:c r="H237" s="100" t="n">
        <x:f>'Raw R'!N231</x:f>
        <x:v>0.9514094433664161</x:v>
      </x:c>
      <x:c r="I237" t="b">
        <x:f>'Raw R'!O231</x:f>
        <x:v>1</x:v>
      </x:c>
      <x:c r="J237" s="100" t="n">
        <x:f>IF(I237,B237,"")</x:f>
        <x:v>0.00004699165116192963</x:v>
      </x:c>
      <x:c r="K237" s="100" t="n">
        <x:f>IF(I237,E237,"")</x:f>
        <x:v>-0.0014276797085312418</x:v>
      </x:c>
      <x:c r="L237" s="100" t="n">
        <x:f>IF(I237,G237,"")</x:f>
        <x:v>0.0014746713596931714</x:v>
      </x:c>
      <x:c r="M237" s="100" t="n">
        <x:f>IF(I237,F237^2,"")</x:f>
        <x:v>0.0000021746556190993067</x:v>
      </x:c>
      <x:c r="N237" s="100" t="n">
        <x:f>IF(I237,F237,"")</x:f>
        <x:v>-0.0014746713596931714</x:v>
      </x:c>
      <x:c r="P237" t="n">
        <x:f>J237</x:f>
        <x:v>0.00004699165116192963</x:v>
      </x:c>
      <x:c r="Q237" t="n">
        <x:f>K237</x:f>
        <x:v>-0.0014276797085312418</x:v>
      </x:c>
    </x:row>
    <x:row r="238">
      <x:c r="A238" s="99" t="str">
        <x:f>'Raw R'!B232</x:f>
        <x:v>00282</x:v>
      </x:c>
      <x:c r="B238" s="100" t="n">
        <x:f>INDEX('Raw Stations'!$D$2:$D$299,MATCH(A238,'Raw Stations'!$A$2:$A$299,0))</x:f>
        <x:v>-0.00814072208722472</x:v>
      </x:c>
      <x:c r="C238" s="100" t="n">
        <x:f>'Raw R'!L232</x:f>
        <x:v>-0.0226510706127622</x:v>
      </x:c>
      <x:c r="D238" s="100" t="n">
        <x:f>$B$2</x:f>
        <x:v>-0.01791329208576473</x:v>
      </x:c>
      <x:c r="E238" s="100" t="n">
        <x:f>C238-D238</x:f>
        <x:v>-0.0047377785269974715</x:v>
      </x:c>
      <x:c r="F238" s="100" t="n">
        <x:f>E238-B238</x:f>
        <x:v>0.0034029435602272486</x:v>
      </x:c>
      <x:c r="G238" s="100" t="n">
        <x:f>ABS(F238)</x:f>
        <x:v>0.0034029435602272486</x:v>
      </x:c>
      <x:c r="H238" s="100" t="n">
        <x:f>'Raw R'!N232</x:f>
        <x:v>0.909503090187063</x:v>
      </x:c>
      <x:c r="I238" t="b">
        <x:f>'Raw R'!O232</x:f>
        <x:v>1</x:v>
      </x:c>
      <x:c r="J238" s="100" t="n">
        <x:f>IF(I238,B238,"")</x:f>
        <x:v>-0.00814072208722472</x:v>
      </x:c>
      <x:c r="K238" s="100" t="n">
        <x:f>IF(I238,E238,"")</x:f>
        <x:v>-0.0047377785269974715</x:v>
      </x:c>
      <x:c r="L238" s="100" t="n">
        <x:f>IF(I238,G238,"")</x:f>
        <x:v>0.0034029435602272486</x:v>
      </x:c>
      <x:c r="M238" s="100" t="n">
        <x:f>IF(I238,F238^2,"")</x:f>
        <x:v>0.000011580024874092102</x:v>
      </x:c>
      <x:c r="N238" s="100" t="n">
        <x:f>IF(I238,F238,"")</x:f>
        <x:v>0.0034029435602272486</x:v>
      </x:c>
      <x:c r="P238" t="n">
        <x:f>J238</x:f>
        <x:v>-0.00814072208722472</x:v>
      </x:c>
      <x:c r="Q238" t="n">
        <x:f>K238</x:f>
        <x:v>-0.0047377785269974715</x:v>
      </x:c>
    </x:row>
    <x:row r="239">
      <x:c r="A239" s="99" t="str">
        <x:f>'Raw R'!B233</x:f>
        <x:v>00283</x:v>
      </x:c>
      <x:c r="B239" s="100" t="n">
        <x:f>INDEX('Raw Stations'!$D$2:$D$299,MATCH(A239,'Raw Stations'!$A$2:$A$299,0))</x:f>
        <x:v>-0.003707406804947969</x:v>
      </x:c>
      <x:c r="C239" s="100" t="n">
        <x:f>'Raw R'!L233</x:f>
        <x:v>-0.02137411884520427</x:v>
      </x:c>
      <x:c r="D239" s="100" t="n">
        <x:f>$B$2</x:f>
        <x:v>-0.01791329208576473</x:v>
      </x:c>
      <x:c r="E239" s="100" t="n">
        <x:f>C239-D239</x:f>
        <x:v>-0.003460826759439539</x:v>
      </x:c>
      <x:c r="F239" s="100" t="n">
        <x:f>E239-B239</x:f>
        <x:v>0.00024658004550842964</x:v>
      </x:c>
      <x:c r="G239" s="100" t="n">
        <x:f>ABS(F239)</x:f>
        <x:v>0.00024658004550842964</x:v>
      </x:c>
      <x:c r="H239" s="100" t="n">
        <x:f>'Raw R'!N233</x:f>
        <x:v>0.9350563641716986</x:v>
      </x:c>
      <x:c r="I239" t="b">
        <x:f>'Raw R'!O233</x:f>
        <x:v>1</x:v>
      </x:c>
      <x:c r="J239" s="100" t="n">
        <x:f>IF(I239,B239,"")</x:f>
        <x:v>-0.003707406804947969</x:v>
      </x:c>
      <x:c r="K239" s="100" t="n">
        <x:f>IF(I239,E239,"")</x:f>
        <x:v>-0.003460826759439539</x:v>
      </x:c>
      <x:c r="L239" s="100" t="n">
        <x:f>IF(I239,G239,"")</x:f>
        <x:v>0.00024658004550842964</x:v>
      </x:c>
      <x:c r="M239" s="100" t="n">
        <x:f>IF(I239,F239^2,"")</x:f>
        <x:v>6.080171884293924e-8</x:v>
      </x:c>
      <x:c r="N239" s="100" t="n">
        <x:f>IF(I239,F239,"")</x:f>
        <x:v>0.00024658004550842964</x:v>
      </x:c>
      <x:c r="P239" t="n">
        <x:f>J239</x:f>
        <x:v>-0.003707406804947969</x:v>
      </x:c>
      <x:c r="Q239" t="n">
        <x:f>K239</x:f>
        <x:v>-0.003460826759439539</x:v>
      </x:c>
    </x:row>
    <x:row r="240">
      <x:c r="A240" s="99" t="str">
        <x:f>'Raw R'!B234</x:f>
        <x:v>00284</x:v>
      </x:c>
      <x:c r="B240" s="100" t="n">
        <x:f>INDEX('Raw Stations'!$D$2:$D$299,MATCH(A240,'Raw Stations'!$A$2:$A$299,0))</x:f>
        <x:v>0.001340458546016551</x:v>
      </x:c>
      <x:c r="C240" s="100" t="n">
        <x:f>'Raw R'!L234</x:f>
        <x:v>-0.0124997901143688</x:v>
      </x:c>
      <x:c r="D240" s="100" t="n">
        <x:f>$B$2</x:f>
        <x:v>-0.01791329208576473</x:v>
      </x:c>
      <x:c r="E240" s="100" t="n">
        <x:f>C240-D240</x:f>
        <x:v>0.00541350197139593</x:v>
      </x:c>
      <x:c r="F240" s="100" t="n">
        <x:f>E240-B240</x:f>
        <x:v>0.0040730434253793794</x:v>
      </x:c>
      <x:c r="G240" s="100" t="n">
        <x:f>ABS(F240)</x:f>
        <x:v>0.0040730434253793794</x:v>
      </x:c>
      <x:c r="H240" s="100" t="n">
        <x:f>'Raw R'!N234</x:f>
        <x:v>0.8876948858560036</x:v>
      </x:c>
      <x:c r="I240" t="b">
        <x:f>'Raw R'!O234</x:f>
        <x:v>1</x:v>
      </x:c>
      <x:c r="J240" s="100" t="n">
        <x:f>IF(I240,B240,"")</x:f>
        <x:v>0.001340458546016551</x:v>
      </x:c>
      <x:c r="K240" s="100" t="n">
        <x:f>IF(I240,E240,"")</x:f>
        <x:v>0.00541350197139593</x:v>
      </x:c>
      <x:c r="L240" s="100" t="n">
        <x:f>IF(I240,G240,"")</x:f>
        <x:v>0.0040730434253793794</x:v>
      </x:c>
      <x:c r="M240" s="100" t="n">
        <x:f>IF(I240,F240^2,"")</x:f>
        <x:v>0.000016589682745026188</x:v>
      </x:c>
      <x:c r="N240" s="100" t="n">
        <x:f>IF(I240,F240,"")</x:f>
        <x:v>0.0040730434253793794</x:v>
      </x:c>
      <x:c r="P240" t="n">
        <x:f>J240</x:f>
        <x:v>0.001340458546016551</x:v>
      </x:c>
      <x:c r="Q240" t="n">
        <x:f>K240</x:f>
        <x:v>0.00541350197139593</x:v>
      </x:c>
    </x:row>
    <x:row r="241">
      <x:c r="A241" s="99" t="str">
        <x:f>'Raw R'!B235</x:f>
        <x:v>00285</x:v>
      </x:c>
      <x:c r="B241" s="100" t="n">
        <x:f>INDEX('Raw Stations'!$D$2:$D$299,MATCH(A241,'Raw Stations'!$A$2:$A$299,0))</x:f>
        <x:v>-0.007966422086094768</x:v>
      </x:c>
      <x:c r="C241" s="100" t="n">
        <x:f>'Raw R'!L235</x:f>
        <x:v>-0.0254618818768903</x:v>
      </x:c>
      <x:c r="D241" s="100" t="n">
        <x:f>$B$2</x:f>
        <x:v>-0.01791329208576473</x:v>
      </x:c>
      <x:c r="E241" s="100" t="n">
        <x:f>C241-D241</x:f>
        <x:v>-0.007548589791125569</x:v>
      </x:c>
      <x:c r="F241" s="100" t="n">
        <x:f>E241-B241</x:f>
        <x:v>0.0004178322949691983</x:v>
      </x:c>
      <x:c r="G241" s="100" t="n">
        <x:f>ABS(F241)</x:f>
        <x:v>0.0004178322949691983</x:v>
      </x:c>
      <x:c r="H241" s="100" t="n">
        <x:f>'Raw R'!N235</x:f>
        <x:v>0.9281735894524376</x:v>
      </x:c>
      <x:c r="I241" t="b">
        <x:f>'Raw R'!O235</x:f>
        <x:v>1</x:v>
      </x:c>
      <x:c r="J241" s="100" t="n">
        <x:f>IF(I241,B241,"")</x:f>
        <x:v>-0.007966422086094768</x:v>
      </x:c>
      <x:c r="K241" s="100" t="n">
        <x:f>IF(I241,E241,"")</x:f>
        <x:v>-0.007548589791125569</x:v>
      </x:c>
      <x:c r="L241" s="100" t="n">
        <x:f>IF(I241,G241,"")</x:f>
        <x:v>0.0004178322949691983</x:v>
      </x:c>
      <x:c r="M241" s="100" t="n">
        <x:f>IF(I241,F241^2,"")</x:f>
        <x:v>1.7458382671922714e-7</x:v>
      </x:c>
      <x:c r="N241" s="100" t="n">
        <x:f>IF(I241,F241,"")</x:f>
        <x:v>0.0004178322949691983</x:v>
      </x:c>
      <x:c r="P241" t="n">
        <x:f>J241</x:f>
        <x:v>-0.007966422086094768</x:v>
      </x:c>
      <x:c r="Q241" t="n">
        <x:f>K241</x:f>
        <x:v>-0.007548589791125569</x:v>
      </x:c>
    </x:row>
    <x:row r="242">
      <x:c r="A242" s="99" t="str">
        <x:f>'Raw R'!B236</x:f>
        <x:v>00286</x:v>
      </x:c>
      <x:c r="B242" s="100" t="n">
        <x:f>INDEX('Raw Stations'!$D$2:$D$299,MATCH(A242,'Raw Stations'!$A$2:$A$299,0))</x:f>
        <x:v>-0.009715889694658128</x:v>
      </x:c>
      <x:c r="C242" s="100" t="n">
        <x:f>'Raw R'!L236</x:f>
        <x:v>-0.03153942560370655</x:v>
      </x:c>
      <x:c r="D242" s="100" t="n">
        <x:f>$B$2</x:f>
        <x:v>-0.01791329208576473</x:v>
      </x:c>
      <x:c r="E242" s="100" t="n">
        <x:f>C242-D242</x:f>
        <x:v>-0.013626133517941823</x:v>
      </x:c>
      <x:c r="F242" s="100" t="n">
        <x:f>E242-B242</x:f>
        <x:v>-0.0039102438232836954</x:v>
      </x:c>
      <x:c r="G242" s="100" t="n">
        <x:f>ABS(F242)</x:f>
        <x:v>0.0039102438232836954</x:v>
      </x:c>
      <x:c r="H242" s="100" t="n">
        <x:f>'Raw R'!N236</x:f>
        <x:v>0.9695462393743619</x:v>
      </x:c>
      <x:c r="I242" t="b">
        <x:f>'Raw R'!O236</x:f>
        <x:v>1</x:v>
      </x:c>
      <x:c r="J242" s="100" t="n">
        <x:f>IF(I242,B242,"")</x:f>
        <x:v>-0.009715889694658128</x:v>
      </x:c>
      <x:c r="K242" s="100" t="n">
        <x:f>IF(I242,E242,"")</x:f>
        <x:v>-0.013626133517941823</x:v>
      </x:c>
      <x:c r="L242" s="100" t="n">
        <x:f>IF(I242,G242,"")</x:f>
        <x:v>0.0039102438232836954</x:v>
      </x:c>
      <x:c r="M242" s="100" t="n">
        <x:f>IF(I242,F242^2,"")</x:f>
        <x:v>0.00001529000675752829</x:v>
      </x:c>
      <x:c r="N242" s="100" t="n">
        <x:f>IF(I242,F242,"")</x:f>
        <x:v>-0.0039102438232836954</x:v>
      </x:c>
      <x:c r="P242" t="n">
        <x:f>J242</x:f>
        <x:v>-0.009715889694658128</x:v>
      </x:c>
      <x:c r="Q242" t="n">
        <x:f>K242</x:f>
        <x:v>-0.013626133517941823</x:v>
      </x:c>
    </x:row>
    <x:row r="243">
      <x:c r="A243" s="99" t="str">
        <x:f>'Raw R'!B237</x:f>
        <x:v>00287</x:v>
      </x:c>
      <x:c r="B243" s="100" t="n">
        <x:f>INDEX('Raw Stations'!$D$2:$D$299,MATCH(A243,'Raw Stations'!$A$2:$A$299,0))</x:f>
        <x:v>-0.004012688778721529</x:v>
      </x:c>
      <x:c r="C243" s="100" t="n">
        <x:f>'Raw R'!L237</x:f>
        <x:v>-0.02465516260981866</x:v>
      </x:c>
      <x:c r="D243" s="100" t="n">
        <x:f>$B$2</x:f>
        <x:v>-0.01791329208576473</x:v>
      </x:c>
      <x:c r="E243" s="100" t="n">
        <x:f>C243-D243</x:f>
        <x:v>-0.006741870524053929</x:v>
      </x:c>
      <x:c r="F243" s="100" t="n">
        <x:f>E243-B243</x:f>
        <x:v>-0.0027291817453324006</x:v>
      </x:c>
      <x:c r="G243" s="100" t="n">
        <x:f>ABS(F243)</x:f>
        <x:v>0.0027291817453324006</x:v>
      </x:c>
      <x:c r="H243" s="100" t="n">
        <x:f>'Raw R'!N237</x:f>
        <x:v>0.9638756857489487</x:v>
      </x:c>
      <x:c r="I243" t="b">
        <x:f>'Raw R'!O237</x:f>
        <x:v>1</x:v>
      </x:c>
      <x:c r="J243" s="100" t="n">
        <x:f>IF(I243,B243,"")</x:f>
        <x:v>-0.004012688778721529</x:v>
      </x:c>
      <x:c r="K243" s="100" t="n">
        <x:f>IF(I243,E243,"")</x:f>
        <x:v>-0.006741870524053929</x:v>
      </x:c>
      <x:c r="L243" s="100" t="n">
        <x:f>IF(I243,G243,"")</x:f>
        <x:v>0.0027291817453324006</x:v>
      </x:c>
      <x:c r="M243" s="100" t="n">
        <x:f>IF(I243,F243^2,"")</x:f>
        <x:v>0.000007448432999055608</x:v>
      </x:c>
      <x:c r="N243" s="100" t="n">
        <x:f>IF(I243,F243,"")</x:f>
        <x:v>-0.0027291817453324006</x:v>
      </x:c>
      <x:c r="P243" t="n">
        <x:f>J243</x:f>
        <x:v>-0.004012688778721529</x:v>
      </x:c>
      <x:c r="Q243" t="n">
        <x:f>K243</x:f>
        <x:v>-0.006741870524053929</x:v>
      </x:c>
    </x:row>
    <x:row r="244">
      <x:c r="A244" s="99" t="str">
        <x:f>'Raw R'!B238</x:f>
        <x:v>00288</x:v>
      </x:c>
      <x:c r="B244" s="100" t="n">
        <x:f>INDEX('Raw Stations'!$D$2:$D$299,MATCH(A244,'Raw Stations'!$A$2:$A$299,0))</x:f>
        <x:v>-0.006373200045938721</x:v>
      </x:c>
      <x:c r="C244" s="100" t="n">
        <x:f>'Raw R'!L238</x:f>
        <x:v>-0.02753861657968057</x:v>
      </x:c>
      <x:c r="D244" s="100" t="n">
        <x:f>$B$2</x:f>
        <x:v>-0.01791329208576473</x:v>
      </x:c>
      <x:c r="E244" s="100" t="n">
        <x:f>C244-D244</x:f>
        <x:v>-0.00962532449391584</x:v>
      </x:c>
      <x:c r="F244" s="100" t="n">
        <x:f>E244-B244</x:f>
        <x:v>-0.0032521244479771193</x:v>
      </x:c>
      <x:c r="G244" s="100" t="n">
        <x:f>ABS(F244)</x:f>
        <x:v>0.0032521244479771193</x:v>
      </x:c>
      <x:c r="H244" s="100" t="n">
        <x:f>'Raw R'!N238</x:f>
        <x:v>0.9632139792272122</x:v>
      </x:c>
      <x:c r="I244" t="b">
        <x:f>'Raw R'!O238</x:f>
        <x:v>1</x:v>
      </x:c>
      <x:c r="J244" s="100" t="n">
        <x:f>IF(I244,B244,"")</x:f>
        <x:v>-0.006373200045938721</x:v>
      </x:c>
      <x:c r="K244" s="100" t="n">
        <x:f>IF(I244,E244,"")</x:f>
        <x:v>-0.00962532449391584</x:v>
      </x:c>
      <x:c r="L244" s="100" t="n">
        <x:f>IF(I244,G244,"")</x:f>
        <x:v>0.0032521244479771193</x:v>
      </x:c>
      <x:c r="M244" s="100" t="n">
        <x:f>IF(I244,F244^2,"")</x:f>
        <x:v>0.000010576313425130483</x:v>
      </x:c>
      <x:c r="N244" s="100" t="n">
        <x:f>IF(I244,F244,"")</x:f>
        <x:v>-0.0032521244479771193</x:v>
      </x:c>
      <x:c r="P244" t="n">
        <x:f>J244</x:f>
        <x:v>-0.006373200045938721</x:v>
      </x:c>
      <x:c r="Q244" t="n">
        <x:f>K244</x:f>
        <x:v>-0.00962532449391584</x:v>
      </x:c>
    </x:row>
    <x:row r="245">
      <x:c r="A245" s="99" t="str">
        <x:f>'Raw R'!B239</x:f>
        <x:v>00289</x:v>
      </x:c>
      <x:c r="B245" s="100" t="n">
        <x:f>INDEX('Raw Stations'!$D$2:$D$299,MATCH(A245,'Raw Stations'!$A$2:$A$299,0))</x:f>
        <x:v>-0.005992811469059424</x:v>
      </x:c>
      <x:c r="C245" s="100" t="n">
        <x:f>'Raw R'!L239</x:f>
        <x:v>-0.02585563131503008</x:v>
      </x:c>
      <x:c r="D245" s="100" t="n">
        <x:f>$B$2</x:f>
        <x:v>-0.01791329208576473</x:v>
      </x:c>
      <x:c r="E245" s="100" t="n">
        <x:f>C245-D245</x:f>
        <x:v>-0.00794233922926535</x:v>
      </x:c>
      <x:c r="F245" s="100" t="n">
        <x:f>E245-B245</x:f>
        <x:v>-0.0019495277602059255</x:v>
      </x:c>
      <x:c r="G245" s="100" t="n">
        <x:f>ABS(F245)</x:f>
        <x:v>0.0019495277602059255</x:v>
      </x:c>
      <x:c r="H245" s="100" t="n">
        <x:f>'Raw R'!N239</x:f>
        <x:v>0.8822064632892734</x:v>
      </x:c>
      <x:c r="I245" t="b">
        <x:f>'Raw R'!O239</x:f>
        <x:v>1</x:v>
      </x:c>
      <x:c r="J245" s="100" t="n">
        <x:f>IF(I245,B245,"")</x:f>
        <x:v>-0.005992811469059424</x:v>
      </x:c>
      <x:c r="K245" s="100" t="n">
        <x:f>IF(I245,E245,"")</x:f>
        <x:v>-0.00794233922926535</x:v>
      </x:c>
      <x:c r="L245" s="100" t="n">
        <x:f>IF(I245,G245,"")</x:f>
        <x:v>0.0019495277602059255</x:v>
      </x:c>
      <x:c r="M245" s="100" t="n">
        <x:f>IF(I245,F245^2,"")</x:f>
        <x:v>0.0000038006584878135325</x:v>
      </x:c>
      <x:c r="N245" s="100" t="n">
        <x:f>IF(I245,F245,"")</x:f>
        <x:v>-0.0019495277602059255</x:v>
      </x:c>
      <x:c r="P245" t="n">
        <x:f>J245</x:f>
        <x:v>-0.005992811469059424</x:v>
      </x:c>
      <x:c r="Q245" t="n">
        <x:f>K245</x:f>
        <x:v>-0.00794233922926535</x:v>
      </x:c>
    </x:row>
    <x:row r="246">
      <x:c r="A246" s="99" t="str">
        <x:f>'Raw R'!B240</x:f>
        <x:v>00290</x:v>
      </x:c>
      <x:c r="B246" s="100" t="n">
        <x:f>INDEX('Raw Stations'!$D$2:$D$299,MATCH(A246,'Raw Stations'!$A$2:$A$299,0))</x:f>
        <x:v>-0.006175214028578201</x:v>
      </x:c>
      <x:c r="C246" s="100" t="n">
        <x:f>'Raw R'!L240</x:f>
        <x:v>-0.02468556255411568</x:v>
      </x:c>
      <x:c r="D246" s="100" t="n">
        <x:f>$B$2</x:f>
        <x:v>-0.01791329208576473</x:v>
      </x:c>
      <x:c r="E246" s="100" t="n">
        <x:f>C246-D246</x:f>
        <x:v>-0.006772270468350952</x:v>
      </x:c>
      <x:c r="F246" s="100" t="n">
        <x:f>E246-B246</x:f>
        <x:v>-0.0005970564397727515</x:v>
      </x:c>
      <x:c r="G246" s="100" t="n">
        <x:f>ABS(F246)</x:f>
        <x:v>0.0005970564397727515</x:v>
      </x:c>
      <x:c r="H246" s="100" t="n">
        <x:f>'Raw R'!N240</x:f>
        <x:v>0.9849270970454814</x:v>
      </x:c>
      <x:c r="I246" t="b">
        <x:f>'Raw R'!O240</x:f>
        <x:v>1</x:v>
      </x:c>
      <x:c r="J246" s="100" t="n">
        <x:f>IF(I246,B246,"")</x:f>
        <x:v>-0.006175214028578201</x:v>
      </x:c>
      <x:c r="K246" s="100" t="n">
        <x:f>IF(I246,E246,"")</x:f>
        <x:v>-0.006772270468350952</x:v>
      </x:c>
      <x:c r="L246" s="100" t="n">
        <x:f>IF(I246,G246,"")</x:f>
        <x:v>0.0005970564397727515</x:v>
      </x:c>
      <x:c r="M246" s="100" t="n">
        <x:f>IF(I246,F246^2,"")</x:f>
        <x:v>3.5647639227411327e-7</x:v>
      </x:c>
      <x:c r="N246" s="100" t="n">
        <x:f>IF(I246,F246,"")</x:f>
        <x:v>-0.0005970564397727515</x:v>
      </x:c>
      <x:c r="P246" t="n">
        <x:f>J246</x:f>
        <x:v>-0.006175214028578201</x:v>
      </x:c>
      <x:c r="Q246" t="n">
        <x:f>K246</x:f>
        <x:v>-0.006772270468350952</x:v>
      </x:c>
    </x:row>
    <x:row r="247">
      <x:c r="A247" s="99" t="str">
        <x:f>'Raw R'!B241</x:f>
        <x:v>00291</x:v>
      </x:c>
      <x:c r="B247" s="100" t="n">
        <x:f>INDEX('Raw Stations'!$D$2:$D$299,MATCH(A247,'Raw Stations'!$A$2:$A$299,0))</x:f>
        <x:v>-0.003687200490893747</x:v>
      </x:c>
      <x:c r="C247" s="100" t="n">
        <x:f>'Raw R'!L241</x:f>
        <x:v>-0.02151073639994217</x:v>
      </x:c>
      <x:c r="D247" s="100" t="n">
        <x:f>$B$2</x:f>
        <x:v>-0.01791329208576473</x:v>
      </x:c>
      <x:c r="E247" s="100" t="n">
        <x:f>C247-D247</x:f>
        <x:v>-0.0035974443141774393</x:v>
      </x:c>
      <x:c r="F247" s="100" t="n">
        <x:f>E247-B247</x:f>
        <x:v>0.00008975617671630768</x:v>
      </x:c>
      <x:c r="G247" s="100" t="n">
        <x:f>ABS(F247)</x:f>
        <x:v>0.00008975617671630768</x:v>
      </x:c>
      <x:c r="H247" s="100" t="n">
        <x:f>'Raw R'!N241</x:f>
        <x:v>0.983705878123162</x:v>
      </x:c>
      <x:c r="I247" t="b">
        <x:f>'Raw R'!O241</x:f>
        <x:v>1</x:v>
      </x:c>
      <x:c r="J247" s="100" t="n">
        <x:f>IF(I247,B247,"")</x:f>
        <x:v>-0.003687200490893747</x:v>
      </x:c>
      <x:c r="K247" s="100" t="n">
        <x:f>IF(I247,E247,"")</x:f>
        <x:v>-0.0035974443141774393</x:v>
      </x:c>
      <x:c r="L247" s="100" t="n">
        <x:f>IF(I247,G247,"")</x:f>
        <x:v>0.00008975617671630768</x:v>
      </x:c>
      <x:c r="M247" s="100" t="n">
        <x:f>IF(I247,F247^2,"")</x:f>
        <x:v>8.056171258729054e-9</x:v>
      </x:c>
      <x:c r="N247" s="100" t="n">
        <x:f>IF(I247,F247,"")</x:f>
        <x:v>0.00008975617671630768</x:v>
      </x:c>
      <x:c r="P247" t="n">
        <x:f>J247</x:f>
        <x:v>-0.003687200490893747</x:v>
      </x:c>
      <x:c r="Q247" t="n">
        <x:f>K247</x:f>
        <x:v>-0.0035974443141774393</x:v>
      </x:c>
    </x:row>
    <x:row r="248">
      <x:c r="A248" s="99" t="str">
        <x:f>'Raw R'!B242</x:f>
        <x:v>00292</x:v>
      </x:c>
      <x:c r="B248" s="100" t="n">
        <x:f>INDEX('Raw Stations'!$D$2:$D$299,MATCH(A248,'Raw Stations'!$A$2:$A$299,0))</x:f>
        <x:v>-0.003888602536974522</x:v>
      </x:c>
      <x:c r="C248" s="100" t="n">
        <x:f>'Raw R'!L242</x:f>
        <x:v>-0.02399816904290974</x:v>
      </x:c>
      <x:c r="D248" s="100" t="n">
        <x:f>$B$2</x:f>
        <x:v>-0.01791329208576473</x:v>
      </x:c>
      <x:c r="E248" s="100" t="n">
        <x:f>C248-D248</x:f>
        <x:v>-0.006084876957145012</x:v>
      </x:c>
      <x:c r="F248" s="100" t="n">
        <x:f>E248-B248</x:f>
        <x:v>-0.00219627442017049</x:v>
      </x:c>
      <x:c r="G248" s="100" t="n">
        <x:f>ABS(F248)</x:f>
        <x:v>0.00219627442017049</x:v>
      </x:c>
      <x:c r="H248" s="100" t="n">
        <x:f>'Raw R'!N242</x:f>
        <x:v>0.9484806915868204</x:v>
      </x:c>
      <x:c r="I248" t="b">
        <x:f>'Raw R'!O242</x:f>
        <x:v>1</x:v>
      </x:c>
      <x:c r="J248" s="100" t="n">
        <x:f>IF(I248,B248,"")</x:f>
        <x:v>-0.003888602536974522</x:v>
      </x:c>
      <x:c r="K248" s="100" t="n">
        <x:f>IF(I248,E248,"")</x:f>
        <x:v>-0.006084876957145012</x:v>
      </x:c>
      <x:c r="L248" s="100" t="n">
        <x:f>IF(I248,G248,"")</x:f>
        <x:v>0.00219627442017049</x:v>
      </x:c>
      <x:c r="M248" s="100" t="n">
        <x:f>IF(I248,F248^2,"")</x:f>
        <x:v>0.000004823621328695223</x:v>
      </x:c>
      <x:c r="N248" s="100" t="n">
        <x:f>IF(I248,F248,"")</x:f>
        <x:v>-0.00219627442017049</x:v>
      </x:c>
      <x:c r="P248" t="n">
        <x:f>J248</x:f>
        <x:v>-0.003888602536974522</x:v>
      </x:c>
      <x:c r="Q248" t="n">
        <x:f>K248</x:f>
        <x:v>-0.006084876957145012</x:v>
      </x:c>
    </x:row>
    <x:row r="249">
      <x:c r="A249" s="99" t="str">
        <x:f>'Raw R'!B243</x:f>
        <x:v>00293</x:v>
      </x:c>
      <x:c r="B249" s="100" t="n">
        <x:f>INDEX('Raw Stations'!$D$2:$D$299,MATCH(A249,'Raw Stations'!$A$2:$A$299,0))</x:f>
        <x:v>-0.01975739844222951</x:v>
      </x:c>
      <x:c r="C249" s="100" t="n">
        <x:f>'Raw R'!L243</x:f>
        <x:v>-0.04160573665047239</x:v>
      </x:c>
      <x:c r="D249" s="100" t="n">
        <x:f>$B$2</x:f>
        <x:v>-0.01791329208576473</x:v>
      </x:c>
      <x:c r="E249" s="100" t="n">
        <x:f>C249-D249</x:f>
        <x:v>-0.02369244456470766</x:v>
      </x:c>
      <x:c r="F249" s="100" t="n">
        <x:f>E249-B249</x:f>
        <x:v>-0.00393504612247815</x:v>
      </x:c>
      <x:c r="G249" s="100" t="n">
        <x:f>ABS(F249)</x:f>
        <x:v>0.00393504612247815</x:v>
      </x:c>
      <x:c r="H249" s="100" t="n">
        <x:f>'Raw R'!N243</x:f>
        <x:v>0.9288255247491949</x:v>
      </x:c>
      <x:c r="I249" t="b">
        <x:f>'Raw R'!O243</x:f>
        <x:v>1</x:v>
      </x:c>
      <x:c r="J249" s="100" t="n">
        <x:f>IF(I249,B249,"")</x:f>
        <x:v>-0.01975739844222951</x:v>
      </x:c>
      <x:c r="K249" s="100" t="n">
        <x:f>IF(I249,E249,"")</x:f>
        <x:v>-0.02369244456470766</x:v>
      </x:c>
      <x:c r="L249" s="100" t="n">
        <x:f>IF(I249,G249,"")</x:f>
        <x:v>0.00393504612247815</x:v>
      </x:c>
      <x:c r="M249" s="100" t="n">
        <x:f>IF(I249,F249^2,"")</x:f>
        <x:v>0.000015484587986030324</x:v>
      </x:c>
      <x:c r="N249" s="100" t="n">
        <x:f>IF(I249,F249,"")</x:f>
        <x:v>-0.00393504612247815</x:v>
      </x:c>
      <x:c r="P249" t="n">
        <x:f>J249</x:f>
        <x:v>-0.01975739844222951</x:v>
      </x:c>
      <x:c r="Q249" t="n">
        <x:f>K249</x:f>
        <x:v>-0.02369244456470766</x:v>
      </x:c>
    </x:row>
    <x:row r="250">
      <x:c r="A250" s="99" t="str">
        <x:f>'Raw R'!B244</x:f>
        <x:v>00294</x:v>
      </x:c>
      <x:c r="B250" s="100" t="n">
        <x:f>INDEX('Raw Stations'!$D$2:$D$299,MATCH(A250,'Raw Stations'!$A$2:$A$299,0))</x:f>
        <x:v>-0.01263527026872942</x:v>
      </x:c>
      <x:c r="C250" s="100" t="n">
        <x:f>'Raw R'!L244</x:f>
        <x:v>-0.03349106236556099</x:v>
      </x:c>
      <x:c r="D250" s="100" t="n">
        <x:f>$B$2</x:f>
        <x:v>-0.01791329208576473</x:v>
      </x:c>
      <x:c r="E250" s="100" t="n">
        <x:f>C250-D250</x:f>
        <x:v>-0.015577770279796264</x:v>
      </x:c>
      <x:c r="F250" s="100" t="n">
        <x:f>E250-B250</x:f>
        <x:v>-0.0029425000110668443</x:v>
      </x:c>
      <x:c r="G250" s="100" t="n">
        <x:f>ABS(F250)</x:f>
        <x:v>0.0029425000110668443</x:v>
      </x:c>
      <x:c r="H250" s="100" t="n">
        <x:f>'Raw R'!N244</x:f>
        <x:v>0.9708838492740192</x:v>
      </x:c>
      <x:c r="I250" t="b">
        <x:f>'Raw R'!O244</x:f>
        <x:v>1</x:v>
      </x:c>
      <x:c r="J250" s="100" t="n">
        <x:f>IF(I250,B250,"")</x:f>
        <x:v>-0.01263527026872942</x:v>
      </x:c>
      <x:c r="K250" s="100" t="n">
        <x:f>IF(I250,E250,"")</x:f>
        <x:v>-0.015577770279796264</x:v>
      </x:c>
      <x:c r="L250" s="100" t="n">
        <x:f>IF(I250,G250,"")</x:f>
        <x:v>0.0029425000110668443</x:v>
      </x:c>
      <x:c r="M250" s="100" t="n">
        <x:f>IF(I250,F250^2,"")</x:f>
        <x:v>0.000008658306315128379</x:v>
      </x:c>
      <x:c r="N250" s="100" t="n">
        <x:f>IF(I250,F250,"")</x:f>
        <x:v>-0.0029425000110668443</x:v>
      </x:c>
      <x:c r="P250" t="n">
        <x:f>J250</x:f>
        <x:v>-0.01263527026872942</x:v>
      </x:c>
      <x:c r="Q250" t="n">
        <x:f>K250</x:f>
        <x:v>-0.015577770279796264</x:v>
      </x:c>
    </x:row>
    <x:row r="251">
      <x:c r="A251" s="99" t="str">
        <x:f>'Raw R'!B245</x:f>
        <x:v>00295</x:v>
      </x:c>
      <x:c r="B251" s="100" t="n">
        <x:f>INDEX('Raw Stations'!$D$2:$D$299,MATCH(A251,'Raw Stations'!$A$2:$A$299,0))</x:f>
        <x:v>-0.006169767968636438</x:v>
      </x:c>
      <x:c r="C251" s="100" t="n">
        <x:f>'Raw R'!L245</x:f>
        <x:v>-0.02799330387768487</x:v>
      </x:c>
      <x:c r="D251" s="100" t="n">
        <x:f>$B$2</x:f>
        <x:v>-0.01791329208576473</x:v>
      </x:c>
      <x:c r="E251" s="100" t="n">
        <x:f>C251-D251</x:f>
        <x:v>-0.01008001179192014</x:v>
      </x:c>
      <x:c r="F251" s="100" t="n">
        <x:f>E251-B251</x:f>
        <x:v>-0.003910243823283702</x:v>
      </x:c>
      <x:c r="G251" s="100" t="n">
        <x:f>ABS(F251)</x:f>
        <x:v>0.003910243823283702</x:v>
      </x:c>
      <x:c r="H251" s="100" t="n">
        <x:f>'Raw R'!N245</x:f>
        <x:v>0.9888635671740379</x:v>
      </x:c>
      <x:c r="I251" t="b">
        <x:f>'Raw R'!O245</x:f>
        <x:v>1</x:v>
      </x:c>
      <x:c r="J251" s="100" t="n">
        <x:f>IF(I251,B251,"")</x:f>
        <x:v>-0.006169767968636438</x:v>
      </x:c>
      <x:c r="K251" s="100" t="n">
        <x:f>IF(I251,E251,"")</x:f>
        <x:v>-0.01008001179192014</x:v>
      </x:c>
      <x:c r="L251" s="100" t="n">
        <x:f>IF(I251,G251,"")</x:f>
        <x:v>0.003910243823283702</x:v>
      </x:c>
      <x:c r="M251" s="100" t="n">
        <x:f>IF(I251,F251^2,"")</x:f>
        <x:v>0.000015290006757528345</x:v>
      </x:c>
      <x:c r="N251" s="100" t="n">
        <x:f>IF(I251,F251,"")</x:f>
        <x:v>-0.003910243823283702</x:v>
      </x:c>
      <x:c r="P251" t="n">
        <x:f>J251</x:f>
        <x:v>-0.006169767968636438</x:v>
      </x:c>
      <x:c r="Q251" t="n">
        <x:f>K251</x:f>
        <x:v>-0.01008001179192014</x:v>
      </x:c>
    </x:row>
    <x:row r="252">
      <x:c r="A252" s="99" t="str">
        <x:f>'Raw R'!B246</x:f>
        <x:v>00297</x:v>
      </x:c>
      <x:c r="B252" s="100" t="n">
        <x:f>INDEX('Raw Stations'!$D$2:$D$299,MATCH(A252,'Raw Stations'!$A$2:$A$299,0))</x:f>
        <x:v>-0.01038514493235143</x:v>
      </x:c>
      <x:c r="C252" s="100" t="n">
        <x:f>'Raw R'!L246</x:f>
        <x:v>-0.02913654141100311</x:v>
      </x:c>
      <x:c r="D252" s="100" t="n">
        <x:f>$B$2</x:f>
        <x:v>-0.01791329208576473</x:v>
      </x:c>
      <x:c r="E252" s="100" t="n">
        <x:f>C252-D252</x:f>
        <x:v>-0.011223249325238379</x:v>
      </x:c>
      <x:c r="F252" s="100" t="n">
        <x:f>E252-B252</x:f>
        <x:v>-0.0008381043928869496</x:v>
      </x:c>
      <x:c r="G252" s="100" t="n">
        <x:f>ABS(F252)</x:f>
        <x:v>0.0008381043928869496</x:v>
      </x:c>
      <x:c r="H252" s="100" t="n">
        <x:f>'Raw R'!N246</x:f>
        <x:v>0.9285507524752303</x:v>
      </x:c>
      <x:c r="I252" t="b">
        <x:f>'Raw R'!O246</x:f>
        <x:v>1</x:v>
      </x:c>
      <x:c r="J252" s="100" t="n">
        <x:f>IF(I252,B252,"")</x:f>
        <x:v>-0.01038514493235143</x:v>
      </x:c>
      <x:c r="K252" s="100" t="n">
        <x:f>IF(I252,E252,"")</x:f>
        <x:v>-0.011223249325238379</x:v>
      </x:c>
      <x:c r="L252" s="100" t="n">
        <x:f>IF(I252,G252,"")</x:f>
        <x:v>0.0008381043928869496</x:v>
      </x:c>
      <x:c r="M252" s="100" t="n">
        <x:f>IF(I252,F252^2,"")</x:f>
        <x:v>7.024189733764024e-7</x:v>
      </x:c>
      <x:c r="N252" s="100" t="n">
        <x:f>IF(I252,F252,"")</x:f>
        <x:v>-0.0008381043928869496</x:v>
      </x:c>
      <x:c r="P252" t="n">
        <x:f>J252</x:f>
        <x:v>-0.01038514493235143</x:v>
      </x:c>
      <x:c r="Q252" t="n">
        <x:f>K252</x:f>
        <x:v>-0.011223249325238379</x:v>
      </x:c>
    </x:row>
    <x:row r="253">
      <x:c r="A253" s="99" t="str">
        <x:f>'Raw R'!B247</x:f>
        <x:v>00298</x:v>
      </x:c>
      <x:c r="B253" s="100" t="n">
        <x:f>INDEX('Raw Stations'!$D$2:$D$299,MATCH(A253,'Raw Stations'!$A$2:$A$299,0))</x:f>
        <x:v>-0.00823790525783667</x:v>
      </x:c>
      <x:c r="C253" s="100" t="n">
        <x:f>'Raw R'!L247</x:f>
        <x:v>-0.0227389462890441</x:v>
      </x:c>
      <x:c r="D253" s="100" t="n">
        <x:f>$B$2</x:f>
        <x:v>-0.01791329208576473</x:v>
      </x:c>
      <x:c r="E253" s="100" t="n">
        <x:f>C253-D253</x:f>
        <x:v>-0.004825654203279371</x:v>
      </x:c>
      <x:c r="F253" s="100" t="n">
        <x:f>E253-B253</x:f>
        <x:v>0.0034122510545572995</x:v>
      </x:c>
      <x:c r="G253" s="100" t="n">
        <x:f>ABS(F253)</x:f>
        <x:v>0.0034122510545572995</x:v>
      </x:c>
      <x:c r="H253" s="100" t="n">
        <x:f>'Raw R'!N247</x:f>
        <x:v>0.9200202320692683</x:v>
      </x:c>
      <x:c r="I253" t="b">
        <x:f>'Raw R'!O247</x:f>
        <x:v>1</x:v>
      </x:c>
      <x:c r="J253" s="100" t="n">
        <x:f>IF(I253,B253,"")</x:f>
        <x:v>-0.00823790525783667</x:v>
      </x:c>
      <x:c r="K253" s="100" t="n">
        <x:f>IF(I253,E253,"")</x:f>
        <x:v>-0.004825654203279371</x:v>
      </x:c>
      <x:c r="L253" s="100" t="n">
        <x:f>IF(I253,G253,"")</x:f>
        <x:v>0.0034122510545572995</x:v>
      </x:c>
      <x:c r="M253" s="100" t="n">
        <x:f>IF(I253,F253^2,"")</x:f>
        <x:v>0.000011643457259327402</x:v>
      </x:c>
      <x:c r="N253" s="100" t="n">
        <x:f>IF(I253,F253,"")</x:f>
        <x:v>0.0034122510545572995</x:v>
      </x:c>
      <x:c r="P253" t="n">
        <x:f>J253</x:f>
        <x:v>-0.00823790525783667</x:v>
      </x:c>
      <x:c r="Q253" t="n">
        <x:f>K253</x:f>
        <x:v>-0.004825654203279371</x:v>
      </x:c>
    </x:row>
    <x:row r="254">
      <x:c r="A254" s="99" t="str">
        <x:f>'Raw R'!B248</x:f>
        <x:v>00299</x:v>
      </x:c>
      <x:c r="B254" s="100" t="n">
        <x:f>INDEX('Raw Stations'!$D$2:$D$299,MATCH(A254,'Raw Stations'!$A$2:$A$299,0))</x:f>
        <x:v>-0.01252757638063776</x:v>
      </x:c>
      <x:c r="C254" s="100" t="n">
        <x:f>'Raw R'!L248</x:f>
        <x:v>-0.02635111228968617</x:v>
      </x:c>
      <x:c r="D254" s="100" t="n">
        <x:f>$B$2</x:f>
        <x:v>-0.01791329208576473</x:v>
      </x:c>
      <x:c r="E254" s="100" t="n">
        <x:f>C254-D254</x:f>
        <x:v>-0.008437820203921441</x:v>
      </x:c>
      <x:c r="F254" s="100" t="n">
        <x:f>E254-B254</x:f>
        <x:v>0.004089756176716319</x:v>
      </x:c>
      <x:c r="G254" s="100" t="n">
        <x:f>ABS(F254)</x:f>
        <x:v>0.004089756176716319</x:v>
      </x:c>
      <x:c r="H254" s="100" t="n">
        <x:f>'Raw R'!N248</x:f>
        <x:v>0.9479890964975854</x:v>
      </x:c>
      <x:c r="I254" t="b">
        <x:f>'Raw R'!O248</x:f>
        <x:v>1</x:v>
      </x:c>
      <x:c r="J254" s="100" t="n">
        <x:f>IF(I254,B254,"")</x:f>
        <x:v>-0.01252757638063776</x:v>
      </x:c>
      <x:c r="K254" s="100" t="n">
        <x:f>IF(I254,E254,"")</x:f>
        <x:v>-0.008437820203921441</x:v>
      </x:c>
      <x:c r="L254" s="100" t="n">
        <x:f>IF(I254,G254,"")</x:f>
        <x:v>0.004089756176716319</x:v>
      </x:c>
      <x:c r="M254" s="100" t="n">
        <x:f>IF(I254,F254^2,"")</x:f>
        <x:v>0.00001672610558498928</x:v>
      </x:c>
      <x:c r="N254" s="100" t="n">
        <x:f>IF(I254,F254,"")</x:f>
        <x:v>0.004089756176716319</x:v>
      </x:c>
      <x:c r="P254" t="n">
        <x:f>J254</x:f>
        <x:v>-0.01252757638063776</x:v>
      </x:c>
      <x:c r="Q254" t="n">
        <x:f>K254</x:f>
        <x:v>-0.008437820203921441</x:v>
      </x:c>
    </x:row>
    <x:row r="255">
      <x:c r="A255" s="99" t="str">
        <x:f>'Raw R'!B249</x:f>
        <x:v>00300</x:v>
      </x:c>
      <x:c r="B255" s="100" t="n">
        <x:f>INDEX('Raw Stations'!$D$2:$D$299,MATCH(A255,'Raw Stations'!$A$2:$A$299,0))</x:f>
        <x:v>-0.01129132602284214</x:v>
      </x:c>
      <x:c r="C255" s="100" t="n">
        <x:f>'Raw R'!L249</x:f>
        <x:v>-0.02253849416032122</x:v>
      </x:c>
      <x:c r="D255" s="100" t="n">
        <x:f>$B$2</x:f>
        <x:v>-0.01791329208576473</x:v>
      </x:c>
      <x:c r="E255" s="100" t="n">
        <x:f>C255-D255</x:f>
        <x:v>-0.004625202074556491</x:v>
      </x:c>
      <x:c r="F255" s="100" t="n">
        <x:f>E255-B255</x:f>
        <x:v>0.006666123948285649</x:v>
      </x:c>
      <x:c r="G255" s="100" t="n">
        <x:f>ABS(F255)</x:f>
        <x:v>0.006666123948285649</x:v>
      </x:c>
      <x:c r="H255" s="100" t="n">
        <x:f>'Raw R'!N249</x:f>
        <x:v>0.9169947766904518</x:v>
      </x:c>
      <x:c r="I255" t="b">
        <x:f>'Raw R'!O249</x:f>
        <x:v>1</x:v>
      </x:c>
      <x:c r="J255" s="100" t="n">
        <x:f>IF(I255,B255,"")</x:f>
        <x:v>-0.01129132602284214</x:v>
      </x:c>
      <x:c r="K255" s="100" t="n">
        <x:f>IF(I255,E255,"")</x:f>
        <x:v>-0.004625202074556491</x:v>
      </x:c>
      <x:c r="L255" s="100" t="n">
        <x:f>IF(I255,G255,"")</x:f>
        <x:v>0.006666123948285649</x:v>
      </x:c>
      <x:c r="M255" s="100" t="n">
        <x:f>IF(I255,F255^2,"")</x:f>
        <x:v>0.00004443720849390745</x:v>
      </x:c>
      <x:c r="N255" s="100" t="n">
        <x:f>IF(I255,F255,"")</x:f>
        <x:v>0.006666123948285649</x:v>
      </x:c>
      <x:c r="P255" t="n">
        <x:f>J255</x:f>
        <x:v>-0.01129132602284214</x:v>
      </x:c>
      <x:c r="Q255" t="n">
        <x:f>K255</x:f>
        <x:v>-0.004625202074556491</x:v>
      </x:c>
    </x:row>
    <x:row r="256">
      <x:c r="A256" s="99" t="str">
        <x:f>'Raw R'!B250</x:f>
        <x:v>00301</x:v>
      </x:c>
      <x:c r="B256" s="100" t="n">
        <x:f>INDEX('Raw Stations'!$D$2:$D$299,MATCH(A256,'Raw Stations'!$A$2:$A$299,0))</x:f>
        <x:v>-0.01427540765869766</x:v>
      </x:c>
      <x:c r="C256" s="100" t="n">
        <x:f>'Raw R'!L250</x:f>
        <x:v>-0.02574093425708862</x:v>
      </x:c>
      <x:c r="D256" s="100" t="n">
        <x:f>$B$2</x:f>
        <x:v>-0.01791329208576473</x:v>
      </x:c>
      <x:c r="E256" s="100" t="n">
        <x:f>C256-D256</x:f>
        <x:v>-0.007827642171323892</x:v>
      </x:c>
      <x:c r="F256" s="100" t="n">
        <x:f>E256-B256</x:f>
        <x:v>0.0064477654873737675</x:v>
      </x:c>
      <x:c r="G256" s="100" t="n">
        <x:f>ABS(F256)</x:f>
        <x:v>0.0064477654873737675</x:v>
      </x:c>
      <x:c r="H256" s="100" t="n">
        <x:f>'Raw R'!N250</x:f>
        <x:v>0.9391439975739871</x:v>
      </x:c>
      <x:c r="I256" t="b">
        <x:f>'Raw R'!O250</x:f>
        <x:v>1</x:v>
      </x:c>
      <x:c r="J256" s="100" t="n">
        <x:f>IF(I256,B256,"")</x:f>
        <x:v>-0.01427540765869766</x:v>
      </x:c>
      <x:c r="K256" s="100" t="n">
        <x:f>IF(I256,E256,"")</x:f>
        <x:v>-0.007827642171323892</x:v>
      </x:c>
      <x:c r="L256" s="100" t="n">
        <x:f>IF(I256,G256,"")</x:f>
        <x:v>0.0064477654873737675</x:v>
      </x:c>
      <x:c r="M256" s="100" t="n">
        <x:f>IF(I256,F256^2,"")</x:f>
        <x:v>0.000041573679780168275</x:v>
      </x:c>
      <x:c r="N256" s="100" t="n">
        <x:f>IF(I256,F256,"")</x:f>
        <x:v>0.0064477654873737675</x:v>
      </x:c>
      <x:c r="P256" t="n">
        <x:f>J256</x:f>
        <x:v>-0.01427540765869766</x:v>
      </x:c>
      <x:c r="Q256" t="n">
        <x:f>K256</x:f>
        <x:v>-0.007827642171323892</x:v>
      </x:c>
    </x:row>
    <x:row r="257">
      <x:c r="A257" s="99" t="str">
        <x:f>'Raw R'!B251</x:f>
        <x:v>00302</x:v>
      </x:c>
      <x:c r="B257" s="100" t="n">
        <x:f>INDEX('Raw Stations'!$D$2:$D$299,MATCH(A257,'Raw Stations'!$A$2:$A$299,0))</x:f>
        <x:v>-0.007632152572161066</x:v>
      </x:c>
      <x:c r="C257" s="100" t="n">
        <x:f>'Raw R'!L251</x:f>
        <x:v>-0.02844173880697207</x:v>
      </x:c>
      <x:c r="D257" s="100" t="n">
        <x:f>$B$2</x:f>
        <x:v>-0.01791329208576473</x:v>
      </x:c>
      <x:c r="E257" s="100" t="n">
        <x:f>C257-D257</x:f>
        <x:v>-0.01052844672120734</x:v>
      </x:c>
      <x:c r="F257" s="100" t="n">
        <x:f>E257-B257</x:f>
        <x:v>-0.002896294149046275</x:v>
      </x:c>
      <x:c r="G257" s="100" t="n">
        <x:f>ABS(F257)</x:f>
        <x:v>0.002896294149046275</x:v>
      </x:c>
      <x:c r="H257" s="100" t="n">
        <x:f>'Raw R'!N251</x:f>
        <x:v>0.9793993763340876</x:v>
      </x:c>
      <x:c r="I257" t="b">
        <x:f>'Raw R'!O251</x:f>
        <x:v>1</x:v>
      </x:c>
      <x:c r="J257" s="100" t="n">
        <x:f>IF(I257,B257,"")</x:f>
        <x:v>-0.007632152572161066</x:v>
      </x:c>
      <x:c r="K257" s="100" t="n">
        <x:f>IF(I257,E257,"")</x:f>
        <x:v>-0.01052844672120734</x:v>
      </x:c>
      <x:c r="L257" s="100" t="n">
        <x:f>IF(I257,G257,"")</x:f>
        <x:v>0.002896294149046275</x:v>
      </x:c>
      <x:c r="M257" s="100" t="n">
        <x:f>IF(I257,F257^2,"")</x:f>
        <x:v>0.000008388519797799687</x:v>
      </x:c>
      <x:c r="N257" s="100" t="n">
        <x:f>IF(I257,F257,"")</x:f>
        <x:v>-0.002896294149046275</x:v>
      </x:c>
      <x:c r="P257" t="n">
        <x:f>J257</x:f>
        <x:v>-0.007632152572161066</x:v>
      </x:c>
      <x:c r="Q257" t="n">
        <x:f>K257</x:f>
        <x:v>-0.01052844672120734</x:v>
      </x:c>
    </x:row>
    <x:row r="258">
      <x:c r="A258" s="99" t="str">
        <x:f>'Raw R'!B252</x:f>
        <x:v>00304</x:v>
      </x:c>
      <x:c r="B258" s="100" t="n">
        <x:f>INDEX('Raw Stations'!$D$2:$D$299,MATCH(A258,'Raw Stations'!$A$2:$A$299,0))</x:f>
        <x:v>-0.009227897213839063</x:v>
      </x:c>
      <x:c r="C258" s="100" t="n">
        <x:f>'Raw R'!L252</x:f>
        <x:v>-0.02874289205374768</x:v>
      </x:c>
      <x:c r="D258" s="100" t="n">
        <x:f>$B$2</x:f>
        <x:v>-0.01791329208576473</x:v>
      </x:c>
      <x:c r="E258" s="100" t="n">
        <x:f>C258-D258</x:f>
        <x:v>-0.01082959996798295</x:v>
      </x:c>
      <x:c r="F258" s="100" t="n">
        <x:f>E258-B258</x:f>
        <x:v>-0.0016017027541438862</x:v>
      </x:c>
      <x:c r="G258" s="100" t="n">
        <x:f>ABS(F258)</x:f>
        <x:v>0.0016017027541438862</x:v>
      </x:c>
      <x:c r="H258" s="100" t="n">
        <x:f>'Raw R'!N252</x:f>
        <x:v>0.9367047164034458</x:v>
      </x:c>
      <x:c r="I258" t="b">
        <x:f>'Raw R'!O252</x:f>
        <x:v>1</x:v>
      </x:c>
      <x:c r="J258" s="100" t="n">
        <x:f>IF(I258,B258,"")</x:f>
        <x:v>-0.009227897213839063</x:v>
      </x:c>
      <x:c r="K258" s="100" t="n">
        <x:f>IF(I258,E258,"")</x:f>
        <x:v>-0.01082959996798295</x:v>
      </x:c>
      <x:c r="L258" s="100" t="n">
        <x:f>IF(I258,G258,"")</x:f>
        <x:v>0.0016017027541438862</x:v>
      </x:c>
      <x:c r="M258" s="100" t="n">
        <x:f>IF(I258,F258^2,"")</x:f>
        <x:v>0.00000256545171263211</x:v>
      </x:c>
      <x:c r="N258" s="100" t="n">
        <x:f>IF(I258,F258,"")</x:f>
        <x:v>-0.0016017027541438862</x:v>
      </x:c>
      <x:c r="P258" t="n">
        <x:f>J258</x:f>
        <x:v>-0.009227897213839063</x:v>
      </x:c>
      <x:c r="Q258" t="n">
        <x:f>K258</x:f>
        <x:v>-0.01082959996798295</x:v>
      </x:c>
    </x:row>
    <x:row r="259">
      <x:c r="A259" s="99" t="str">
        <x:f>'Raw R'!B253</x:f>
        <x:v>00305</x:v>
      </x:c>
      <x:c r="B259" s="100" t="n">
        <x:f>INDEX('Raw Stations'!$D$2:$D$299,MATCH(A259,'Raw Stations'!$A$2:$A$299,0))</x:f>
        <x:v>-0.007286080607572465</x:v>
      </x:c>
      <x:c r="C259" s="100" t="n">
        <x:f>'Raw R'!L253</x:f>
        <x:v>-0.02841347854407072</x:v>
      </x:c>
      <x:c r="D259" s="100" t="n">
        <x:f>$B$2</x:f>
        <x:v>-0.01791329208576473</x:v>
      </x:c>
      <x:c r="E259" s="100" t="n">
        <x:f>C259-D259</x:f>
        <x:v>-0.010500186458305992</x:v>
      </x:c>
      <x:c r="F259" s="100" t="n">
        <x:f>E259-B259</x:f>
        <x:v>-0.003214105850733527</x:v>
      </x:c>
      <x:c r="G259" s="100" t="n">
        <x:f>ABS(F259)</x:f>
        <x:v>0.003214105850733527</x:v>
      </x:c>
      <x:c r="H259" s="100" t="n">
        <x:f>'Raw R'!N253</x:f>
        <x:v>0.9299630108411163</x:v>
      </x:c>
      <x:c r="I259" t="b">
        <x:f>'Raw R'!O253</x:f>
        <x:v>1</x:v>
      </x:c>
      <x:c r="J259" s="100" t="n">
        <x:f>IF(I259,B259,"")</x:f>
        <x:v>-0.007286080607572465</x:v>
      </x:c>
      <x:c r="K259" s="100" t="n">
        <x:f>IF(I259,E259,"")</x:f>
        <x:v>-0.010500186458305992</x:v>
      </x:c>
      <x:c r="L259" s="100" t="n">
        <x:f>IF(I259,G259,"")</x:f>
        <x:v>0.003214105850733527</x:v>
      </x:c>
      <x:c r="M259" s="100" t="n">
        <x:f>IF(I259,F259^2,"")</x:f>
        <x:v>0.00001033047641971949</x:v>
      </x:c>
      <x:c r="N259" s="100" t="n">
        <x:f>IF(I259,F259,"")</x:f>
        <x:v>-0.003214105850733527</x:v>
      </x:c>
      <x:c r="P259" t="n">
        <x:f>J259</x:f>
        <x:v>-0.007286080607572465</x:v>
      </x:c>
      <x:c r="Q259" t="n">
        <x:f>K259</x:f>
        <x:v>-0.010500186458305992</x:v>
      </x:c>
    </x:row>
    <x:row r="260">
      <x:c r="A260" s="99" t="str">
        <x:f>'Raw R'!B254</x:f>
        <x:v>00306</x:v>
      </x:c>
      <x:c r="B260" s="100" t="n">
        <x:f>INDEX('Raw Stations'!$D$2:$D$299,MATCH(A260,'Raw Stations'!$A$2:$A$299,0))</x:f>
        <x:v>-0.005222604197269581</x:v>
      </x:c>
      <x:c r="C260" s="100" t="n">
        <x:f>'Raw R'!L254</x:f>
        <x:v>-0.02355196475027521</x:v>
      </x:c>
      <x:c r="D260" s="100" t="n">
        <x:f>$B$2</x:f>
        <x:v>-0.01791329208576473</x:v>
      </x:c>
      <x:c r="E260" s="100" t="n">
        <x:f>C260-D260</x:f>
        <x:v>-0.005638672664510482</x:v>
      </x:c>
      <x:c r="F260" s="100" t="n">
        <x:f>E260-B260</x:f>
        <x:v>-0.0004160684672409008</x:v>
      </x:c>
      <x:c r="G260" s="100" t="n">
        <x:f>ABS(F260)</x:f>
        <x:v>0.0004160684672409008</x:v>
      </x:c>
      <x:c r="H260" s="100" t="n">
        <x:f>'Raw R'!N254</x:f>
        <x:v>0.9842475615458759</x:v>
      </x:c>
      <x:c r="I260" t="b">
        <x:f>'Raw R'!O254</x:f>
        <x:v>1</x:v>
      </x:c>
      <x:c r="J260" s="100" t="n">
        <x:f>IF(I260,B260,"")</x:f>
        <x:v>-0.005222604197269581</x:v>
      </x:c>
      <x:c r="K260" s="100" t="n">
        <x:f>IF(I260,E260,"")</x:f>
        <x:v>-0.005638672664510482</x:v>
      </x:c>
      <x:c r="L260" s="100" t="n">
        <x:f>IF(I260,G260,"")</x:f>
        <x:v>0.0004160684672409008</x:v>
      </x:c>
      <x:c r="M260" s="100" t="n">
        <x:f>IF(I260,F260^2,"")</x:f>
        <x:v>1.7311296943219257e-7</x:v>
      </x:c>
      <x:c r="N260" s="100" t="n">
        <x:f>IF(I260,F260,"")</x:f>
        <x:v>-0.0004160684672409008</x:v>
      </x:c>
      <x:c r="P260" t="n">
        <x:f>J260</x:f>
        <x:v>-0.005222604197269581</x:v>
      </x:c>
      <x:c r="Q260" t="n">
        <x:f>K260</x:f>
        <x:v>-0.005638672664510482</x:v>
      </x:c>
    </x:row>
    <x:row r="261">
      <x:c r="A261" s="99" t="str">
        <x:f>'Raw R'!B255</x:f>
        <x:v>00307</x:v>
      </x:c>
      <x:c r="B261" s="100" t="n">
        <x:f>INDEX('Raw Stations'!$D$2:$D$299,MATCH(A261,'Raw Stations'!$A$2:$A$299,0))</x:f>
        <x:v>-0.006391860789787349</x:v>
      </x:c>
      <x:c r="C261" s="100" t="n">
        <x:f>'Raw R'!L255</x:f>
        <x:v>-0.02805857283004365</x:v>
      </x:c>
      <x:c r="D261" s="100" t="n">
        <x:f>$B$2</x:f>
        <x:v>-0.01791329208576473</x:v>
      </x:c>
      <x:c r="E261" s="100" t="n">
        <x:f>C261-D261</x:f>
        <x:v>-0.01014528074427892</x:v>
      </x:c>
      <x:c r="F261" s="100" t="n">
        <x:f>E261-B261</x:f>
        <x:v>-0.00375341995449157</x:v>
      </x:c>
      <x:c r="G261" s="100" t="n">
        <x:f>ABS(F261)</x:f>
        <x:v>0.00375341995449157</x:v>
      </x:c>
      <x:c r="H261" s="100" t="n">
        <x:f>'Raw R'!N255</x:f>
        <x:v>0.9553038513790657</x:v>
      </x:c>
      <x:c r="I261" t="b">
        <x:f>'Raw R'!O255</x:f>
        <x:v>1</x:v>
      </x:c>
      <x:c r="J261" s="100" t="n">
        <x:f>IF(I261,B261,"")</x:f>
        <x:v>-0.006391860789787349</x:v>
      </x:c>
      <x:c r="K261" s="100" t="n">
        <x:f>IF(I261,E261,"")</x:f>
        <x:v>-0.01014528074427892</x:v>
      </x:c>
      <x:c r="L261" s="100" t="n">
        <x:f>IF(I261,G261,"")</x:f>
        <x:v>0.00375341995449157</x:v>
      </x:c>
      <x:c r="M261" s="100" t="n">
        <x:f>IF(I261,F261^2,"")</x:f>
        <x:v>0.0000140881613547755</x:v>
      </x:c>
      <x:c r="N261" s="100" t="n">
        <x:f>IF(I261,F261,"")</x:f>
        <x:v>-0.00375341995449157</x:v>
      </x:c>
      <x:c r="P261" t="n">
        <x:f>J261</x:f>
        <x:v>-0.006391860789787349</x:v>
      </x:c>
      <x:c r="Q261" t="n">
        <x:f>K261</x:f>
        <x:v>-0.01014528074427892</x:v>
      </x:c>
    </x:row>
    <x:row r="262">
      <x:c r="A262" s="99" t="str">
        <x:f>'Raw R'!B256</x:f>
        <x:v>00308</x:v>
      </x:c>
      <x:c r="B262" s="100" t="n">
        <x:f>INDEX('Raw Stations'!$D$2:$D$299,MATCH(A262,'Raw Stations'!$A$2:$A$299,0))</x:f>
        <x:v>-0.008879709383879948</x:v>
      </x:c>
      <x:c r="C262" s="100" t="n">
        <x:f>'Raw R'!L256</x:f>
        <x:v>-0.02739005790941743</x:v>
      </x:c>
      <x:c r="D262" s="100" t="n">
        <x:f>$B$2</x:f>
        <x:v>-0.01791329208576473</x:v>
      </x:c>
      <x:c r="E262" s="100" t="n">
        <x:f>C262-D262</x:f>
        <x:v>-0.0094767658236527</x:v>
      </x:c>
      <x:c r="F262" s="100" t="n">
        <x:f>E262-B262</x:f>
        <x:v>-0.0005970564397727515</x:v>
      </x:c>
      <x:c r="G262" s="100" t="n">
        <x:f>ABS(F262)</x:f>
        <x:v>0.0005970564397727515</x:v>
      </x:c>
      <x:c r="H262" s="100" t="n">
        <x:f>'Raw R'!N256</x:f>
        <x:v>0.9661799013462268</x:v>
      </x:c>
      <x:c r="I262" t="b">
        <x:f>'Raw R'!O256</x:f>
        <x:v>1</x:v>
      </x:c>
      <x:c r="J262" s="100" t="n">
        <x:f>IF(I262,B262,"")</x:f>
        <x:v>-0.008879709383879948</x:v>
      </x:c>
      <x:c r="K262" s="100" t="n">
        <x:f>IF(I262,E262,"")</x:f>
        <x:v>-0.0094767658236527</x:v>
      </x:c>
      <x:c r="L262" s="100" t="n">
        <x:f>IF(I262,G262,"")</x:f>
        <x:v>0.0005970564397727515</x:v>
      </x:c>
      <x:c r="M262" s="100" t="n">
        <x:f>IF(I262,F262^2,"")</x:f>
        <x:v>3.5647639227411327e-7</x:v>
      </x:c>
      <x:c r="N262" s="100" t="n">
        <x:f>IF(I262,F262,"")</x:f>
        <x:v>-0.0005970564397727515</x:v>
      </x:c>
      <x:c r="P262" t="n">
        <x:f>J262</x:f>
        <x:v>-0.008879709383879948</x:v>
      </x:c>
      <x:c r="Q262" t="n">
        <x:f>K262</x:f>
        <x:v>-0.0094767658236527</x:v>
      </x:c>
    </x:row>
    <x:row r="263">
      <x:c r="A263" s="99" t="str">
        <x:f>'Raw R'!B257</x:f>
        <x:v>00309</x:v>
      </x:c>
      <x:c r="B263" s="100" t="n">
        <x:f>INDEX('Raw Stations'!$D$2:$D$299,MATCH(A263,'Raw Stations'!$A$2:$A$299,0))</x:f>
        <x:v>-0.01297163802101553</x:v>
      </x:c>
      <x:c r="C263" s="100" t="n">
        <x:f>'Raw R'!L257</x:f>
        <x:v>-0.03621880615849463</x:v>
      </x:c>
      <x:c r="D263" s="100" t="n">
        <x:f>$B$2</x:f>
        <x:v>-0.01791329208576473</x:v>
      </x:c>
      <x:c r="E263" s="100" t="n">
        <x:f>C263-D263</x:f>
        <x:v>-0.018305514072729904</x:v>
      </x:c>
      <x:c r="F263" s="100" t="n">
        <x:f>E263-B263</x:f>
        <x:v>-0.005333876051714374</x:v>
      </x:c>
      <x:c r="G263" s="100" t="n">
        <x:f>ABS(F263)</x:f>
        <x:v>0.005333876051714374</x:v>
      </x:c>
      <x:c r="H263" s="100" t="n">
        <x:f>'Raw R'!N257</x:f>
        <x:v>0.9657953922504657</x:v>
      </x:c>
      <x:c r="I263" t="b">
        <x:f>'Raw R'!O257</x:f>
        <x:v>1</x:v>
      </x:c>
      <x:c r="J263" s="100" t="n">
        <x:f>IF(I263,B263,"")</x:f>
        <x:v>-0.01297163802101553</x:v>
      </x:c>
      <x:c r="K263" s="100" t="n">
        <x:f>IF(I263,E263,"")</x:f>
        <x:v>-0.018305514072729904</x:v>
      </x:c>
      <x:c r="L263" s="100" t="n">
        <x:f>IF(I263,G263,"")</x:f>
        <x:v>0.005333876051714374</x:v>
      </x:c>
      <x:c r="M263" s="100" t="n">
        <x:f>IF(I263,F263^2,"")</x:f>
        <x:v>0.000028450233735052116</x:v>
      </x:c>
      <x:c r="N263" s="100" t="n">
        <x:f>IF(I263,F263,"")</x:f>
        <x:v>-0.005333876051714374</x:v>
      </x:c>
      <x:c r="P263" t="n">
        <x:f>J263</x:f>
        <x:v>-0.01297163802101553</x:v>
      </x:c>
      <x:c r="Q263" t="n">
        <x:f>K263</x:f>
        <x:v>-0.018305514072729904</x:v>
      </x:c>
    </x:row>
    <x:row r="264">
      <x:c r="A264" s="99" t="str">
        <x:f>'Raw R'!B258</x:f>
        <x:v>00310</x:v>
      </x:c>
      <x:c r="B264" s="100" t="n">
        <x:f>INDEX('Raw Stations'!$D$2:$D$299,MATCH(A264,'Raw Stations'!$A$2:$A$299,0))</x:f>
        <x:v>-0.01048909489834837</x:v>
      </x:c>
      <x:c r="C264" s="100" t="n">
        <x:f>'Raw R'!L258</x:f>
        <x:v>-0.03166145398070933</x:v>
      </x:c>
      <x:c r="D264" s="100" t="n">
        <x:f>$B$2</x:f>
        <x:v>-0.01791329208576473</x:v>
      </x:c>
      <x:c r="E264" s="100" t="n">
        <x:f>C264-D264</x:f>
        <x:v>-0.013748161894944603</x:v>
      </x:c>
      <x:c r="F264" s="100" t="n">
        <x:f>E264-B264</x:f>
        <x:v>-0.0032590669965962323</x:v>
      </x:c>
      <x:c r="G264" s="100" t="n">
        <x:f>ABS(F264)</x:f>
        <x:v>0.0032590669965962323</x:v>
      </x:c>
      <x:c r="H264" s="100" t="n">
        <x:f>'Raw R'!N258</x:f>
        <x:v>0.9945929341160968</x:v>
      </x:c>
      <x:c r="I264" t="b">
        <x:f>'Raw R'!O258</x:f>
        <x:v>1</x:v>
      </x:c>
      <x:c r="J264" s="100" t="n">
        <x:f>IF(I264,B264,"")</x:f>
        <x:v>-0.01048909489834837</x:v>
      </x:c>
      <x:c r="K264" s="100" t="n">
        <x:f>IF(I264,E264,"")</x:f>
        <x:v>-0.013748161894944603</x:v>
      </x:c>
      <x:c r="L264" s="100" t="n">
        <x:f>IF(I264,G264,"")</x:f>
        <x:v>0.0032590669965962323</x:v>
      </x:c>
      <x:c r="M264" s="100" t="n">
        <x:f>IF(I264,F264^2,"")</x:f>
        <x:v>0.000010621517688302786</x:v>
      </x:c>
      <x:c r="N264" s="100" t="n">
        <x:f>IF(I264,F264,"")</x:f>
        <x:v>-0.0032590669965962323</x:v>
      </x:c>
      <x:c r="P264" t="n">
        <x:f>J264</x:f>
        <x:v>-0.01048909489834837</x:v>
      </x:c>
      <x:c r="Q264" t="n">
        <x:f>K264</x:f>
        <x:v>-0.013748161894944603</x:v>
      </x:c>
    </x:row>
    <x:row r="265">
      <x:c r="A265" s="99" t="str">
        <x:f>'Raw R'!B259</x:f>
        <x:v>00311</x:v>
      </x:c>
      <x:c r="B265" s="100" t="n">
        <x:f>INDEX('Raw Stations'!$D$2:$D$299,MATCH(A265,'Raw Stations'!$A$2:$A$299,0))</x:f>
        <x:v>-0.01217582325691082</x:v>
      </x:c>
      <x:c r="C265" s="100" t="n">
        <x:f>'Raw R'!L259</x:f>
        <x:v>-0.03718504824496152</x:v>
      </x:c>
      <x:c r="D265" s="100" t="n">
        <x:f>$B$2</x:f>
        <x:v>-0.01791329208576473</x:v>
      </x:c>
      <x:c r="E265" s="100" t="n">
        <x:f>C265-D265</x:f>
        <x:v>-0.019271756159196792</x:v>
      </x:c>
      <x:c r="F265" s="100" t="n">
        <x:f>E265-B265</x:f>
        <x:v>-0.007095932902285973</x:v>
      </x:c>
      <x:c r="G265" s="100" t="n">
        <x:f>ABS(F265)</x:f>
        <x:v>0.007095932902285973</x:v>
      </x:c>
      <x:c r="H265" s="100" t="n">
        <x:f>'Raw R'!N259</x:f>
        <x:v>0.9877930105593674</x:v>
      </x:c>
      <x:c r="I265" t="b">
        <x:f>'Raw R'!O259</x:f>
        <x:v>1</x:v>
      </x:c>
      <x:c r="J265" s="100" t="n">
        <x:f>IF(I265,B265,"")</x:f>
        <x:v>-0.01217582325691082</x:v>
      </x:c>
      <x:c r="K265" s="100" t="n">
        <x:f>IF(I265,E265,"")</x:f>
        <x:v>-0.019271756159196792</x:v>
      </x:c>
      <x:c r="L265" s="100" t="n">
        <x:f>IF(I265,G265,"")</x:f>
        <x:v>0.007095932902285973</x:v>
      </x:c>
      <x:c r="M265" s="100" t="n">
        <x:f>IF(I265,F265^2,"")</x:f>
        <x:v>0.00005035226375374463</x:v>
      </x:c>
      <x:c r="N265" s="100" t="n">
        <x:f>IF(I265,F265,"")</x:f>
        <x:v>-0.007095932902285973</x:v>
      </x:c>
      <x:c r="P265" t="n">
        <x:f>J265</x:f>
        <x:v>-0.01217582325691082</x:v>
      </x:c>
      <x:c r="Q265" t="n">
        <x:f>K265</x:f>
        <x:v>-0.019271756159196792</x:v>
      </x:c>
    </x:row>
    <x:row r="266">
      <x:c r="A266" s="99" t="str">
        <x:f>'Raw R'!B260</x:f>
        <x:v>00313</x:v>
      </x:c>
      <x:c r="B266" s="100" t="n">
        <x:f>INDEX('Raw Stations'!$D$2:$D$299,MATCH(A266,'Raw Stations'!$A$2:$A$299,0))</x:f>
        <x:v>-0.01162155019804093</x:v>
      </x:c>
      <x:c r="C266" s="100" t="n">
        <x:f>'Raw R'!L260</x:f>
        <x:v>-0.02286871833552001</x:v>
      </x:c>
      <x:c r="D266" s="100" t="n">
        <x:f>$B$2</x:f>
        <x:v>-0.01791329208576473</x:v>
      </x:c>
      <x:c r="E266" s="100" t="n">
        <x:f>C266-D266</x:f>
        <x:v>-0.004955426249755281</x:v>
      </x:c>
      <x:c r="F266" s="100" t="n">
        <x:f>E266-B266</x:f>
        <x:v>0.006666123948285649</x:v>
      </x:c>
      <x:c r="G266" s="100" t="n">
        <x:f>ABS(F266)</x:f>
        <x:v>0.006666123948285649</x:v>
      </x:c>
      <x:c r="H266" s="100" t="n">
        <x:f>'Raw R'!N260</x:f>
        <x:v>0.9497486485737994</x:v>
      </x:c>
      <x:c r="I266" t="b">
        <x:f>'Raw R'!O260</x:f>
        <x:v>1</x:v>
      </x:c>
      <x:c r="J266" s="100" t="n">
        <x:f>IF(I266,B266,"")</x:f>
        <x:v>-0.01162155019804093</x:v>
      </x:c>
      <x:c r="K266" s="100" t="n">
        <x:f>IF(I266,E266,"")</x:f>
        <x:v>-0.004955426249755281</x:v>
      </x:c>
      <x:c r="L266" s="100" t="n">
        <x:f>IF(I266,G266,"")</x:f>
        <x:v>0.006666123948285649</x:v>
      </x:c>
      <x:c r="M266" s="100" t="n">
        <x:f>IF(I266,F266^2,"")</x:f>
        <x:v>0.00004443720849390745</x:v>
      </x:c>
      <x:c r="N266" s="100" t="n">
        <x:f>IF(I266,F266,"")</x:f>
        <x:v>0.006666123948285649</x:v>
      </x:c>
      <x:c r="P266" t="n">
        <x:f>J266</x:f>
        <x:v>-0.01162155019804093</x:v>
      </x:c>
      <x:c r="Q266" t="n">
        <x:f>K266</x:f>
        <x:v>-0.004955426249755281</x:v>
      </x:c>
    </x:row>
    <x:row r="267">
      <x:c r="A267" s="99" t="str">
        <x:f>'Raw R'!B261</x:f>
        <x:v>00314</x:v>
      </x:c>
      <x:c r="B267" s="100" t="n">
        <x:f>INDEX('Raw Stations'!$D$2:$D$299,MATCH(A267,'Raw Stations'!$A$2:$A$299,0))</x:f>
        <x:v>-0.01232253564984412</x:v>
      </x:c>
      <x:c r="C267" s="100" t="n">
        <x:f>'Raw R'!L261</x:f>
        <x:v>-0.02614607155889254</x:v>
      </x:c>
      <x:c r="D267" s="100" t="n">
        <x:f>$B$2</x:f>
        <x:v>-0.01791329208576473</x:v>
      </x:c>
      <x:c r="E267" s="100" t="n">
        <x:f>C267-D267</x:f>
        <x:v>-0.00823277947312781</x:v>
      </x:c>
      <x:c r="F267" s="100" t="n">
        <x:f>E267-B267</x:f>
        <x:v>0.00408975617671631</x:v>
      </x:c>
      <x:c r="G267" s="100" t="n">
        <x:f>ABS(F267)</x:f>
        <x:v>0.00408975617671631</x:v>
      </x:c>
      <x:c r="H267" s="100" t="n">
        <x:f>'Raw R'!N261</x:f>
        <x:v>0.9604458161783775</x:v>
      </x:c>
      <x:c r="I267" t="b">
        <x:f>'Raw R'!O261</x:f>
        <x:v>1</x:v>
      </x:c>
      <x:c r="J267" s="100" t="n">
        <x:f>IF(I267,B267,"")</x:f>
        <x:v>-0.01232253564984412</x:v>
      </x:c>
      <x:c r="K267" s="100" t="n">
        <x:f>IF(I267,E267,"")</x:f>
        <x:v>-0.00823277947312781</x:v>
      </x:c>
      <x:c r="L267" s="100" t="n">
        <x:f>IF(I267,G267,"")</x:f>
        <x:v>0.00408975617671631</x:v>
      </x:c>
      <x:c r="M267" s="100" t="n">
        <x:f>IF(I267,F267^2,"")</x:f>
        <x:v>0.00001672610558498921</x:v>
      </x:c>
      <x:c r="N267" s="100" t="n">
        <x:f>IF(I267,F267,"")</x:f>
        <x:v>0.00408975617671631</x:v>
      </x:c>
      <x:c r="P267" t="n">
        <x:f>J267</x:f>
        <x:v>-0.01232253564984412</x:v>
      </x:c>
      <x:c r="Q267" t="n">
        <x:f>K267</x:f>
        <x:v>-0.00823277947312781</x:v>
      </x:c>
    </x:row>
    <x:row r="268">
      <x:c r="A268" s="99" t="str">
        <x:f>'Raw R'!B262</x:f>
        <x:v>00315</x:v>
      </x:c>
      <x:c r="B268" s="100" t="n">
        <x:f>INDEX('Raw Stations'!$D$2:$D$299,MATCH(A268,'Raw Stations'!$A$2:$A$299,0))</x:f>
        <x:v>-0.0150380115223602</x:v>
      </x:c>
      <x:c r="C268" s="100" t="n">
        <x:f>'Raw R'!L262</x:f>
        <x:v>-0.03028517965983929</x:v>
      </x:c>
      <x:c r="D268" s="100" t="n">
        <x:f>$B$2</x:f>
        <x:v>-0.01791329208576473</x:v>
      </x:c>
      <x:c r="E268" s="100" t="n">
        <x:f>C268-D268</x:f>
        <x:v>-0.01237188757407456</x:v>
      </x:c>
      <x:c r="F268" s="100" t="n">
        <x:f>E268-B268</x:f>
        <x:v>0.0026661239482856404</x:v>
      </x:c>
      <x:c r="G268" s="100" t="n">
        <x:f>ABS(F268)</x:f>
        <x:v>0.0026661239482856404</x:v>
      </x:c>
      <x:c r="H268" s="100" t="n">
        <x:f>'Raw R'!N262</x:f>
        <x:v>0.9908899770987375</x:v>
      </x:c>
      <x:c r="I268" t="b">
        <x:f>'Raw R'!O262</x:f>
        <x:v>1</x:v>
      </x:c>
      <x:c r="J268" s="100" t="n">
        <x:f>IF(I268,B268,"")</x:f>
        <x:v>-0.0150380115223602</x:v>
      </x:c>
      <x:c r="K268" s="100" t="n">
        <x:f>IF(I268,E268,"")</x:f>
        <x:v>-0.01237188757407456</x:v>
      </x:c>
      <x:c r="L268" s="100" t="n">
        <x:f>IF(I268,G268,"")</x:f>
        <x:v>0.0026661239482856404</x:v>
      </x:c>
      <x:c r="M268" s="100" t="n">
        <x:f>IF(I268,F268^2,"")</x:f>
        <x:v>0.000007108216907622212</x:v>
      </x:c>
      <x:c r="N268" s="100" t="n">
        <x:f>IF(I268,F268,"")</x:f>
        <x:v>0.0026661239482856404</x:v>
      </x:c>
      <x:c r="P268" t="n">
        <x:f>J268</x:f>
        <x:v>-0.0150380115223602</x:v>
      </x:c>
      <x:c r="Q268" t="n">
        <x:f>K268</x:f>
        <x:v>-0.01237188757407456</x:v>
      </x:c>
    </x:row>
    <x:row r="269">
      <x:c r="A269" s="99" t="str">
        <x:f>'Raw R'!B263</x:f>
        <x:v>00316</x:v>
      </x:c>
      <x:c r="B269" s="100" t="n">
        <x:f>INDEX('Raw Stations'!$D$2:$D$299,MATCH(A269,'Raw Stations'!$A$2:$A$299,0))</x:f>
        <x:v>-0.01388372554994194</x:v>
      </x:c>
      <x:c r="C269" s="100" t="n">
        <x:f>'Raw R'!L263</x:f>
        <x:v>-0.02513089368742102</x:v>
      </x:c>
      <x:c r="D269" s="100" t="n">
        <x:f>$B$2</x:f>
        <x:v>-0.01791329208576473</x:v>
      </x:c>
      <x:c r="E269" s="100" t="n">
        <x:f>C269-D269</x:f>
        <x:v>-0.007217601601656291</x:v>
      </x:c>
      <x:c r="F269" s="100" t="n">
        <x:f>E269-B269</x:f>
        <x:v>0.006666123948285649</x:v>
      </x:c>
      <x:c r="G269" s="100" t="n">
        <x:f>ABS(F269)</x:f>
        <x:v>0.006666123948285649</x:v>
      </x:c>
      <x:c r="H269" s="100" t="n">
        <x:f>'Raw R'!N263</x:f>
        <x:v>0.958173705516339</x:v>
      </x:c>
      <x:c r="I269" t="b">
        <x:f>'Raw R'!O263</x:f>
        <x:v>1</x:v>
      </x:c>
      <x:c r="J269" s="100" t="n">
        <x:f>IF(I269,B269,"")</x:f>
        <x:v>-0.01388372554994194</x:v>
      </x:c>
      <x:c r="K269" s="100" t="n">
        <x:f>IF(I269,E269,"")</x:f>
        <x:v>-0.007217601601656291</x:v>
      </x:c>
      <x:c r="L269" s="100" t="n">
        <x:f>IF(I269,G269,"")</x:f>
        <x:v>0.006666123948285649</x:v>
      </x:c>
      <x:c r="M269" s="100" t="n">
        <x:f>IF(I269,F269^2,"")</x:f>
        <x:v>0.00004443720849390745</x:v>
      </x:c>
      <x:c r="N269" s="100" t="n">
        <x:f>IF(I269,F269,"")</x:f>
        <x:v>0.006666123948285649</x:v>
      </x:c>
      <x:c r="P269" t="n">
        <x:f>J269</x:f>
        <x:v>-0.01388372554994194</x:v>
      </x:c>
      <x:c r="Q269" t="n">
        <x:f>K269</x:f>
        <x:v>-0.007217601601656291</x:v>
      </x:c>
    </x:row>
    <x:row r="270">
      <x:c r="A270" s="99" t="str">
        <x:f>'Raw R'!B264</x:f>
        <x:v>00317</x:v>
      </x:c>
      <x:c r="B270" s="100" t="n">
        <x:f>INDEX('Raw Stations'!$D$2:$D$299,MATCH(A270,'Raw Stations'!$A$2:$A$299,0))</x:f>
        <x:v>-0.01623471446340402</x:v>
      </x:c>
      <x:c r="C270" s="100" t="n">
        <x:f>'Raw R'!L264</x:f>
        <x:v>-0.02698611094205569</x:v>
      </x:c>
      <x:c r="D270" s="100" t="n">
        <x:f>$B$2</x:f>
        <x:v>-0.01791329208576473</x:v>
      </x:c>
      <x:c r="E270" s="100" t="n">
        <x:f>C270-D270</x:f>
        <x:v>-0.009072818856290962</x:v>
      </x:c>
      <x:c r="F270" s="100" t="n">
        <x:f>E270-B270</x:f>
        <x:v>0.007161895607113059</x:v>
      </x:c>
      <x:c r="G270" s="100" t="n">
        <x:f>ABS(F270)</x:f>
        <x:v>0.007161895607113059</x:v>
      </x:c>
      <x:c r="H270" s="100" t="n">
        <x:f>'Raw R'!N264</x:f>
        <x:v>0.9373176949184584</x:v>
      </x:c>
      <x:c r="I270" t="b">
        <x:f>'Raw R'!O264</x:f>
        <x:v>1</x:v>
      </x:c>
      <x:c r="J270" s="100" t="n">
        <x:f>IF(I270,B270,"")</x:f>
        <x:v>-0.01623471446340402</x:v>
      </x:c>
      <x:c r="K270" s="100" t="n">
        <x:f>IF(I270,E270,"")</x:f>
        <x:v>-0.009072818856290962</x:v>
      </x:c>
      <x:c r="L270" s="100" t="n">
        <x:f>IF(I270,G270,"")</x:f>
        <x:v>0.007161895607113059</x:v>
      </x:c>
      <x:c r="M270" s="100" t="n">
        <x:f>IF(I270,F270^2,"")</x:f>
        <x:v>0.00005129274868718534</x:v>
      </x:c>
      <x:c r="N270" s="100" t="n">
        <x:f>IF(I270,F270,"")</x:f>
        <x:v>0.007161895607113059</x:v>
      </x:c>
      <x:c r="P270" t="n">
        <x:f>J270</x:f>
        <x:v>-0.01623471446340402</x:v>
      </x:c>
      <x:c r="Q270" t="n">
        <x:f>K270</x:f>
        <x:v>-0.009072818856290962</x:v>
      </x:c>
    </x:row>
    <x:row r="271">
      <x:c r="A271" s="99" t="str">
        <x:f>'Raw R'!B265</x:f>
        <x:v>00318</x:v>
      </x:c>
      <x:c r="B271" s="100" t="n">
        <x:f>INDEX('Raw Stations'!$D$2:$D$299,MATCH(A271,'Raw Stations'!$A$2:$A$299,0))</x:f>
        <x:v>-0.006664318881921125</x:v>
      </x:c>
      <x:c r="C271" s="100" t="n">
        <x:f>'Raw R'!L265</x:f>
        <x:v>-0.02775369822117579</x:v>
      </x:c>
      <x:c r="D271" s="100" t="n">
        <x:f>$B$2</x:f>
        <x:v>-0.01791329208576473</x:v>
      </x:c>
      <x:c r="E271" s="100" t="n">
        <x:f>C271-D271</x:f>
        <x:v>-0.00984040613541106</x:v>
      </x:c>
      <x:c r="F271" s="100" t="n">
        <x:f>E271-B271</x:f>
        <x:v>-0.003176087253489935</x:v>
      </x:c>
      <x:c r="G271" s="100" t="n">
        <x:f>ABS(F271)</x:f>
        <x:v>0.003176087253489935</x:v>
      </x:c>
      <x:c r="H271" s="100" t="n">
        <x:f>'Raw R'!N265</x:f>
        <x:v>0.9517868045532947</x:v>
      </x:c>
      <x:c r="I271" t="b">
        <x:f>'Raw R'!O265</x:f>
        <x:v>1</x:v>
      </x:c>
      <x:c r="J271" s="100" t="n">
        <x:f>IF(I271,B271,"")</x:f>
        <x:v>-0.006664318881921125</x:v>
      </x:c>
      <x:c r="K271" s="100" t="n">
        <x:f>IF(I271,E271,"")</x:f>
        <x:v>-0.00984040613541106</x:v>
      </x:c>
      <x:c r="L271" s="100" t="n">
        <x:f>IF(I271,G271,"")</x:f>
        <x:v>0.003176087253489935</x:v>
      </x:c>
      <x:c r="M271" s="100" t="n">
        <x:f>IF(I271,F271^2,"")</x:f>
        <x:v>0.000010087530241781238</x:v>
      </x:c>
      <x:c r="N271" s="100" t="n">
        <x:f>IF(I271,F271,"")</x:f>
        <x:v>-0.003176087253489935</x:v>
      </x:c>
      <x:c r="P271" t="n">
        <x:f>J271</x:f>
        <x:v>-0.006664318881921125</x:v>
      </x:c>
      <x:c r="Q271" t="n">
        <x:f>K271</x:f>
        <x:v>-0.00984040613541106</x:v>
      </x:c>
    </x:row>
    <x:row r="272">
      <x:c r="A272" s="99" t="str">
        <x:f>'Raw R'!B266</x:f>
        <x:v>00319</x:v>
      </x:c>
      <x:c r="B272" s="100" t="n">
        <x:f>INDEX('Raw Stations'!$D$2:$D$299,MATCH(A272,'Raw Stations'!$A$2:$A$299,0))</x:f>
        <x:v>0.01280611520055321</x:v>
      </x:c>
      <x:c r="C272" s="100" t="n">
        <x:f>'Raw R'!L266</x:f>
        <x:v>-0.007652428442786935</x:v>
      </x:c>
      <x:c r="D272" s="100" t="n">
        <x:f>$B$2</x:f>
        <x:v>-0.01791329208576473</x:v>
      </x:c>
      <x:c r="E272" s="100" t="n">
        <x:f>C272-D272</x:f>
        <x:v>0.010260863642977795</x:v>
      </x:c>
      <x:c r="F272" s="100" t="n">
        <x:f>E272-B272</x:f>
        <x:v>-0.0025452515575754148</x:v>
      </x:c>
      <x:c r="G272" s="100" t="n">
        <x:f>ABS(F272)</x:f>
        <x:v>0.0025452515575754148</x:v>
      </x:c>
      <x:c r="H272" s="100" t="n">
        <x:f>'Raw R'!N266</x:f>
        <x:v>0.9720601475938009</x:v>
      </x:c>
      <x:c r="I272" t="b">
        <x:f>'Raw R'!O266</x:f>
        <x:v>1</x:v>
      </x:c>
      <x:c r="J272" s="100" t="n">
        <x:f>IF(I272,B272,"")</x:f>
        <x:v>0.01280611520055321</x:v>
      </x:c>
      <x:c r="K272" s="100" t="n">
        <x:f>IF(I272,E272,"")</x:f>
        <x:v>0.010260863642977795</x:v>
      </x:c>
      <x:c r="L272" s="100" t="n">
        <x:f>IF(I272,G272,"")</x:f>
        <x:v>0.0025452515575754148</x:v>
      </x:c>
      <x:c r="M272" s="100" t="n">
        <x:f>IF(I272,F272^2,"")</x:f>
        <x:v>0.000006478305491340075</x:v>
      </x:c>
      <x:c r="N272" s="100" t="n">
        <x:f>IF(I272,F272,"")</x:f>
        <x:v>-0.0025452515575754148</x:v>
      </x:c>
      <x:c r="P272" t="n">
        <x:f>J272</x:f>
        <x:v>0.01280611520055321</x:v>
      </x:c>
      <x:c r="Q272" t="n">
        <x:f>K272</x:f>
        <x:v>0.010260863642977795</x:v>
      </x:c>
    </x:row>
    <x:row r="273">
      <x:c r="A273" s="99" t="str">
        <x:f>'Raw R'!B267</x:f>
        <x:v>00320</x:v>
      </x:c>
      <x:c r="B273" s="100" t="n">
        <x:f>INDEX('Raw Stations'!$D$2:$D$299,MATCH(A273,'Raw Stations'!$A$2:$A$299,0))</x:f>
        <x:v>0.01875491672152585</x:v>
      </x:c>
      <x:c r="C273" s="100" t="n">
        <x:f>'Raw R'!L267</x:f>
        <x:v>-0.006410499812216003</x:v>
      </x:c>
      <x:c r="D273" s="100" t="n">
        <x:f>$B$2</x:f>
        <x:v>-0.01791329208576473</x:v>
      </x:c>
      <x:c r="E273" s="100" t="n">
        <x:f>C273-D273</x:f>
        <x:v>0.011502792273548727</x:v>
      </x:c>
      <x:c r="F273" s="100" t="n">
        <x:f>E273-B273</x:f>
        <x:v>-0.007252124447977123</x:v>
      </x:c>
      <x:c r="G273" s="100" t="n">
        <x:f>ABS(F273)</x:f>
        <x:v>0.007252124447977123</x:v>
      </x:c>
      <x:c r="H273" s="100" t="n">
        <x:f>'Raw R'!N267</x:f>
        <x:v>0.953191525385019</x:v>
      </x:c>
      <x:c r="I273" t="b">
        <x:f>'Raw R'!O267</x:f>
        <x:v>1</x:v>
      </x:c>
      <x:c r="J273" s="100" t="n">
        <x:f>IF(I273,B273,"")</x:f>
        <x:v>0.01875491672152585</x:v>
      </x:c>
      <x:c r="K273" s="100" t="n">
        <x:f>IF(I273,E273,"")</x:f>
        <x:v>0.011502792273548727</x:v>
      </x:c>
      <x:c r="L273" s="100" t="n">
        <x:f>IF(I273,G273,"")</x:f>
        <x:v>0.007252124447977123</x:v>
      </x:c>
      <x:c r="M273" s="100" t="n">
        <x:f>IF(I273,F273^2,"")</x:f>
        <x:v>0.00005259330900894749</x:v>
      </x:c>
      <x:c r="N273" s="100" t="n">
        <x:f>IF(I273,F273,"")</x:f>
        <x:v>-0.007252124447977123</x:v>
      </x:c>
      <x:c r="P273" t="n">
        <x:f>J273</x:f>
        <x:v>0.01875491672152585</x:v>
      </x:c>
      <x:c r="Q273" t="n">
        <x:f>K273</x:f>
        <x:v>0.011502792273548727</x:v>
      </x:c>
    </x:row>
    <x:row r="274">
      <x:c r="A274" s="99" t="str">
        <x:f>'Raw R'!B268</x:f>
        <x:v>00321</x:v>
      </x:c>
      <x:c r="B274" s="100" t="n">
        <x:f>INDEX('Raw Stations'!$D$2:$D$299,MATCH(A274,'Raw Stations'!$A$2:$A$299,0))</x:f>
        <x:v>0.01576642139596362</x:v>
      </x:c>
      <x:c r="C274" s="100" t="n">
        <x:f>'Raw R'!L268</x:f>
        <x:v>-0.006743927129573862</x:v>
      </x:c>
      <x:c r="D274" s="100" t="n">
        <x:f>$B$2</x:f>
        <x:v>-0.01791329208576473</x:v>
      </x:c>
      <x:c r="E274" s="100" t="n">
        <x:f>C274-D274</x:f>
        <x:v>0.011169364956190867</x:v>
      </x:c>
      <x:c r="F274" s="100" t="n">
        <x:f>E274-B274</x:f>
        <x:v>-0.004597056439772752</x:v>
      </x:c>
      <x:c r="G274" s="100" t="n">
        <x:f>ABS(F274)</x:f>
        <x:v>0.004597056439772752</x:v>
      </x:c>
      <x:c r="H274" s="100" t="n">
        <x:f>'Raw R'!N268</x:f>
        <x:v>0.9140803560803825</x:v>
      </x:c>
      <x:c r="I274" t="b">
        <x:f>'Raw R'!O268</x:f>
        <x:v>1</x:v>
      </x:c>
      <x:c r="J274" s="100" t="n">
        <x:f>IF(I274,B274,"")</x:f>
        <x:v>0.01576642139596362</x:v>
      </x:c>
      <x:c r="K274" s="100" t="n">
        <x:f>IF(I274,E274,"")</x:f>
        <x:v>0.011169364956190867</x:v>
      </x:c>
      <x:c r="L274" s="100" t="n">
        <x:f>IF(I274,G274,"")</x:f>
        <x:v>0.004597056439772752</x:v>
      </x:c>
      <x:c r="M274" s="100" t="n">
        <x:f>IF(I274,F274^2,"")</x:f>
        <x:v>0.000021132927910456128</x:v>
      </x:c>
      <x:c r="N274" s="100" t="n">
        <x:f>IF(I274,F274,"")</x:f>
        <x:v>-0.004597056439772752</x:v>
      </x:c>
      <x:c r="P274" t="n">
        <x:f>J274</x:f>
        <x:v>0.01576642139596362</x:v>
      </x:c>
      <x:c r="Q274" t="n">
        <x:f>K274</x:f>
        <x:v>0.011169364956190867</x:v>
      </x:c>
    </x:row>
    <x:row r="275">
      <x:c r="A275" s="99" t="str">
        <x:f>'Raw R'!B269</x:f>
        <x:v>00322</x:v>
      </x:c>
      <x:c r="B275" s="100" t="n">
        <x:f>INDEX('Raw Stations'!$D$2:$D$299,MATCH(A275,'Raw Stations'!$A$2:$A$299,0))</x:f>
        <x:v>-0.0006372080181001293</x:v>
      </x:c>
      <x:c r="C275" s="100" t="n">
        <x:f>'Raw R'!L269</x:f>
        <x:v>-0.02251034852553749</x:v>
      </x:c>
      <x:c r="D275" s="100" t="n">
        <x:f>$B$2</x:f>
        <x:v>-0.01791329208576473</x:v>
      </x:c>
      <x:c r="E275" s="100" t="n">
        <x:f>C275-D275</x:f>
        <x:v>-0.004597056439772762</x:v>
      </x:c>
      <x:c r="F275" s="100" t="n">
        <x:f>E275-B275</x:f>
        <x:v>-0.003959848421672633</x:v>
      </x:c>
      <x:c r="G275" s="100" t="n">
        <x:f>ABS(F275)</x:f>
        <x:v>0.003959848421672633</x:v>
      </x:c>
      <x:c r="H275" s="100" t="n">
        <x:f>'Raw R'!N269</x:f>
        <x:v>0.9342344108402245</x:v>
      </x:c>
      <x:c r="I275" t="b">
        <x:f>'Raw R'!O269</x:f>
        <x:v>1</x:v>
      </x:c>
      <x:c r="J275" s="100" t="n">
        <x:f>IF(I275,B275,"")</x:f>
        <x:v>-0.0006372080181001293</x:v>
      </x:c>
      <x:c r="K275" s="100" t="n">
        <x:f>IF(I275,E275,"")</x:f>
        <x:v>-0.004597056439772762</x:v>
      </x:c>
      <x:c r="L275" s="100" t="n">
        <x:f>IF(I275,G275,"")</x:f>
        <x:v>0.003959848421672633</x:v>
      </x:c>
      <x:c r="M275" s="100" t="n">
        <x:f>IF(I275,F275^2,"")</x:f>
        <x:v>0.000015680399522623242</x:v>
      </x:c>
      <x:c r="N275" s="100" t="n">
        <x:f>IF(I275,F275,"")</x:f>
        <x:v>-0.003959848421672633</x:v>
      </x:c>
      <x:c r="P275" t="n">
        <x:f>J275</x:f>
        <x:v>-0.0006372080181001293</x:v>
      </x:c>
      <x:c r="Q275" t="n">
        <x:f>K275</x:f>
        <x:v>-0.004597056439772762</x:v>
      </x:c>
    </x:row>
    <x:row r="276">
      <x:c r="A276" s="99" t="str">
        <x:f>'Raw R'!B270</x:f>
        <x:v>00323</x:v>
      </x:c>
      <x:c r="B276" s="100" t="n">
        <x:f>INDEX('Raw Stations'!$D$2:$D$299,MATCH(A276,'Raw Stations'!$A$2:$A$299,0))</x:f>
        <x:v>-0.01034861347295235</x:v>
      </x:c>
      <x:c r="C276" s="100" t="n">
        <x:f>'Raw R'!L270</x:f>
        <x:v>-0.03165972890430804</x:v>
      </x:c>
      <x:c r="D276" s="100" t="n">
        <x:f>$B$2</x:f>
        <x:v>-0.01791329208576473</x:v>
      </x:c>
      <x:c r="E276" s="100" t="n">
        <x:f>C276-D276</x:f>
        <x:v>-0.013746436818543314</x:v>
      </x:c>
      <x:c r="F276" s="100" t="n">
        <x:f>E276-B276</x:f>
        <x:v>-0.0033978233455909633</x:v>
      </x:c>
      <x:c r="G276" s="100" t="n">
        <x:f>ABS(F276)</x:f>
        <x:v>0.0033978233455909633</x:v>
      </x:c>
      <x:c r="H276" s="100" t="n">
        <x:f>'Raw R'!N270</x:f>
        <x:v>0.9747229632186853</x:v>
      </x:c>
      <x:c r="I276" t="b">
        <x:f>'Raw R'!O270</x:f>
        <x:v>1</x:v>
      </x:c>
      <x:c r="J276" s="100" t="n">
        <x:f>IF(I276,B276,"")</x:f>
        <x:v>-0.01034861347295235</x:v>
      </x:c>
      <x:c r="K276" s="100" t="n">
        <x:f>IF(I276,E276,"")</x:f>
        <x:v>-0.013746436818543314</x:v>
      </x:c>
      <x:c r="L276" s="100" t="n">
        <x:f>IF(I276,G276,"")</x:f>
        <x:v>0.0033978233455909633</x:v>
      </x:c>
      <x:c r="M276" s="100" t="n">
        <x:f>IF(I276,F276^2,"")</x:f>
        <x:v>0.000011545203487842967</x:v>
      </x:c>
      <x:c r="N276" s="100" t="n">
        <x:f>IF(I276,F276,"")</x:f>
        <x:v>-0.0033978233455909633</x:v>
      </x:c>
      <x:c r="P276" t="n">
        <x:f>J276</x:f>
        <x:v>-0.01034861347295235</x:v>
      </x:c>
      <x:c r="Q276" t="n">
        <x:f>K276</x:f>
        <x:v>-0.013746436818543314</x:v>
      </x:c>
    </x:row>
    <x:row r="277">
      <x:c r="A277" s="99" t="str">
        <x:f>'Raw R'!B271</x:f>
        <x:v>00324</x:v>
      </x:c>
      <x:c r="B277" s="100" t="n">
        <x:f>INDEX('Raw Stations'!$D$2:$D$299,MATCH(A277,'Raw Stations'!$A$2:$A$299,0))</x:f>
        <x:v>-0.01445806259092991</x:v>
      </x:c>
      <x:c r="C277" s="100" t="n">
        <x:f>'Raw R'!L271</x:f>
        <x:v>-0.03633120309836727</x:v>
      </x:c>
      <x:c r="D277" s="100" t="n">
        <x:f>$B$2</x:f>
        <x:v>-0.01791329208576473</x:v>
      </x:c>
      <x:c r="E277" s="100" t="n">
        <x:f>C277-D277</x:f>
        <x:v>-0.018417911012602543</x:v>
      </x:c>
      <x:c r="F277" s="100" t="n">
        <x:f>E277-B277</x:f>
        <x:v>-0.003959848421672633</x:v>
      </x:c>
      <x:c r="G277" s="100" t="n">
        <x:f>ABS(F277)</x:f>
        <x:v>0.003959848421672633</x:v>
      </x:c>
      <x:c r="H277" s="100" t="n">
        <x:f>'Raw R'!N271</x:f>
        <x:v>0.9799130014599998</x:v>
      </x:c>
      <x:c r="I277" t="b">
        <x:f>'Raw R'!O271</x:f>
        <x:v>1</x:v>
      </x:c>
      <x:c r="J277" s="100" t="n">
        <x:f>IF(I277,B277,"")</x:f>
        <x:v>-0.01445806259092991</x:v>
      </x:c>
      <x:c r="K277" s="100" t="n">
        <x:f>IF(I277,E277,"")</x:f>
        <x:v>-0.018417911012602543</x:v>
      </x:c>
      <x:c r="L277" s="100" t="n">
        <x:f>IF(I277,G277,"")</x:f>
        <x:v>0.003959848421672633</x:v>
      </x:c>
      <x:c r="M277" s="100" t="n">
        <x:f>IF(I277,F277^2,"")</x:f>
        <x:v>0.000015680399522623242</x:v>
      </x:c>
      <x:c r="N277" s="100" t="n">
        <x:f>IF(I277,F277,"")</x:f>
        <x:v>-0.003959848421672633</x:v>
      </x:c>
      <x:c r="P277" t="n">
        <x:f>J277</x:f>
        <x:v>-0.01445806259092991</x:v>
      </x:c>
      <x:c r="Q277" t="n">
        <x:f>K277</x:f>
        <x:v>-0.018417911012602543</x:v>
      </x:c>
    </x:row>
    <x:row r="278">
      <x:c r="A278" s="99" t="str">
        <x:f>'Raw R'!B272</x:f>
        <x:v>00325</x:v>
      </x:c>
      <x:c r="B278" s="100" t="n">
        <x:f>INDEX('Raw Stations'!$D$2:$D$299,MATCH(A278,'Raw Stations'!$A$2:$A$299,0))</x:f>
        <x:v>-0.01907000131197036</x:v>
      </x:c>
      <x:c r="C278" s="100" t="n">
        <x:f>'Raw R'!L272</x:f>
        <x:v>-0.03853552791036133</x:v>
      </x:c>
      <x:c r="D278" s="100" t="n">
        <x:f>$B$2</x:f>
        <x:v>-0.01791329208576473</x:v>
      </x:c>
      <x:c r="E278" s="100" t="n">
        <x:f>C278-D278</x:f>
        <x:v>-0.0206222358245966</x:v>
      </x:c>
      <x:c r="F278" s="100" t="n">
        <x:f>E278-B278</x:f>
        <x:v>-0.0015522345126262396</x:v>
      </x:c>
      <x:c r="G278" s="100" t="n">
        <x:f>ABS(F278)</x:f>
        <x:v>0.0015522345126262396</x:v>
      </x:c>
      <x:c r="H278" s="100" t="n">
        <x:f>'Raw R'!N272</x:f>
        <x:v>0.9696663187441503</x:v>
      </x:c>
      <x:c r="I278" t="b">
        <x:f>'Raw R'!O272</x:f>
        <x:v>1</x:v>
      </x:c>
      <x:c r="J278" s="100" t="n">
        <x:f>IF(I278,B278,"")</x:f>
        <x:v>-0.01907000131197036</x:v>
      </x:c>
      <x:c r="K278" s="100" t="n">
        <x:f>IF(I278,E278,"")</x:f>
        <x:v>-0.0206222358245966</x:v>
      </x:c>
      <x:c r="L278" s="100" t="n">
        <x:f>IF(I278,G278,"")</x:f>
        <x:v>0.0015522345126262396</x:v>
      </x:c>
      <x:c r="M278" s="100" t="n">
        <x:f>IF(I278,F278^2,"")</x:f>
        <x:v>0.0000024094319821880196</x:v>
      </x:c>
      <x:c r="N278" s="100" t="n">
        <x:f>IF(I278,F278,"")</x:f>
        <x:v>-0.0015522345126262396</x:v>
      </x:c>
      <x:c r="P278" t="n">
        <x:f>J278</x:f>
        <x:v>-0.01907000131197036</x:v>
      </x:c>
      <x:c r="Q278" t="n">
        <x:f>K278</x:f>
        <x:v>-0.0206222358245966</x:v>
      </x:c>
    </x:row>
    <x:row r="279">
      <x:c r="A279" s="99" t="str">
        <x:f>'Raw R'!B273</x:f>
        <x:v>00326</x:v>
      </x:c>
      <x:c r="B279" s="100" t="n">
        <x:f>INDEX('Raw Stations'!$D$2:$D$299,MATCH(A279,'Raw Stations'!$A$2:$A$299,0))</x:f>
        <x:v>-0.01950310810635052</x:v>
      </x:c>
      <x:c r="C279" s="100" t="n">
        <x:f>'Raw R'!L273</x:f>
        <x:v>-0.03496863470474149</x:v>
      </x:c>
      <x:c r="D279" s="100" t="n">
        <x:f>$B$2</x:f>
        <x:v>-0.01791329208576473</x:v>
      </x:c>
      <x:c r="E279" s="100" t="n">
        <x:f>C279-D279</x:f>
        <x:v>-0.017055342618976763</x:v>
      </x:c>
      <x:c r="F279" s="100" t="n">
        <x:f>E279-B279</x:f>
        <x:v>0.002447765487373757</x:v>
      </x:c>
      <x:c r="G279" s="100" t="n">
        <x:f>ABS(F279)</x:f>
        <x:v>0.002447765487373757</x:v>
      </x:c>
      <x:c r="H279" s="100" t="n">
        <x:f>'Raw R'!N273</x:f>
        <x:v>0.9269416911198186</x:v>
      </x:c>
      <x:c r="I279" t="b">
        <x:f>'Raw R'!O273</x:f>
        <x:v>1</x:v>
      </x:c>
      <x:c r="J279" s="100" t="n">
        <x:f>IF(I279,B279,"")</x:f>
        <x:v>-0.01950310810635052</x:v>
      </x:c>
      <x:c r="K279" s="100" t="n">
        <x:f>IF(I279,E279,"")</x:f>
        <x:v>-0.017055342618976763</x:v>
      </x:c>
      <x:c r="L279" s="100" t="n">
        <x:f>IF(I279,G279,"")</x:f>
        <x:v>0.002447765487373757</x:v>
      </x:c>
      <x:c r="M279" s="100" t="n">
        <x:f>IF(I279,F279^2,"")</x:f>
        <x:v>0.000005991555881178086</x:v>
      </x:c>
      <x:c r="N279" s="100" t="n">
        <x:f>IF(I279,F279,"")</x:f>
        <x:v>0.002447765487373757</x:v>
      </x:c>
      <x:c r="P279" t="n">
        <x:f>J279</x:f>
        <x:v>-0.01950310810635052</x:v>
      </x:c>
      <x:c r="Q279" t="n">
        <x:f>K279</x:f>
        <x:v>-0.017055342618976763</x:v>
      </x:c>
    </x:row>
    <x:row r="280">
      <x:c r="A280" s="99" t="str">
        <x:f>'Raw R'!B274</x:f>
        <x:v>00327</x:v>
      </x:c>
      <x:c r="B280" s="100" t="n">
        <x:f>INDEX('Raw Stations'!$D$2:$D$299,MATCH(A280,'Raw Stations'!$A$2:$A$299,0))</x:f>
        <x:v>-0.01476917863632569</x:v>
      </x:c>
      <x:c r="C280" s="100" t="n">
        <x:f>'Raw R'!L274</x:f>
        <x:v>-0.03487874514226091</x:v>
      </x:c>
      <x:c r="D280" s="100" t="n">
        <x:f>$B$2</x:f>
        <x:v>-0.01791329208576473</x:v>
      </x:c>
      <x:c r="E280" s="100" t="n">
        <x:f>C280-D280</x:f>
        <x:v>-0.016965453056496178</x:v>
      </x:c>
      <x:c r="F280" s="100" t="n">
        <x:f>E280-B280</x:f>
        <x:v>-0.0021962744201704885</x:v>
      </x:c>
      <x:c r="G280" s="100" t="n">
        <x:f>ABS(F280)</x:f>
        <x:v>0.0021962744201704885</x:v>
      </x:c>
      <x:c r="H280" s="100" t="n">
        <x:f>'Raw R'!N274</x:f>
        <x:v>0.9844587237114496</x:v>
      </x:c>
      <x:c r="I280" t="b">
        <x:f>'Raw R'!O274</x:f>
        <x:v>1</x:v>
      </x:c>
      <x:c r="J280" s="100" t="n">
        <x:f>IF(I280,B280,"")</x:f>
        <x:v>-0.01476917863632569</x:v>
      </x:c>
      <x:c r="K280" s="100" t="n">
        <x:f>IF(I280,E280,"")</x:f>
        <x:v>-0.016965453056496178</x:v>
      </x:c>
      <x:c r="L280" s="100" t="n">
        <x:f>IF(I280,G280,"")</x:f>
        <x:v>0.0021962744201704885</x:v>
      </x:c>
      <x:c r="M280" s="100" t="n">
        <x:f>IF(I280,F280^2,"")</x:f>
        <x:v>0.000004823621328695215</x:v>
      </x:c>
      <x:c r="N280" s="100" t="n">
        <x:f>IF(I280,F280,"")</x:f>
        <x:v>-0.0021962744201704885</x:v>
      </x:c>
      <x:c r="P280" t="n">
        <x:f>J280</x:f>
        <x:v>-0.01476917863632569</x:v>
      </x:c>
      <x:c r="Q280" t="n">
        <x:f>K280</x:f>
        <x:v>-0.016965453056496178</x:v>
      </x:c>
    </x:row>
    <x:row r="281">
      <x:c r="A281" s="99" t="str">
        <x:f>'Raw R'!B275</x:f>
        <x:v>00328</x:v>
      </x:c>
      <x:c r="B281" s="100" t="n">
        <x:f>INDEX('Raw Stations'!$D$2:$D$299,MATCH(A281,'Raw Stations'!$A$2:$A$299,0))</x:f>
        <x:v>-0.01066612394828562</x:v>
      </x:c>
      <x:c r="C281" s="100" t="n">
        <x:f>'Raw R'!L275</x:f>
        <x:v>-0.01791329208576473</x:v>
      </x:c>
      <x:c r="D281" s="100" t="n">
        <x:f>$B$2</x:f>
        <x:v>-0.01791329208576473</x:v>
      </x:c>
      <x:c r="E281" s="100" t="n">
        <x:f>C281-D281</x:f>
        <x:v>0</x:v>
      </x:c>
      <x:c r="F281" s="100" t="n">
        <x:f>E281-B281</x:f>
        <x:v>0.01066612394828562</x:v>
      </x:c>
      <x:c r="G281" s="100" t="n">
        <x:f>ABS(F281)</x:f>
        <x:v>0.01066612394828562</x:v>
      </x:c>
      <x:c r="H281" s="100" t="n">
        <x:f>'Raw R'!N275</x:f>
        <x:v>0.9085898704669504</x:v>
      </x:c>
      <x:c r="I281" t="b">
        <x:f>'Raw R'!O275</x:f>
        <x:v>1</x:v>
      </x:c>
      <x:c r="J281" s="100" t="n">
        <x:f>IF(I281,B281,"")</x:f>
        <x:v>-0.01066612394828562</x:v>
      </x:c>
      <x:c r="K281" s="100" t="n">
        <x:f>IF(I281,E281,"")</x:f>
        <x:v>0</x:v>
      </x:c>
      <x:c r="L281" s="100" t="n">
        <x:f>IF(I281,G281,"")</x:f>
        <x:v>0.01066612394828562</x:v>
      </x:c>
      <x:c r="M281" s="100" t="n">
        <x:f>IF(I281,F281^2,"")</x:f>
        <x:v>0.00011376620008019202</x:v>
      </x:c>
      <x:c r="N281" s="100" t="n">
        <x:f>IF(I281,F281,"")</x:f>
        <x:v>0.01066612394828562</x:v>
      </x:c>
      <x:c r="P281" t="n">
        <x:f>J281</x:f>
        <x:v>-0.01066612394828562</x:v>
      </x:c>
      <x:c r="Q281" t="n">
        <x:f>K281</x:f>
        <x:v>0</x:v>
      </x:c>
    </x:row>
    <x:row r="282">
      <x:c r="A282" s="99" t="str">
        <x:f>'Raw R'!B276</x:f>
        <x:v>00329</x:v>
      </x:c>
      <x:c r="B282" s="100" t="n">
        <x:f>INDEX('Raw Stations'!$D$2:$D$299,MATCH(A282,'Raw Stations'!$A$2:$A$299,0))</x:f>
        <x:v>-0.01773332950701884</x:v>
      </x:c>
      <x:c r="C282" s="100" t="n">
        <x:f>'Raw R'!L276</x:f>
        <x:v>-0.0355735781674042</x:v>
      </x:c>
      <x:c r="D282" s="100" t="n">
        <x:f>$B$2</x:f>
        <x:v>-0.01791329208576473</x:v>
      </x:c>
      <x:c r="E282" s="100" t="n">
        <x:f>C282-D282</x:f>
        <x:v>-0.017660286081639474</x:v>
      </x:c>
      <x:c r="F282" s="100" t="n">
        <x:f>E282-B282</x:f>
        <x:v>0.00007304342537936548</x:v>
      </x:c>
      <x:c r="G282" s="100" t="n">
        <x:f>ABS(F282)</x:f>
        <x:v>0.00007304342537936548</x:v>
      </x:c>
      <x:c r="H282" s="100" t="n">
        <x:f>'Raw R'!N276</x:f>
        <x:v>0.9624542637360831</x:v>
      </x:c>
      <x:c r="I282" t="b">
        <x:f>'Raw R'!O276</x:f>
        <x:v>1</x:v>
      </x:c>
      <x:c r="J282" s="100" t="n">
        <x:f>IF(I282,B282,"")</x:f>
        <x:v>-0.01773332950701884</x:v>
      </x:c>
      <x:c r="K282" s="100" t="n">
        <x:f>IF(I282,E282,"")</x:f>
        <x:v>-0.017660286081639474</x:v>
      </x:c>
      <x:c r="L282" s="100" t="n">
        <x:f>IF(I282,G282,"")</x:f>
        <x:v>0.00007304342537936548</x:v>
      </x:c>
      <x:c r="M282" s="100" t="n">
        <x:f>IF(I282,F282^2,"")</x:f>
        <x:v>5.335341991150933e-9</x:v>
      </x:c>
      <x:c r="N282" s="100" t="n">
        <x:f>IF(I282,F282,"")</x:f>
        <x:v>0.00007304342537936548</x:v>
      </x:c>
      <x:c r="P282" t="n">
        <x:f>J282</x:f>
        <x:v>-0.01773332950701884</x:v>
      </x:c>
      <x:c r="Q282" t="n">
        <x:f>K282</x:f>
        <x:v>-0.017660286081639474</x:v>
      </x:c>
    </x:row>
    <x:row r="283">
      <x:c r="A283" s="99" t="str">
        <x:f>'Raw R'!B277</x:f>
        <x:v>00330</x:v>
      </x:c>
      <x:c r="B283" s="100" t="n">
        <x:f>INDEX('Raw Stations'!$D$2:$D$299,MATCH(A283,'Raw Stations'!$A$2:$A$299,0))</x:f>
        <x:v>-0.01004028401482076</x:v>
      </x:c>
      <x:c r="C283" s="100" t="n">
        <x:f>'Raw R'!L277</x:f>
        <x:v>-0.02879168049347244</x:v>
      </x:c>
      <x:c r="D283" s="100" t="n">
        <x:f>$B$2</x:f>
        <x:v>-0.01791329208576473</x:v>
      </x:c>
      <x:c r="E283" s="100" t="n">
        <x:f>C283-D283</x:f>
        <x:v>-0.01087838840770771</x:v>
      </x:c>
      <x:c r="F283" s="100" t="n">
        <x:f>E283-B283</x:f>
        <x:v>-0.0008381043928869514</x:v>
      </x:c>
      <x:c r="G283" s="100" t="n">
        <x:f>ABS(F283)</x:f>
        <x:v>0.0008381043928869514</x:v>
      </x:c>
      <x:c r="H283" s="100" t="n">
        <x:f>'Raw R'!N277</x:f>
        <x:v>0.9855971615474391</x:v>
      </x:c>
      <x:c r="I283" t="b">
        <x:f>'Raw R'!O277</x:f>
        <x:v>1</x:v>
      </x:c>
      <x:c r="J283" s="100" t="n">
        <x:f>IF(I283,B283,"")</x:f>
        <x:v>-0.01004028401482076</x:v>
      </x:c>
      <x:c r="K283" s="100" t="n">
        <x:f>IF(I283,E283,"")</x:f>
        <x:v>-0.01087838840770771</x:v>
      </x:c>
      <x:c r="L283" s="100" t="n">
        <x:f>IF(I283,G283,"")</x:f>
        <x:v>0.0008381043928869514</x:v>
      </x:c>
      <x:c r="M283" s="100" t="n">
        <x:f>IF(I283,F283^2,"")</x:f>
        <x:v>7.024189733764054e-7</x:v>
      </x:c>
      <x:c r="N283" s="100" t="n">
        <x:f>IF(I283,F283,"")</x:f>
        <x:v>-0.0008381043928869514</x:v>
      </x:c>
      <x:c r="P283" t="n">
        <x:f>J283</x:f>
        <x:v>-0.01004028401482076</x:v>
      </x:c>
      <x:c r="Q283" t="n">
        <x:f>K283</x:f>
        <x:v>-0.01087838840770771</x:v>
      </x:c>
    </x:row>
    <x:row r="284">
      <x:c r="A284" s="99" t="str">
        <x:f>'Raw R'!B278</x:f>
        <x:v>00332</x:v>
      </x:c>
      <x:c r="B284" s="100" t="n">
        <x:f>INDEX('Raw Stations'!$D$2:$D$299,MATCH(A284,'Raw Stations'!$A$2:$A$299,0))</x:f>
        <x:v>-0.01415398331025103</x:v>
      </x:c>
      <x:c r="C284" s="100" t="n">
        <x:f>'Raw R'!L278</x:f>
        <x:v>-0.02090537978890272</x:v>
      </x:c>
      <x:c r="D284" s="100" t="n">
        <x:f>$B$2</x:f>
        <x:v>-0.01791329208576473</x:v>
      </x:c>
      <x:c r="E284" s="100" t="n">
        <x:f>C284-D284</x:f>
        <x:v>-0.0029920877031379897</x:v>
      </x:c>
      <x:c r="F284" s="100" t="n">
        <x:f>E284-B284</x:f>
        <x:v>0.01116189560711304</x:v>
      </x:c>
      <x:c r="G284" s="100" t="n">
        <x:f>ABS(F284)</x:f>
        <x:v>0.01116189560711304</x:v>
      </x:c>
      <x:c r="H284" s="100" t="n">
        <x:f>'Raw R'!N278</x:f>
        <x:v>0.8721399760311552</x:v>
      </x:c>
      <x:c r="I284" t="b">
        <x:f>'Raw R'!O278</x:f>
        <x:v>1</x:v>
      </x:c>
      <x:c r="J284" s="100" t="n">
        <x:f>IF(I284,B284,"")</x:f>
        <x:v>-0.01415398331025103</x:v>
      </x:c>
      <x:c r="K284" s="100" t="n">
        <x:f>IF(I284,E284,"")</x:f>
        <x:v>-0.0029920877031379897</x:v>
      </x:c>
      <x:c r="L284" s="100" t="n">
        <x:f>IF(I284,G284,"")</x:f>
        <x:v>0.01116189560711304</x:v>
      </x:c>
      <x:c r="M284" s="100" t="n">
        <x:f>IF(I284,F284^2,"")</x:f>
        <x:v>0.0001245879135440894</x:v>
      </x:c>
      <x:c r="N284" s="100" t="n">
        <x:f>IF(I284,F284,"")</x:f>
        <x:v>0.01116189560711304</x:v>
      </x:c>
      <x:c r="P284" t="n">
        <x:f>J284</x:f>
        <x:v>-0.01415398331025103</x:v>
      </x:c>
      <x:c r="Q284" t="n">
        <x:f>K284</x:f>
        <x:v>-0.0029920877031379897</x:v>
      </x:c>
    </x:row>
    <x:row r="285">
      <x:c r="A285" s="99" t="str">
        <x:f>'Raw R'!B279</x:f>
        <x:v>00333</x:v>
      </x:c>
      <x:c r="B285" s="100" t="n">
        <x:f>INDEX('Raw Stations'!$D$2:$D$299,MATCH(A285,'Raw Stations'!$A$2:$A$299,0))</x:f>
        <x:v>-0.01646721276301886</x:v>
      </x:c>
      <x:c r="C285" s="100" t="n">
        <x:f>'Raw R'!L279</x:f>
        <x:v>-0.02697756128855633</x:v>
      </x:c>
      <x:c r="D285" s="100" t="n">
        <x:f>$B$2</x:f>
        <x:v>-0.01791329208576473</x:v>
      </x:c>
      <x:c r="E285" s="100" t="n">
        <x:f>C285-D285</x:f>
        <x:v>-0.0090642692027916</x:v>
      </x:c>
      <x:c r="F285" s="100" t="n">
        <x:f>E285-B285</x:f>
        <x:v>0.007402943560227259</x:v>
      </x:c>
      <x:c r="G285" s="100" t="n">
        <x:f>ABS(F285)</x:f>
        <x:v>0.007402943560227259</x:v>
      </x:c>
      <x:c r="H285" s="100" t="n">
        <x:f>'Raw R'!N279</x:f>
        <x:v>0.9506530050205427</x:v>
      </x:c>
      <x:c r="I285" t="b">
        <x:f>'Raw R'!O279</x:f>
        <x:v>1</x:v>
      </x:c>
      <x:c r="J285" s="100" t="n">
        <x:f>IF(I285,B285,"")</x:f>
        <x:v>-0.01646721276301886</x:v>
      </x:c>
      <x:c r="K285" s="100" t="n">
        <x:f>IF(I285,E285,"")</x:f>
        <x:v>-0.0090642692027916</x:v>
      </x:c>
      <x:c r="L285" s="100" t="n">
        <x:f>IF(I285,G285,"")</x:f>
        <x:v>0.007402943560227259</x:v>
      </x:c>
      <x:c r="M285" s="100" t="n">
        <x:f>IF(I285,F285^2,"")</x:f>
        <x:v>0.000054803573355910245</x:v>
      </x:c>
      <x:c r="N285" s="100" t="n">
        <x:f>IF(I285,F285,"")</x:f>
        <x:v>0.007402943560227259</x:v>
      </x:c>
      <x:c r="P285" t="n">
        <x:f>J285</x:f>
        <x:v>-0.01646721276301886</x:v>
      </x:c>
      <x:c r="Q285" t="n">
        <x:f>K285</x:f>
        <x:v>-0.0090642692027916</x:v>
      </x:c>
    </x:row>
  </x:sheetData>
  <x:mergeCells>
    <x:mergeCell ref="A1:I1"/>
    <x:mergeCell ref="A5:I5"/>
  </x:mergeCells>
  <x:conditionalFormatting sqref="G8:G28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5ced4b186415443b"/>
  <x:tableParts count="1">
    <x:tablePart xmlns:r="http://schemas.openxmlformats.org/officeDocument/2006/relationships" r:id="R721f66e2d5b84c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1" hidden="0" customWidth="1"/>
    <x:col min="4" max="4" width="16" hidden="0" customWidth="1"/>
    <x:col min="5" max="5" width="20" hidden="0" customWidth="1"/>
    <x:col min="6" max="6" width="9" hidden="0" customWidth="1"/>
    <x:col min="7" max="7" width="12" hidden="0" customWidth="1"/>
    <x:col min="8" max="8" width="12" hidden="0" customWidth="1"/>
    <x:col min="9" max="9" width="13" hidden="0" customWidth="1"/>
    <x:col min="10" max="10" width="18" hidden="0" customWidth="1"/>
    <x:col min="11" max="11" width="18" hidden="0" customWidth="1"/>
    <x:col min="12" max="12" width="22" hidden="0" customWidth="1"/>
    <x:col min="13" max="13" width="12" hidden="0" customWidth="1"/>
    <x:col min="14" max="14" width="16" hidden="0" customWidth="1"/>
    <x:col min="15" max="15" width="17" hidden="0" customWidth="1"/>
    <x:col min="16" max="16" width="55" hidden="0" customWidth="1"/>
  </x:cols>
  <x:sheetData>
    <x:row r="1" ht="30" customHeight="1">
      <x:c r="A1" s="14" t="str">
        <x:v>event_id</x:v>
      </x:c>
      <x:c r="B1" s="15" t="str">
        <x:v>station</x:v>
      </x:c>
      <x:c r="C1" s="15" t="str">
        <x:v>component</x:v>
      </x:c>
      <x:c r="D1" s="15" t="str">
        <x:v>catalog_shift_component</x:v>
      </x:c>
      <x:c r="E1" s="15" t="str">
        <x:v>catalog_time_shift_column</x:v>
      </x:c>
      <x:c r="F1" s="15" t="str">
        <x:v>phase</x:v>
      </x:c>
      <x:c r="G1" s="15" t="str">
        <x:v>frequency_min_hz</x:v>
      </x:c>
      <x:c r="H1" s="15" t="str">
        <x:v>frequency_max_hz</x:v>
      </x:c>
      <x:c r="I1" s="15" t="str">
        <x:v>sample_rate_hz</x:v>
      </x:c>
      <x:c r="J1" s="15" t="str">
        <x:v>measured_shift_seconds</x:v>
      </x:c>
      <x:c r="K1" s="15" t="str">
        <x:v>predicted_shift_seconds</x:v>
      </x:c>
      <x:c r="L1" s="15" t="str">
        <x:v>shift_relative_to_predicted_seconds</x:v>
      </x:c>
      <x:c r="M1" s="15" t="str">
        <x:v>lag_samples</x:v>
      </x:c>
      <x:c r="N1" s="15" t="str">
        <x:v>station_correlation</x:v>
      </x:c>
      <x:c r="O1" s="15" t="str">
        <x:v>passed_window_correlation</x:v>
      </x:c>
      <x:c r="P1" s="16" t="str">
        <x:v>source_output_dir</x:v>
      </x:c>
    </x:row>
    <x:row r="2">
      <x:c r="A2" t="str">
        <x:v>CI_40353552</x:v>
      </x:c>
      <x:c r="B2" s="99" t="str">
        <x:v>00036</x:v>
      </x:c>
      <x:c r="C2" t="str">
        <x:v>T</x:v>
      </x:c>
      <x:c r="D2" t="str">
        <x:v>R</x:v>
      </x:c>
      <x:c r="E2" t="str">
        <x:v>time shift</x:v>
      </x:c>
      <x:c r="F2" t="str">
        <x:v>S</x:v>
      </x:c>
      <x:c r="G2" s="100" t="n">
        <x:v>3</x:v>
      </x:c>
      <x:c r="H2" s="100" t="n">
        <x:v>10</x:v>
      </x:c>
      <x:c r="I2" s="100" t="n">
        <x:v>250</x:v>
      </x:c>
      <x:c r="J2" s="100" t="n">
        <x:v>-0.272</x:v>
      </x:c>
      <x:c r="K2" s="100" t="n">
        <x:v>-0.2547664721342109</x:v>
      </x:c>
      <x:c r="L2" s="100" t="n">
        <x:v>-0.01723352786578913</x:v>
      </x:c>
      <x:c r="M2" s="100" t="n">
        <x:v>-68</x:v>
      </x:c>
      <x:c r="N2" s="100" t="n">
        <x:v>0.9486478101157826</x:v>
      </x:c>
      <x:c r="O2" s="101" t="b">
        <x:v>1</x:v>
      </x:c>
      <x:c r="P2" t="str">
        <x:v>/Users/jvidale/Documents/Research/FaultScanR/output/20260722_181326_2487/CI_40353552</x:v>
      </x:c>
    </x:row>
    <x:row r="3">
      <x:c r="A3" t="str">
        <x:v>CI_40353552</x:v>
      </x:c>
      <x:c r="B3" s="99" t="str">
        <x:v>00037</x:v>
      </x:c>
      <x:c r="C3" t="str">
        <x:v>T</x:v>
      </x:c>
      <x:c r="D3" t="str">
        <x:v>R</x:v>
      </x:c>
      <x:c r="E3" t="str">
        <x:v>time shift</x:v>
      </x:c>
      <x:c r="F3" t="str">
        <x:v>S</x:v>
      </x:c>
      <x:c r="G3" s="100" t="n">
        <x:v>3</x:v>
      </x:c>
      <x:c r="H3" s="100" t="n">
        <x:v>10</x:v>
      </x:c>
      <x:c r="I3" s="100" t="n">
        <x:v>250</x:v>
      </x:c>
      <x:c r="J3" s="100" t="n">
        <x:v>-0.268</x:v>
      </x:c>
      <x:c r="K3" s="100" t="n">
        <x:v>-0.2468390462355803</x:v>
      </x:c>
      <x:c r="L3" s="100" t="n">
        <x:v>-0.02116095376441973</x:v>
      </x:c>
      <x:c r="M3" s="100" t="n">
        <x:v>-67</x:v>
      </x:c>
      <x:c r="N3" s="100" t="n">
        <x:v>0.9442151991590128</x:v>
      </x:c>
      <x:c r="O3" s="101" t="b">
        <x:v>1</x:v>
      </x:c>
      <x:c r="P3" t="str">
        <x:v>/Users/jvidale/Documents/Research/FaultScanR/output/20260722_181326_2487/CI_40353552</x:v>
      </x:c>
    </x:row>
    <x:row r="4">
      <x:c r="A4" t="str">
        <x:v>CI_40353552</x:v>
      </x:c>
      <x:c r="B4" s="99" t="str">
        <x:v>00038</x:v>
      </x:c>
      <x:c r="C4" t="str">
        <x:v>T</x:v>
      </x:c>
      <x:c r="D4" t="str">
        <x:v>R</x:v>
      </x:c>
      <x:c r="E4" t="str">
        <x:v>time shift</x:v>
      </x:c>
      <x:c r="F4" t="str">
        <x:v>S</x:v>
      </x:c>
      <x:c r="G4" s="100" t="n">
        <x:v>3</x:v>
      </x:c>
      <x:c r="H4" s="100" t="n">
        <x:v>10</x:v>
      </x:c>
      <x:c r="I4" s="100" t="n">
        <x:v>250</x:v>
      </x:c>
      <x:c r="J4" s="100" t="n">
        <x:v>-0.264</x:v>
      </x:c>
      <x:c r="K4" s="100" t="n">
        <x:v>-0.2390363949647361</x:v>
      </x:c>
      <x:c r="L4" s="100" t="n">
        <x:v>-0.02496360503526396</x:v>
      </x:c>
      <x:c r="M4" s="100" t="n">
        <x:v>-66</x:v>
      </x:c>
      <x:c r="N4" s="100" t="n">
        <x:v>0.9446541833663725</x:v>
      </x:c>
      <x:c r="O4" s="101" t="b">
        <x:v>1</x:v>
      </x:c>
      <x:c r="P4" t="str">
        <x:v>/Users/jvidale/Documents/Research/FaultScanR/output/20260722_181326_2487/CI_40353552</x:v>
      </x:c>
    </x:row>
    <x:row r="5">
      <x:c r="A5" t="str">
        <x:v>CI_40353552</x:v>
      </x:c>
      <x:c r="B5" s="99" t="str">
        <x:v>00039</x:v>
      </x:c>
      <x:c r="C5" t="str">
        <x:v>T</x:v>
      </x:c>
      <x:c r="D5" t="str">
        <x:v>R</x:v>
      </x:c>
      <x:c r="E5" t="str">
        <x:v>time shift</x:v>
      </x:c>
      <x:c r="F5" t="str">
        <x:v>S</x:v>
      </x:c>
      <x:c r="G5" s="100" t="n">
        <x:v>3</x:v>
      </x:c>
      <x:c r="H5" s="100" t="n">
        <x:v>10</x:v>
      </x:c>
      <x:c r="I5" s="100" t="n">
        <x:v>250</x:v>
      </x:c>
      <x:c r="J5" s="100" t="n">
        <x:v>-0.26</x:v>
      </x:c>
      <x:c r="K5" s="100" t="n">
        <x:v>-0.2323917735429593</x:v>
      </x:c>
      <x:c r="L5" s="100" t="n">
        <x:v>-0.02760822645704075</x:v>
      </x:c>
      <x:c r="M5" s="100" t="n">
        <x:v>-65</x:v>
      </x:c>
      <x:c r="N5" s="100" t="n">
        <x:v>0.9109729327424545</x:v>
      </x:c>
      <x:c r="O5" s="101" t="b">
        <x:v>1</x:v>
      </x:c>
      <x:c r="P5" t="str">
        <x:v>/Users/jvidale/Documents/Research/FaultScanR/output/20260722_181326_2487/CI_40353552</x:v>
      </x:c>
    </x:row>
    <x:row r="6">
      <x:c r="A6" t="str">
        <x:v>CI_40353552</x:v>
      </x:c>
      <x:c r="B6" s="99" t="str">
        <x:v>00040</x:v>
      </x:c>
      <x:c r="C6" t="str">
        <x:v>T</x:v>
      </x:c>
      <x:c r="D6" t="str">
        <x:v>R</x:v>
      </x:c>
      <x:c r="E6" t="str">
        <x:v>time shift</x:v>
      </x:c>
      <x:c r="F6" t="str">
        <x:v>S</x:v>
      </x:c>
      <x:c r="G6" s="100" t="n">
        <x:v>3</x:v>
      </x:c>
      <x:c r="H6" s="100" t="n">
        <x:v>10</x:v>
      </x:c>
      <x:c r="I6" s="100" t="n">
        <x:v>250</x:v>
      </x:c>
      <x:c r="J6" s="100" t="n">
        <x:v>-0.252</x:v>
      </x:c>
      <x:c r="K6" s="100" t="n">
        <x:v>-0.2226258271537462</x:v>
      </x:c>
      <x:c r="L6" s="100" t="n">
        <x:v>-0.02937417284625377</x:v>
      </x:c>
      <x:c r="M6" s="100" t="n">
        <x:v>-63</x:v>
      </x:c>
      <x:c r="N6" s="100" t="n">
        <x:v>0.9717075314620155</x:v>
      </x:c>
      <x:c r="O6" s="101" t="b">
        <x:v>1</x:v>
      </x:c>
      <x:c r="P6" t="str">
        <x:v>/Users/jvidale/Documents/Research/FaultScanR/output/20260722_181326_2487/CI_40353552</x:v>
      </x:c>
    </x:row>
    <x:row r="7">
      <x:c r="A7" t="str">
        <x:v>CI_40353552</x:v>
      </x:c>
      <x:c r="B7" s="99" t="str">
        <x:v>00041</x:v>
      </x:c>
      <x:c r="C7" t="str">
        <x:v>T</x:v>
      </x:c>
      <x:c r="D7" t="str">
        <x:v>R</x:v>
      </x:c>
      <x:c r="E7" t="str">
        <x:v>time shift</x:v>
      </x:c>
      <x:c r="F7" t="str">
        <x:v>S</x:v>
      </x:c>
      <x:c r="G7" s="100" t="n">
        <x:v>3</x:v>
      </x:c>
      <x:c r="H7" s="100" t="n">
        <x:v>10</x:v>
      </x:c>
      <x:c r="I7" s="100" t="n">
        <x:v>250</x:v>
      </x:c>
      <x:c r="J7" s="100" t="n">
        <x:v>-0.244</x:v>
      </x:c>
      <x:c r="K7" s="100" t="n">
        <x:v>-0.2145710447839084</x:v>
      </x:c>
      <x:c r="L7" s="100" t="n">
        <x:v>-0.02942895521609157</x:v>
      </x:c>
      <x:c r="M7" s="100" t="n">
        <x:v>-61</x:v>
      </x:c>
      <x:c r="N7" s="100" t="n">
        <x:v>0.9954582185783529</x:v>
      </x:c>
      <x:c r="O7" s="101" t="b">
        <x:v>1</x:v>
      </x:c>
      <x:c r="P7" t="str">
        <x:v>/Users/jvidale/Documents/Research/FaultScanR/output/20260722_181326_2487/CI_40353552</x:v>
      </x:c>
    </x:row>
    <x:row r="8">
      <x:c r="A8" t="str">
        <x:v>CI_40353552</x:v>
      </x:c>
      <x:c r="B8" s="99" t="str">
        <x:v>00042</x:v>
      </x:c>
      <x:c r="C8" t="str">
        <x:v>T</x:v>
      </x:c>
      <x:c r="D8" t="str">
        <x:v>R</x:v>
      </x:c>
      <x:c r="E8" t="str">
        <x:v>time shift</x:v>
      </x:c>
      <x:c r="F8" t="str">
        <x:v>S</x:v>
      </x:c>
      <x:c r="G8" s="100" t="n">
        <x:v>3</x:v>
      </x:c>
      <x:c r="H8" s="100" t="n">
        <x:v>10</x:v>
      </x:c>
      <x:c r="I8" s="100" t="n">
        <x:v>250</x:v>
      </x:c>
      <x:c r="J8" s="100" t="n">
        <x:v>-0.24</x:v>
      </x:c>
      <x:c r="K8" s="100" t="n">
        <x:v>-0.2048751343477386</x:v>
      </x:c>
      <x:c r="L8" s="100" t="n">
        <x:v>-0.03512486565226136</x:v>
      </x:c>
      <x:c r="M8" s="100" t="n">
        <x:v>-60</x:v>
      </x:c>
      <x:c r="N8" s="100" t="n">
        <x:v>0.9867717635717626</x:v>
      </x:c>
      <x:c r="O8" s="101" t="b">
        <x:v>1</x:v>
      </x:c>
      <x:c r="P8" t="str">
        <x:v>/Users/jvidale/Documents/Research/FaultScanR/output/20260722_181326_2487/CI_40353552</x:v>
      </x:c>
    </x:row>
    <x:row r="9">
      <x:c r="A9" t="str">
        <x:v>CI_40353552</x:v>
      </x:c>
      <x:c r="B9" s="99" t="str">
        <x:v>00043</x:v>
      </x:c>
      <x:c r="C9" t="str">
        <x:v>T</x:v>
      </x:c>
      <x:c r="D9" t="str">
        <x:v>R</x:v>
      </x:c>
      <x:c r="E9" t="str">
        <x:v>time shift</x:v>
      </x:c>
      <x:c r="F9" t="str">
        <x:v>S</x:v>
      </x:c>
      <x:c r="G9" s="100" t="n">
        <x:v>3</x:v>
      </x:c>
      <x:c r="H9" s="100" t="n">
        <x:v>10</x:v>
      </x:c>
      <x:c r="I9" s="100" t="n">
        <x:v>250</x:v>
      </x:c>
      <x:c r="J9" s="100" t="n">
        <x:v>-0.224</x:v>
      </x:c>
      <x:c r="K9" s="100" t="n">
        <x:v>-0.1963559918104218</x:v>
      </x:c>
      <x:c r="L9" s="100" t="n">
        <x:v>-0.02764400818957816</x:v>
      </x:c>
      <x:c r="M9" s="100" t="n">
        <x:v>-56</x:v>
      </x:c>
      <x:c r="N9" s="100" t="n">
        <x:v>0.9725259648717489</x:v>
      </x:c>
      <x:c r="O9" s="101" t="b">
        <x:v>1</x:v>
      </x:c>
      <x:c r="P9" t="str">
        <x:v>/Users/jvidale/Documents/Research/FaultScanR/output/20260722_181326_2487/CI_40353552</x:v>
      </x:c>
    </x:row>
    <x:row r="10">
      <x:c r="A10" t="str">
        <x:v>CI_40353552</x:v>
      </x:c>
      <x:c r="B10" s="99" t="str">
        <x:v>00044</x:v>
      </x:c>
      <x:c r="C10" t="str">
        <x:v>T</x:v>
      </x:c>
      <x:c r="D10" t="str">
        <x:v>R</x:v>
      </x:c>
      <x:c r="E10" t="str">
        <x:v>time shift</x:v>
      </x:c>
      <x:c r="F10" t="str">
        <x:v>S</x:v>
      </x:c>
      <x:c r="G10" s="100" t="n">
        <x:v>3</x:v>
      </x:c>
      <x:c r="H10" s="100" t="n">
        <x:v>10</x:v>
      </x:c>
      <x:c r="I10" s="100" t="n">
        <x:v>250</x:v>
      </x:c>
      <x:c r="J10" s="100" t="n">
        <x:v>-0.228</x:v>
      </x:c>
      <x:c r="K10" s="100" t="n">
        <x:v>-0.1867634635137048</x:v>
      </x:c>
      <x:c r="L10" s="100" t="n">
        <x:v>-0.04123653648629524</x:v>
      </x:c>
      <x:c r="M10" s="100" t="n">
        <x:v>-57</x:v>
      </x:c>
      <x:c r="N10" s="100" t="n">
        <x:v>0.9336625056527378</x:v>
      </x:c>
      <x:c r="O10" s="101" t="b">
        <x:v>1</x:v>
      </x:c>
      <x:c r="P10" t="str">
        <x:v>/Users/jvidale/Documents/Research/FaultScanR/output/20260722_181326_2487/CI_40353552</x:v>
      </x:c>
    </x:row>
    <x:row r="11">
      <x:c r="A11" t="str">
        <x:v>CI_40353552</x:v>
      </x:c>
      <x:c r="B11" s="99" t="str">
        <x:v>00045</x:v>
      </x:c>
      <x:c r="C11" t="str">
        <x:v>T</x:v>
      </x:c>
      <x:c r="D11" t="str">
        <x:v>R</x:v>
      </x:c>
      <x:c r="E11" t="str">
        <x:v>time shift</x:v>
      </x:c>
      <x:c r="F11" t="str">
        <x:v>S</x:v>
      </x:c>
      <x:c r="G11" s="100" t="n">
        <x:v>3</x:v>
      </x:c>
      <x:c r="H11" s="100" t="n">
        <x:v>10</x:v>
      </x:c>
      <x:c r="I11" s="100" t="n">
        <x:v>250</x:v>
      </x:c>
      <x:c r="J11" s="100" t="n">
        <x:v>-0.188</x:v>
      </x:c>
      <x:c r="K11" s="100" t="n">
        <x:v>-0.1779042567380795</x:v>
      </x:c>
      <x:c r="L11" s="100" t="n">
        <x:v>-0.01009574326192048</x:v>
      </x:c>
      <x:c r="M11" s="100" t="n">
        <x:v>-47</x:v>
      </x:c>
      <x:c r="N11" s="100" t="n">
        <x:v>0.9089788465497713</x:v>
      </x:c>
      <x:c r="O11" s="101" t="b">
        <x:v>1</x:v>
      </x:c>
      <x:c r="P11" t="str">
        <x:v>/Users/jvidale/Documents/Research/FaultScanR/output/20260722_181326_2487/CI_40353552</x:v>
      </x:c>
    </x:row>
    <x:row r="12">
      <x:c r="A12" t="str">
        <x:v>CI_40353552</x:v>
      </x:c>
      <x:c r="B12" s="99" t="str">
        <x:v>00046</x:v>
      </x:c>
      <x:c r="C12" t="str">
        <x:v>T</x:v>
      </x:c>
      <x:c r="D12" t="str">
        <x:v>R</x:v>
      </x:c>
      <x:c r="E12" t="str">
        <x:v>time shift</x:v>
      </x:c>
      <x:c r="F12" t="str">
        <x:v>S</x:v>
      </x:c>
      <x:c r="G12" s="100" t="n">
        <x:v>3</x:v>
      </x:c>
      <x:c r="H12" s="100" t="n">
        <x:v>10</x:v>
      </x:c>
      <x:c r="I12" s="100" t="n">
        <x:v>250</x:v>
      </x:c>
      <x:c r="J12" s="100" t="n">
        <x:v>-0.188</x:v>
      </x:c>
      <x:c r="K12" s="100" t="n">
        <x:v>-0.1704831248803433</x:v>
      </x:c>
      <x:c r="L12" s="100" t="n">
        <x:v>-0.01751687511965666</x:v>
      </x:c>
      <x:c r="M12" s="100" t="n">
        <x:v>-47</x:v>
      </x:c>
      <x:c r="N12" s="100" t="n">
        <x:v>0.920734752824458</x:v>
      </x:c>
      <x:c r="O12" s="101" t="b">
        <x:v>1</x:v>
      </x:c>
      <x:c r="P12" t="str">
        <x:v>/Users/jvidale/Documents/Research/FaultScanR/output/20260722_181326_2487/CI_40353552</x:v>
      </x:c>
    </x:row>
    <x:row r="13">
      <x:c r="A13" t="str">
        <x:v>CI_40353552</x:v>
      </x:c>
      <x:c r="B13" s="99" t="str">
        <x:v>00047</x:v>
      </x:c>
      <x:c r="C13" t="str">
        <x:v>T</x:v>
      </x:c>
      <x:c r="D13" t="str">
        <x:v>R</x:v>
      </x:c>
      <x:c r="E13" t="str">
        <x:v>time shift</x:v>
      </x:c>
      <x:c r="F13" t="str">
        <x:v>S</x:v>
      </x:c>
      <x:c r="G13" s="100" t="n">
        <x:v>3</x:v>
      </x:c>
      <x:c r="H13" s="100" t="n">
        <x:v>10</x:v>
      </x:c>
      <x:c r="I13" s="100" t="n">
        <x:v>250</x:v>
      </x:c>
      <x:c r="J13" s="100" t="n">
        <x:v>-0.192</x:v>
      </x:c>
      <x:c r="K13" s="100" t="n">
        <x:v>-0.1614565730369311</x:v>
      </x:c>
      <x:c r="L13" s="100" t="n">
        <x:v>-0.03054342696306894</x:v>
      </x:c>
      <x:c r="M13" s="100" t="n">
        <x:v>-48</x:v>
      </x:c>
      <x:c r="N13" s="100" t="n">
        <x:v>0.9699060858696329</x:v>
      </x:c>
      <x:c r="O13" s="101" t="b">
        <x:v>1</x:v>
      </x:c>
      <x:c r="P13" t="str">
        <x:v>/Users/jvidale/Documents/Research/FaultScanR/output/20260722_181326_2487/CI_40353552</x:v>
      </x:c>
    </x:row>
    <x:row r="14">
      <x:c r="A14" t="str">
        <x:v>CI_40353552</x:v>
      </x:c>
      <x:c r="B14" s="99" t="str">
        <x:v>00048</x:v>
      </x:c>
      <x:c r="C14" t="str">
        <x:v>T</x:v>
      </x:c>
      <x:c r="D14" t="str">
        <x:v>R</x:v>
      </x:c>
      <x:c r="E14" t="str">
        <x:v>time shift</x:v>
      </x:c>
      <x:c r="F14" t="str">
        <x:v>S</x:v>
      </x:c>
      <x:c r="G14" s="100" t="n">
        <x:v>3</x:v>
      </x:c>
      <x:c r="H14" s="100" t="n">
        <x:v>10</x:v>
      </x:c>
      <x:c r="I14" s="100" t="n">
        <x:v>250</x:v>
      </x:c>
      <x:c r="J14" s="100" t="n">
        <x:v>-0.192</x:v>
      </x:c>
      <x:c r="K14" s="100" t="n">
        <x:v>-0.1515881058909381</x:v>
      </x:c>
      <x:c r="L14" s="100" t="n">
        <x:v>-0.04041189410906193</x:v>
      </x:c>
      <x:c r="M14" s="100" t="n">
        <x:v>-48</x:v>
      </x:c>
      <x:c r="N14" s="100" t="n">
        <x:v>0.9726086918038861</x:v>
      </x:c>
      <x:c r="O14" s="101" t="b">
        <x:v>1</x:v>
      </x:c>
      <x:c r="P14" t="str">
        <x:v>/Users/jvidale/Documents/Research/FaultScanR/output/20260722_181326_2487/CI_40353552</x:v>
      </x:c>
    </x:row>
    <x:row r="15">
      <x:c r="A15" t="str">
        <x:v>CI_40353552</x:v>
      </x:c>
      <x:c r="B15" s="99" t="str">
        <x:v>00049</x:v>
      </x:c>
      <x:c r="C15" t="str">
        <x:v>T</x:v>
      </x:c>
      <x:c r="D15" t="str">
        <x:v>R</x:v>
      </x:c>
      <x:c r="E15" t="str">
        <x:v>time shift</x:v>
      </x:c>
      <x:c r="F15" t="str">
        <x:v>S</x:v>
      </x:c>
      <x:c r="G15" s="100" t="n">
        <x:v>3</x:v>
      </x:c>
      <x:c r="H15" s="100" t="n">
        <x:v>10</x:v>
      </x:c>
      <x:c r="I15" s="100" t="n">
        <x:v>250</x:v>
      </x:c>
      <x:c r="J15" s="100" t="n">
        <x:v>-0.256</x:v>
      </x:c>
      <x:c r="K15" s="100" t="n">
        <x:v>-0.2326120365545421</x:v>
      </x:c>
      <x:c r="L15" s="100" t="n">
        <x:v>-0.0233879634454579</x:v>
      </x:c>
      <x:c r="M15" s="100" t="n">
        <x:v>-64</x:v>
      </x:c>
      <x:c r="N15" s="100" t="n">
        <x:v>0.9019313978707806</x:v>
      </x:c>
      <x:c r="O15" s="101" t="b">
        <x:v>1</x:v>
      </x:c>
      <x:c r="P15" t="str">
        <x:v>/Users/jvidale/Documents/Research/FaultScanR/output/20260722_181326_2487/CI_40353552</x:v>
      </x:c>
    </x:row>
    <x:row r="16">
      <x:c r="A16" t="str">
        <x:v>CI_40353552</x:v>
      </x:c>
      <x:c r="B16" s="99" t="str">
        <x:v>00051</x:v>
      </x:c>
      <x:c r="C16" t="str">
        <x:v>T</x:v>
      </x:c>
      <x:c r="D16" t="str">
        <x:v>R</x:v>
      </x:c>
      <x:c r="E16" t="str">
        <x:v>time shift</x:v>
      </x:c>
      <x:c r="F16" t="str">
        <x:v>S</x:v>
      </x:c>
      <x:c r="G16" s="100" t="n">
        <x:v>3</x:v>
      </x:c>
      <x:c r="H16" s="100" t="n">
        <x:v>10</x:v>
      </x:c>
      <x:c r="I16" s="100" t="n">
        <x:v>250</x:v>
      </x:c>
      <x:c r="J16" s="100" t="n">
        <x:v>-0.252</x:v>
      </x:c>
      <x:c r="K16" s="100" t="n">
        <x:v>-0.2171705239581012</x:v>
      </x:c>
      <x:c r="L16" s="100" t="n">
        <x:v>-0.03482947604189879</x:v>
      </x:c>
      <x:c r="M16" s="100" t="n">
        <x:v>-63</x:v>
      </x:c>
      <x:c r="N16" s="100" t="n">
        <x:v>0.7906835564415385</x:v>
      </x:c>
      <x:c r="O16" s="101" t="b">
        <x:v>1</x:v>
      </x:c>
      <x:c r="P16" t="str">
        <x:v>/Users/jvidale/Documents/Research/FaultScanR/output/20260722_181326_2487/CI_40353552</x:v>
      </x:c>
    </x:row>
    <x:row r="17">
      <x:c r="A17" t="str">
        <x:v>CI_40353552</x:v>
      </x:c>
      <x:c r="B17" s="99" t="str">
        <x:v>00052</x:v>
      </x:c>
      <x:c r="C17" t="str">
        <x:v>T</x:v>
      </x:c>
      <x:c r="D17" t="str">
        <x:v>R</x:v>
      </x:c>
      <x:c r="E17" t="str">
        <x:v>time shift</x:v>
      </x:c>
      <x:c r="F17" t="str">
        <x:v>S</x:v>
      </x:c>
      <x:c r="G17" s="100" t="n">
        <x:v>3</x:v>
      </x:c>
      <x:c r="H17" s="100" t="n">
        <x:v>10</x:v>
      </x:c>
      <x:c r="I17" s="100" t="n">
        <x:v>250</x:v>
      </x:c>
      <x:c r="J17" s="100" t="n">
        <x:v>-0.24</x:v>
      </x:c>
      <x:c r="K17" s="100" t="n">
        <x:v>-0.2077253865444169</x:v>
      </x:c>
      <x:c r="L17" s="100" t="n">
        <x:v>-0.03227461345558313</x:v>
      </x:c>
      <x:c r="M17" s="100" t="n">
        <x:v>-60</x:v>
      </x:c>
      <x:c r="N17" s="100" t="n">
        <x:v>0.9169150959357618</x:v>
      </x:c>
      <x:c r="O17" s="101" t="b">
        <x:v>1</x:v>
      </x:c>
      <x:c r="P17" t="str">
        <x:v>/Users/jvidale/Documents/Research/FaultScanR/output/20260722_181326_2487/CI_40353552</x:v>
      </x:c>
    </x:row>
    <x:row r="18">
      <x:c r="A18" t="str">
        <x:v>CI_40353552</x:v>
      </x:c>
      <x:c r="B18" s="99" t="str">
        <x:v>00053</x:v>
      </x:c>
      <x:c r="C18" t="str">
        <x:v>T</x:v>
      </x:c>
      <x:c r="D18" t="str">
        <x:v>R</x:v>
      </x:c>
      <x:c r="E18" t="str">
        <x:v>time shift</x:v>
      </x:c>
      <x:c r="F18" t="str">
        <x:v>S</x:v>
      </x:c>
      <x:c r="G18" s="100" t="n">
        <x:v>3</x:v>
      </x:c>
      <x:c r="H18" s="100" t="n">
        <x:v>10</x:v>
      </x:c>
      <x:c r="I18" s="100" t="n">
        <x:v>250</x:v>
      </x:c>
      <x:c r="J18" s="100" t="n">
        <x:v>-0.228</x:v>
      </x:c>
      <x:c r="K18" s="100" t="n">
        <x:v>-0.1988345834662582</x:v>
      </x:c>
      <x:c r="L18" s="100" t="n">
        <x:v>-0.02916541653374186</x:v>
      </x:c>
      <x:c r="M18" s="100" t="n">
        <x:v>-57</x:v>
      </x:c>
      <x:c r="N18" s="100" t="n">
        <x:v>0.9854360754940252</x:v>
      </x:c>
      <x:c r="O18" s="101" t="b">
        <x:v>1</x:v>
      </x:c>
      <x:c r="P18" t="str">
        <x:v>/Users/jvidale/Documents/Research/FaultScanR/output/20260722_181326_2487/CI_40353552</x:v>
      </x:c>
    </x:row>
    <x:row r="19">
      <x:c r="A19" t="str">
        <x:v>CI_40353552</x:v>
      </x:c>
      <x:c r="B19" s="99" t="str">
        <x:v>00054</x:v>
      </x:c>
      <x:c r="C19" t="str">
        <x:v>T</x:v>
      </x:c>
      <x:c r="D19" t="str">
        <x:v>R</x:v>
      </x:c>
      <x:c r="E19" t="str">
        <x:v>time shift</x:v>
      </x:c>
      <x:c r="F19" t="str">
        <x:v>S</x:v>
      </x:c>
      <x:c r="G19" s="100" t="n">
        <x:v>3</x:v>
      </x:c>
      <x:c r="H19" s="100" t="n">
        <x:v>10</x:v>
      </x:c>
      <x:c r="I19" s="100" t="n">
        <x:v>250</x:v>
      </x:c>
      <x:c r="J19" s="100" t="n">
        <x:v>-0.22</x:v>
      </x:c>
      <x:c r="K19" s="100" t="n">
        <x:v>-0.1908206983690199</x:v>
      </x:c>
      <x:c r="L19" s="100" t="n">
        <x:v>-0.02917930163098006</x:v>
      </x:c>
      <x:c r="M19" s="100" t="n">
        <x:v>-55</x:v>
      </x:c>
      <x:c r="N19" s="100" t="n">
        <x:v>0.9945403922022721</x:v>
      </x:c>
      <x:c r="O19" s="101" t="b">
        <x:v>1</x:v>
      </x:c>
      <x:c r="P19" t="str">
        <x:v>/Users/jvidale/Documents/Research/FaultScanR/output/20260722_181326_2487/CI_40353552</x:v>
      </x:c>
    </x:row>
    <x:row r="20">
      <x:c r="A20" t="str">
        <x:v>CI_40353552</x:v>
      </x:c>
      <x:c r="B20" s="99" t="str">
        <x:v>00055</x:v>
      </x:c>
      <x:c r="C20" t="str">
        <x:v>T</x:v>
      </x:c>
      <x:c r="D20" t="str">
        <x:v>R</x:v>
      </x:c>
      <x:c r="E20" t="str">
        <x:v>time shift</x:v>
      </x:c>
      <x:c r="F20" t="str">
        <x:v>S</x:v>
      </x:c>
      <x:c r="G20" s="100" t="n">
        <x:v>3</x:v>
      </x:c>
      <x:c r="H20" s="100" t="n">
        <x:v>10</x:v>
      </x:c>
      <x:c r="I20" s="100" t="n">
        <x:v>250</x:v>
      </x:c>
      <x:c r="J20" s="100" t="n">
        <x:v>-0.216</x:v>
      </x:c>
      <x:c r="K20" s="100" t="n">
        <x:v>-0.1821607926426791</x:v>
      </x:c>
      <x:c r="L20" s="100" t="n">
        <x:v>-0.03383920735732085</x:v>
      </x:c>
      <x:c r="M20" s="100" t="n">
        <x:v>-54</x:v>
      </x:c>
      <x:c r="N20" s="100" t="n">
        <x:v>0.9946142196702066</x:v>
      </x:c>
      <x:c r="O20" s="101" t="b">
        <x:v>1</x:v>
      </x:c>
      <x:c r="P20" t="str">
        <x:v>/Users/jvidale/Documents/Research/FaultScanR/output/20260722_181326_2487/CI_40353552</x:v>
      </x:c>
    </x:row>
    <x:row r="21">
      <x:c r="A21" t="str">
        <x:v>CI_40353552</x:v>
      </x:c>
      <x:c r="B21" s="99" t="str">
        <x:v>00056</x:v>
      </x:c>
      <x:c r="C21" t="str">
        <x:v>T</x:v>
      </x:c>
      <x:c r="D21" t="str">
        <x:v>R</x:v>
      </x:c>
      <x:c r="E21" t="str">
        <x:v>time shift</x:v>
      </x:c>
      <x:c r="F21" t="str">
        <x:v>S</x:v>
      </x:c>
      <x:c r="G21" s="100" t="n">
        <x:v>3</x:v>
      </x:c>
      <x:c r="H21" s="100" t="n">
        <x:v>10</x:v>
      </x:c>
      <x:c r="I21" s="100" t="n">
        <x:v>250</x:v>
      </x:c>
      <x:c r="J21" s="100" t="n">
        <x:v>-0.208</x:v>
      </x:c>
      <x:c r="K21" s="100" t="n">
        <x:v>-0.1745433217003178</x:v>
      </x:c>
      <x:c r="L21" s="100" t="n">
        <x:v>-0.03345667829968216</x:v>
      </x:c>
      <x:c r="M21" s="100" t="n">
        <x:v>-52</x:v>
      </x:c>
      <x:c r="N21" s="100" t="n">
        <x:v>0.9784352529263812</x:v>
      </x:c>
      <x:c r="O21" s="101" t="b">
        <x:v>1</x:v>
      </x:c>
      <x:c r="P21" t="str">
        <x:v>/Users/jvidale/Documents/Research/FaultScanR/output/20260722_181326_2487/CI_40353552</x:v>
      </x:c>
    </x:row>
    <x:row r="22">
      <x:c r="A22" t="str">
        <x:v>CI_40353552</x:v>
      </x:c>
      <x:c r="B22" s="99" t="str">
        <x:v>00057</x:v>
      </x:c>
      <x:c r="C22" t="str">
        <x:v>T</x:v>
      </x:c>
      <x:c r="D22" t="str">
        <x:v>R</x:v>
      </x:c>
      <x:c r="E22" t="str">
        <x:v>time shift</x:v>
      </x:c>
      <x:c r="F22" t="str">
        <x:v>S</x:v>
      </x:c>
      <x:c r="G22" s="100" t="n">
        <x:v>3</x:v>
      </x:c>
      <x:c r="H22" s="100" t="n">
        <x:v>10</x:v>
      </x:c>
      <x:c r="I22" s="100" t="n">
        <x:v>250</x:v>
      </x:c>
      <x:c r="J22" s="100" t="n">
        <x:v>-0.196</x:v>
      </x:c>
      <x:c r="K22" s="100" t="n">
        <x:v>-0.1667519419835424</x:v>
      </x:c>
      <x:c r="L22" s="100" t="n">
        <x:v>-0.02924805801645763</x:v>
      </x:c>
      <x:c r="M22" s="100" t="n">
        <x:v>-49</x:v>
      </x:c>
      <x:c r="N22" s="100" t="n">
        <x:v>0.9904764881558119</x:v>
      </x:c>
      <x:c r="O22" s="101" t="b">
        <x:v>1</x:v>
      </x:c>
      <x:c r="P22" t="str">
        <x:v>/Users/jvidale/Documents/Research/FaultScanR/output/20260722_181326_2487/CI_40353552</x:v>
      </x:c>
    </x:row>
    <x:row r="23">
      <x:c r="A23" t="str">
        <x:v>CI_40353552</x:v>
      </x:c>
      <x:c r="B23" s="99" t="str">
        <x:v>00059</x:v>
      </x:c>
      <x:c r="C23" t="str">
        <x:v>T</x:v>
      </x:c>
      <x:c r="D23" t="str">
        <x:v>R</x:v>
      </x:c>
      <x:c r="E23" t="str">
        <x:v>time shift</x:v>
      </x:c>
      <x:c r="F23" t="str">
        <x:v>S</x:v>
      </x:c>
      <x:c r="G23" s="100" t="n">
        <x:v>3</x:v>
      </x:c>
      <x:c r="H23" s="100" t="n">
        <x:v>10</x:v>
      </x:c>
      <x:c r="I23" s="100" t="n">
        <x:v>250</x:v>
      </x:c>
      <x:c r="J23" s="100" t="n">
        <x:v>-0.18</x:v>
      </x:c>
      <x:c r="K23" s="100" t="n">
        <x:v>-0.1472835305741347</x:v>
      </x:c>
      <x:c r="L23" s="100" t="n">
        <x:v>-0.03271646942586531</x:v>
      </x:c>
      <x:c r="M23" s="100" t="n">
        <x:v>-45</x:v>
      </x:c>
      <x:c r="N23" s="100" t="n">
        <x:v>0.9744662644569303</x:v>
      </x:c>
      <x:c r="O23" s="101" t="b">
        <x:v>1</x:v>
      </x:c>
      <x:c r="P23" t="str">
        <x:v>/Users/jvidale/Documents/Research/FaultScanR/output/20260722_181326_2487/CI_40353552</x:v>
      </x:c>
    </x:row>
    <x:row r="24">
      <x:c r="A24" t="str">
        <x:v>CI_40353552</x:v>
      </x:c>
      <x:c r="B24" s="99" t="str">
        <x:v>00060</x:v>
      </x:c>
      <x:c r="C24" t="str">
        <x:v>T</x:v>
      </x:c>
      <x:c r="D24" t="str">
        <x:v>R</x:v>
      </x:c>
      <x:c r="E24" t="str">
        <x:v>time shift</x:v>
      </x:c>
      <x:c r="F24" t="str">
        <x:v>S</x:v>
      </x:c>
      <x:c r="G24" s="100" t="n">
        <x:v>3</x:v>
      </x:c>
      <x:c r="H24" s="100" t="n">
        <x:v>10</x:v>
      </x:c>
      <x:c r="I24" s="100" t="n">
        <x:v>250</x:v>
      </x:c>
      <x:c r="J24" s="100" t="n">
        <x:v>-0.176</x:v>
      </x:c>
      <x:c r="K24" s="100" t="n">
        <x:v>-0.139917475762152</x:v>
      </x:c>
      <x:c r="L24" s="100" t="n">
        <x:v>-0.03608252423784802</x:v>
      </x:c>
      <x:c r="M24" s="100" t="n">
        <x:v>-44</x:v>
      </x:c>
      <x:c r="N24" s="100" t="n">
        <x:v>0.9435502537049543</x:v>
      </x:c>
      <x:c r="O24" s="101" t="b">
        <x:v>1</x:v>
      </x:c>
      <x:c r="P24" t="str">
        <x:v>/Users/jvidale/Documents/Research/FaultScanR/output/20260722_181326_2487/CI_40353552</x:v>
      </x:c>
    </x:row>
    <x:row r="25">
      <x:c r="A25" t="str">
        <x:v>CI_40353552</x:v>
      </x:c>
      <x:c r="B25" s="99" t="str">
        <x:v>00061</x:v>
      </x:c>
      <x:c r="C25" t="str">
        <x:v>T</x:v>
      </x:c>
      <x:c r="D25" t="str">
        <x:v>R</x:v>
      </x:c>
      <x:c r="E25" t="str">
        <x:v>time shift</x:v>
      </x:c>
      <x:c r="F25" t="str">
        <x:v>S</x:v>
      </x:c>
      <x:c r="G25" s="100" t="n">
        <x:v>3</x:v>
      </x:c>
      <x:c r="H25" s="100" t="n">
        <x:v>10</x:v>
      </x:c>
      <x:c r="I25" s="100" t="n">
        <x:v>250</x:v>
      </x:c>
      <x:c r="J25" s="100" t="n">
        <x:v>-0.164</x:v>
      </x:c>
      <x:c r="K25" s="100" t="n">
        <x:v>-0.1295858276891231</x:v>
      </x:c>
      <x:c r="L25" s="100" t="n">
        <x:v>-0.03441417231087693</x:v>
      </x:c>
      <x:c r="M25" s="100" t="n">
        <x:v>-41</x:v>
      </x:c>
      <x:c r="N25" s="100" t="n">
        <x:v>0.8869679676897427</x:v>
      </x:c>
      <x:c r="O25" s="101" t="b">
        <x:v>1</x:v>
      </x:c>
      <x:c r="P25" t="str">
        <x:v>/Users/jvidale/Documents/Research/FaultScanR/output/20260722_181326_2487/CI_40353552</x:v>
      </x:c>
    </x:row>
    <x:row r="26">
      <x:c r="A26" t="str">
        <x:v>CI_40353552</x:v>
      </x:c>
      <x:c r="B26" s="99" t="str">
        <x:v>00062</x:v>
      </x:c>
      <x:c r="C26" t="str">
        <x:v>T</x:v>
      </x:c>
      <x:c r="D26" t="str">
        <x:v>R</x:v>
      </x:c>
      <x:c r="E26" t="str">
        <x:v>time shift</x:v>
      </x:c>
      <x:c r="F26" t="str">
        <x:v>S</x:v>
      </x:c>
      <x:c r="G26" s="100" t="n">
        <x:v>3</x:v>
      </x:c>
      <x:c r="H26" s="100" t="n">
        <x:v>10</x:v>
      </x:c>
      <x:c r="I26" s="100" t="n">
        <x:v>250</x:v>
      </x:c>
      <x:c r="J26" s="100" t="n">
        <x:v>-0.148</x:v>
      </x:c>
      <x:c r="K26" s="100" t="n">
        <x:v>-0.1174616666257355</x:v>
      </x:c>
      <x:c r="L26" s="100" t="n">
        <x:v>-0.03053833337426445</x:v>
      </x:c>
      <x:c r="M26" s="100" t="n">
        <x:v>-37</x:v>
      </x:c>
      <x:c r="N26" s="100" t="n">
        <x:v>0.9710733196667998</x:v>
      </x:c>
      <x:c r="O26" s="101" t="b">
        <x:v>1</x:v>
      </x:c>
      <x:c r="P26" t="str">
        <x:v>/Users/jvidale/Documents/Research/FaultScanR/output/20260722_181326_2487/CI_40353552</x:v>
      </x:c>
    </x:row>
    <x:row r="27">
      <x:c r="A27" t="str">
        <x:v>CI_40353552</x:v>
      </x:c>
      <x:c r="B27" s="99" t="str">
        <x:v>00063</x:v>
      </x:c>
      <x:c r="C27" t="str">
        <x:v>T</x:v>
      </x:c>
      <x:c r="D27" t="str">
        <x:v>R</x:v>
      </x:c>
      <x:c r="E27" t="str">
        <x:v>time shift</x:v>
      </x:c>
      <x:c r="F27" t="str">
        <x:v>S</x:v>
      </x:c>
      <x:c r="G27" s="100" t="n">
        <x:v>3</x:v>
      </x:c>
      <x:c r="H27" s="100" t="n">
        <x:v>10</x:v>
      </x:c>
      <x:c r="I27" s="100" t="n">
        <x:v>250</x:v>
      </x:c>
      <x:c r="J27" s="100" t="n">
        <x:v>-0.232</x:v>
      </x:c>
      <x:c r="K27" s="100" t="n">
        <x:v>-0.2108872405586908</x:v>
      </x:c>
      <x:c r="L27" s="100" t="n">
        <x:v>-0.02111275944130922</x:v>
      </x:c>
      <x:c r="M27" s="100" t="n">
        <x:v>-58</x:v>
      </x:c>
      <x:c r="N27" s="100" t="n">
        <x:v>0.9078204087246994</x:v>
      </x:c>
      <x:c r="O27" s="101" t="b">
        <x:v>1</x:v>
      </x:c>
      <x:c r="P27" t="str">
        <x:v>/Users/jvidale/Documents/Research/FaultScanR/output/20260722_181326_2487/CI_40353552</x:v>
      </x:c>
    </x:row>
    <x:row r="28">
      <x:c r="A28" t="str">
        <x:v>CI_40353552</x:v>
      </x:c>
      <x:c r="B28" s="99" t="str">
        <x:v>00064</x:v>
      </x:c>
      <x:c r="C28" t="str">
        <x:v>T</x:v>
      </x:c>
      <x:c r="D28" t="str">
        <x:v>R</x:v>
      </x:c>
      <x:c r="E28" t="str">
        <x:v>time shift</x:v>
      </x:c>
      <x:c r="F28" t="str">
        <x:v>S</x:v>
      </x:c>
      <x:c r="G28" s="100" t="n">
        <x:v>3</x:v>
      </x:c>
      <x:c r="H28" s="100" t="n">
        <x:v>10</x:v>
      </x:c>
      <x:c r="I28" s="100" t="n">
        <x:v>250</x:v>
      </x:c>
      <x:c r="J28" s="100" t="n">
        <x:v>-0.232</x:v>
      </x:c>
      <x:c r="K28" s="100" t="n">
        <x:v>-0.2056058112772456</x:v>
      </x:c>
      <x:c r="L28" s="100" t="n">
        <x:v>-0.02639418872275437</x:v>
      </x:c>
      <x:c r="M28" s="100" t="n">
        <x:v>-58</x:v>
      </x:c>
      <x:c r="N28" s="100" t="n">
        <x:v>0.8713321564190804</x:v>
      </x:c>
      <x:c r="O28" s="101" t="b">
        <x:v>1</x:v>
      </x:c>
      <x:c r="P28" t="str">
        <x:v>/Users/jvidale/Documents/Research/FaultScanR/output/20260722_181326_2487/CI_40353552</x:v>
      </x:c>
    </x:row>
    <x:row r="29">
      <x:c r="A29" t="str">
        <x:v>CI_40353552</x:v>
      </x:c>
      <x:c r="B29" s="99" t="str">
        <x:v>00065</x:v>
      </x:c>
      <x:c r="C29" t="str">
        <x:v>T</x:v>
      </x:c>
      <x:c r="D29" t="str">
        <x:v>R</x:v>
      </x:c>
      <x:c r="E29" t="str">
        <x:v>time shift</x:v>
      </x:c>
      <x:c r="F29" t="str">
        <x:v>S</x:v>
      </x:c>
      <x:c r="G29" s="100" t="n">
        <x:v>3</x:v>
      </x:c>
      <x:c r="H29" s="100" t="n">
        <x:v>10</x:v>
      </x:c>
      <x:c r="I29" s="100" t="n">
        <x:v>250</x:v>
      </x:c>
      <x:c r="J29" s="100" t="n">
        <x:v>-0.232</x:v>
      </x:c>
      <x:c r="K29" s="100" t="n">
        <x:v>-0.196456910248676</x:v>
      </x:c>
      <x:c r="L29" s="100" t="n">
        <x:v>-0.03554308975132406</x:v>
      </x:c>
      <x:c r="M29" s="100" t="n">
        <x:v>-58</x:v>
      </x:c>
      <x:c r="N29" s="100" t="n">
        <x:v>0.6296106894968376</x:v>
      </x:c>
      <x:c r="O29" s="101" t="b">
        <x:v>1</x:v>
      </x:c>
      <x:c r="P29" t="str">
        <x:v>/Users/jvidale/Documents/Research/FaultScanR/output/20260722_181326_2487/CI_40353552</x:v>
      </x:c>
    </x:row>
    <x:row r="30">
      <x:c r="A30" t="str">
        <x:v>CI_40353552</x:v>
      </x:c>
      <x:c r="B30" s="99" t="str">
        <x:v>00066</x:v>
      </x:c>
      <x:c r="C30" t="str">
        <x:v>T</x:v>
      </x:c>
      <x:c r="D30" t="str">
        <x:v>R</x:v>
      </x:c>
      <x:c r="E30" t="str">
        <x:v>time shift</x:v>
      </x:c>
      <x:c r="F30" t="str">
        <x:v>S</x:v>
      </x:c>
      <x:c r="G30" s="100" t="n">
        <x:v>3</x:v>
      </x:c>
      <x:c r="H30" s="100" t="n">
        <x:v>10</x:v>
      </x:c>
      <x:c r="I30" s="100" t="n">
        <x:v>250</x:v>
      </x:c>
      <x:c r="J30" s="100" t="n">
        <x:v>-0.216</x:v>
      </x:c>
      <x:c r="K30" s="100" t="n">
        <x:v>-0.1901764640909516</x:v>
      </x:c>
      <x:c r="L30" s="100" t="n">
        <x:v>-0.02582353590904843</x:v>
      </x:c>
      <x:c r="M30" s="100" t="n">
        <x:v>-54</x:v>
      </x:c>
      <x:c r="N30" s="100" t="n">
        <x:v>0.8995469184154204</x:v>
      </x:c>
      <x:c r="O30" s="101" t="b">
        <x:v>1</x:v>
      </x:c>
      <x:c r="P30" t="str">
        <x:v>/Users/jvidale/Documents/Research/FaultScanR/output/20260722_181326_2487/CI_40353552</x:v>
      </x:c>
    </x:row>
    <x:row r="31">
      <x:c r="A31" t="str">
        <x:v>CI_40353552</x:v>
      </x:c>
      <x:c r="B31" s="99" t="str">
        <x:v>00067</x:v>
      </x:c>
      <x:c r="C31" t="str">
        <x:v>T</x:v>
      </x:c>
      <x:c r="D31" t="str">
        <x:v>R</x:v>
      </x:c>
      <x:c r="E31" t="str">
        <x:v>time shift</x:v>
      </x:c>
      <x:c r="F31" t="str">
        <x:v>S</x:v>
      </x:c>
      <x:c r="G31" s="100" t="n">
        <x:v>3</x:v>
      </x:c>
      <x:c r="H31" s="100" t="n">
        <x:v>10</x:v>
      </x:c>
      <x:c r="I31" s="100" t="n">
        <x:v>250</x:v>
      </x:c>
      <x:c r="J31" s="100" t="n">
        <x:v>-0.212</x:v>
      </x:c>
      <x:c r="K31" s="100" t="n">
        <x:v>-0.1812545781735828</x:v>
      </x:c>
      <x:c r="L31" s="100" t="n">
        <x:v>-0.03074542182641718</x:v>
      </x:c>
      <x:c r="M31" s="100" t="n">
        <x:v>-53</x:v>
      </x:c>
      <x:c r="N31" s="100" t="n">
        <x:v>0.9894442149595799</x:v>
      </x:c>
      <x:c r="O31" s="101" t="b">
        <x:v>1</x:v>
      </x:c>
      <x:c r="P31" t="str">
        <x:v>/Users/jvidale/Documents/Research/FaultScanR/output/20260722_181326_2487/CI_40353552</x:v>
      </x:c>
    </x:row>
    <x:row r="32">
      <x:c r="A32" t="str">
        <x:v>CI_40353552</x:v>
      </x:c>
      <x:c r="B32" s="99" t="str">
        <x:v>00068</x:v>
      </x:c>
      <x:c r="C32" t="str">
        <x:v>T</x:v>
      </x:c>
      <x:c r="D32" t="str">
        <x:v>R</x:v>
      </x:c>
      <x:c r="E32" t="str">
        <x:v>time shift</x:v>
      </x:c>
      <x:c r="F32" t="str">
        <x:v>S</x:v>
      </x:c>
      <x:c r="G32" s="100" t="n">
        <x:v>3</x:v>
      </x:c>
      <x:c r="H32" s="100" t="n">
        <x:v>10</x:v>
      </x:c>
      <x:c r="I32" s="100" t="n">
        <x:v>250</x:v>
      </x:c>
      <x:c r="J32" s="100" t="n">
        <x:v>-0.196</x:v>
      </x:c>
      <x:c r="K32" s="100" t="n">
        <x:v>-0.1711688700324139</x:v>
      </x:c>
      <x:c r="L32" s="100" t="n">
        <x:v>-0.02483112996758613</x:v>
      </x:c>
      <x:c r="M32" s="100" t="n">
        <x:v>-49</x:v>
      </x:c>
      <x:c r="N32" s="100" t="n">
        <x:v>0.9858288881533834</x:v>
      </x:c>
      <x:c r="O32" s="101" t="b">
        <x:v>1</x:v>
      </x:c>
      <x:c r="P32" t="str">
        <x:v>/Users/jvidale/Documents/Research/FaultScanR/output/20260722_181326_2487/CI_40353552</x:v>
      </x:c>
    </x:row>
    <x:row r="33">
      <x:c r="A33" t="str">
        <x:v>CI_40353552</x:v>
      </x:c>
      <x:c r="B33" s="99" t="str">
        <x:v>00069</x:v>
      </x:c>
      <x:c r="C33" t="str">
        <x:v>T</x:v>
      </x:c>
      <x:c r="D33" t="str">
        <x:v>R</x:v>
      </x:c>
      <x:c r="E33" t="str">
        <x:v>time shift</x:v>
      </x:c>
      <x:c r="F33" t="str">
        <x:v>S</x:v>
      </x:c>
      <x:c r="G33" s="100" t="n">
        <x:v>3</x:v>
      </x:c>
      <x:c r="H33" s="100" t="n">
        <x:v>10</x:v>
      </x:c>
      <x:c r="I33" s="100" t="n">
        <x:v>250</x:v>
      </x:c>
      <x:c r="J33" s="100" t="n">
        <x:v>-0.188</x:v>
      </x:c>
      <x:c r="K33" s="100" t="n">
        <x:v>-0.1622202010571581</x:v>
      </x:c>
      <x:c r="L33" s="100" t="n">
        <x:v>-0.02577979894284194</x:v>
      </x:c>
      <x:c r="M33" s="100" t="n">
        <x:v>-47</x:v>
      </x:c>
      <x:c r="N33" s="100" t="n">
        <x:v>0.9733963166835484</x:v>
      </x:c>
      <x:c r="O33" s="101" t="b">
        <x:v>1</x:v>
      </x:c>
      <x:c r="P33" t="str">
        <x:v>/Users/jvidale/Documents/Research/FaultScanR/output/20260722_181326_2487/CI_40353552</x:v>
      </x:c>
    </x:row>
    <x:row r="34">
      <x:c r="A34" t="str">
        <x:v>CI_40353552</x:v>
      </x:c>
      <x:c r="B34" s="99" t="str">
        <x:v>00070</x:v>
      </x:c>
      <x:c r="C34" t="str">
        <x:v>T</x:v>
      </x:c>
      <x:c r="D34" t="str">
        <x:v>R</x:v>
      </x:c>
      <x:c r="E34" t="str">
        <x:v>time shift</x:v>
      </x:c>
      <x:c r="F34" t="str">
        <x:v>S</x:v>
      </x:c>
      <x:c r="G34" s="100" t="n">
        <x:v>3</x:v>
      </x:c>
      <x:c r="H34" s="100" t="n">
        <x:v>10</x:v>
      </x:c>
      <x:c r="I34" s="100" t="n">
        <x:v>250</x:v>
      </x:c>
      <x:c r="J34" s="100" t="n">
        <x:v>-0.172</x:v>
      </x:c>
      <x:c r="K34" s="100" t="n">
        <x:v>-0.1499139187969245</x:v>
      </x:c>
      <x:c r="L34" s="100" t="n">
        <x:v>-0.02208608120307548</x:v>
      </x:c>
      <x:c r="M34" s="100" t="n">
        <x:v>-43</x:v>
      </x:c>
      <x:c r="N34" s="100" t="n">
        <x:v>0.9804531270048642</x:v>
      </x:c>
      <x:c r="O34" s="101" t="b">
        <x:v>1</x:v>
      </x:c>
      <x:c r="P34" t="str">
        <x:v>/Users/jvidale/Documents/Research/FaultScanR/output/20260722_181326_2487/CI_40353552</x:v>
      </x:c>
    </x:row>
    <x:row r="35">
      <x:c r="A35" t="str">
        <x:v>CI_40353552</x:v>
      </x:c>
      <x:c r="B35" s="99" t="str">
        <x:v>00071</x:v>
      </x:c>
      <x:c r="C35" t="str">
        <x:v>T</x:v>
      </x:c>
      <x:c r="D35" t="str">
        <x:v>R</x:v>
      </x:c>
      <x:c r="E35" t="str">
        <x:v>time shift</x:v>
      </x:c>
      <x:c r="F35" t="str">
        <x:v>S</x:v>
      </x:c>
      <x:c r="G35" s="100" t="n">
        <x:v>3</x:v>
      </x:c>
      <x:c r="H35" s="100" t="n">
        <x:v>10</x:v>
      </x:c>
      <x:c r="I35" s="100" t="n">
        <x:v>250</x:v>
      </x:c>
      <x:c r="J35" s="100" t="n">
        <x:v>-0.164</x:v>
      </x:c>
      <x:c r="K35" s="100" t="n">
        <x:v>-0.1435181995331849</x:v>
      </x:c>
      <x:c r="L35" s="100" t="n">
        <x:v>-0.02048180046681511</x:v>
      </x:c>
      <x:c r="M35" s="100" t="n">
        <x:v>-41</x:v>
      </x:c>
      <x:c r="N35" s="100" t="n">
        <x:v>0.9344982873986092</x:v>
      </x:c>
      <x:c r="O35" s="101" t="b">
        <x:v>1</x:v>
      </x:c>
      <x:c r="P35" t="str">
        <x:v>/Users/jvidale/Documents/Research/FaultScanR/output/20260722_181326_2487/CI_40353552</x:v>
      </x:c>
    </x:row>
    <x:row r="36">
      <x:c r="A36" t="str">
        <x:v>CI_40353552</x:v>
      </x:c>
      <x:c r="B36" s="99" t="str">
        <x:v>00072</x:v>
      </x:c>
      <x:c r="C36" t="str">
        <x:v>T</x:v>
      </x:c>
      <x:c r="D36" t="str">
        <x:v>R</x:v>
      </x:c>
      <x:c r="E36" t="str">
        <x:v>time shift</x:v>
      </x:c>
      <x:c r="F36" t="str">
        <x:v>S</x:v>
      </x:c>
      <x:c r="G36" s="100" t="n">
        <x:v>3</x:v>
      </x:c>
      <x:c r="H36" s="100" t="n">
        <x:v>10</x:v>
      </x:c>
      <x:c r="I36" s="100" t="n">
        <x:v>250</x:v>
      </x:c>
      <x:c r="J36" s="100" t="n">
        <x:v>-0.16</x:v>
      </x:c>
      <x:c r="K36" s="100" t="n">
        <x:v>-0.1336736855280245</x:v>
      </x:c>
      <x:c r="L36" s="100" t="n">
        <x:v>-0.0263263144719755</x:v>
      </x:c>
      <x:c r="M36" s="100" t="n">
        <x:v>-40</x:v>
      </x:c>
      <x:c r="N36" s="100" t="n">
        <x:v>0.9916434613158359</x:v>
      </x:c>
      <x:c r="O36" s="101" t="b">
        <x:v>1</x:v>
      </x:c>
      <x:c r="P36" t="str">
        <x:v>/Users/jvidale/Documents/Research/FaultScanR/output/20260722_181326_2487/CI_40353552</x:v>
      </x:c>
    </x:row>
    <x:row r="37">
      <x:c r="A37" t="str">
        <x:v>CI_40353552</x:v>
      </x:c>
      <x:c r="B37" s="99" t="str">
        <x:v>00073</x:v>
      </x:c>
      <x:c r="C37" t="str">
        <x:v>T</x:v>
      </x:c>
      <x:c r="D37" t="str">
        <x:v>R</x:v>
      </x:c>
      <x:c r="E37" t="str">
        <x:v>time shift</x:v>
      </x:c>
      <x:c r="F37" t="str">
        <x:v>S</x:v>
      </x:c>
      <x:c r="G37" s="100" t="n">
        <x:v>3</x:v>
      </x:c>
      <x:c r="H37" s="100" t="n">
        <x:v>10</x:v>
      </x:c>
      <x:c r="I37" s="100" t="n">
        <x:v>250</x:v>
      </x:c>
      <x:c r="J37" s="100" t="n">
        <x:v>-0.168</x:v>
      </x:c>
      <x:c r="K37" s="100" t="n">
        <x:v>-0.1267342348097271</x:v>
      </x:c>
      <x:c r="L37" s="100" t="n">
        <x:v>-0.04126576519027289</x:v>
      </x:c>
      <x:c r="M37" s="100" t="n">
        <x:v>-42</x:v>
      </x:c>
      <x:c r="N37" s="100" t="n">
        <x:v>0.9594708193530325</x:v>
      </x:c>
      <x:c r="O37" s="101" t="b">
        <x:v>1</x:v>
      </x:c>
      <x:c r="P37" t="str">
        <x:v>/Users/jvidale/Documents/Research/FaultScanR/output/20260722_181326_2487/CI_40353552</x:v>
      </x:c>
    </x:row>
    <x:row r="38">
      <x:c r="A38" t="str">
        <x:v>CI_40353552</x:v>
      </x:c>
      <x:c r="B38" s="99" t="str">
        <x:v>00075</x:v>
      </x:c>
      <x:c r="C38" t="str">
        <x:v>T</x:v>
      </x:c>
      <x:c r="D38" t="str">
        <x:v>R</x:v>
      </x:c>
      <x:c r="E38" t="str">
        <x:v>time shift</x:v>
      </x:c>
      <x:c r="F38" t="str">
        <x:v>S</x:v>
      </x:c>
      <x:c r="G38" s="100" t="n">
        <x:v>3</x:v>
      </x:c>
      <x:c r="H38" s="100" t="n">
        <x:v>10</x:v>
      </x:c>
      <x:c r="I38" s="100" t="n">
        <x:v>250</x:v>
      </x:c>
      <x:c r="J38" s="100" t="n">
        <x:v>-0.14</x:v>
      </x:c>
      <x:c r="K38" s="100" t="n">
        <x:v>-0.1089043481478198</x:v>
      </x:c>
      <x:c r="L38" s="100" t="n">
        <x:v>-0.03109565185218022</x:v>
      </x:c>
      <x:c r="M38" s="100" t="n">
        <x:v>-35</x:v>
      </x:c>
      <x:c r="N38" s="100" t="n">
        <x:v>0.9827581754130597</x:v>
      </x:c>
      <x:c r="O38" s="101" t="b">
        <x:v>1</x:v>
      </x:c>
      <x:c r="P38" t="str">
        <x:v>/Users/jvidale/Documents/Research/FaultScanR/output/20260722_181326_2487/CI_40353552</x:v>
      </x:c>
    </x:row>
    <x:row r="39">
      <x:c r="A39" t="str">
        <x:v>CI_40353552</x:v>
      </x:c>
      <x:c r="B39" s="99" t="str">
        <x:v>00076</x:v>
      </x:c>
      <x:c r="C39" t="str">
        <x:v>T</x:v>
      </x:c>
      <x:c r="D39" t="str">
        <x:v>R</x:v>
      </x:c>
      <x:c r="E39" t="str">
        <x:v>time shift</x:v>
      </x:c>
      <x:c r="F39" t="str">
        <x:v>S</x:v>
      </x:c>
      <x:c r="G39" s="100" t="n">
        <x:v>3</x:v>
      </x:c>
      <x:c r="H39" s="100" t="n">
        <x:v>10</x:v>
      </x:c>
      <x:c r="I39" s="100" t="n">
        <x:v>250</x:v>
      </x:c>
      <x:c r="J39" s="100" t="n">
        <x:v>-0.136</x:v>
      </x:c>
      <x:c r="K39" s="100" t="n">
        <x:v>-0.09925225842206231</x:v>
      </x:c>
      <x:c r="L39" s="100" t="n">
        <x:v>-0.0367477415779377</x:v>
      </x:c>
      <x:c r="M39" s="100" t="n">
        <x:v>-34</x:v>
      </x:c>
      <x:c r="N39" s="100" t="n">
        <x:v>0.9633361711905511</x:v>
      </x:c>
      <x:c r="O39" s="101" t="b">
        <x:v>1</x:v>
      </x:c>
      <x:c r="P39" t="str">
        <x:v>/Users/jvidale/Documents/Research/FaultScanR/output/20260722_181326_2487/CI_40353552</x:v>
      </x:c>
    </x:row>
    <x:row r="40">
      <x:c r="A40" t="str">
        <x:v>CI_40353552</x:v>
      </x:c>
      <x:c r="B40" s="99" t="str">
        <x:v>00077</x:v>
      </x:c>
      <x:c r="C40" t="str">
        <x:v>T</x:v>
      </x:c>
      <x:c r="D40" t="str">
        <x:v>R</x:v>
      </x:c>
      <x:c r="E40" t="str">
        <x:v>time shift</x:v>
      </x:c>
      <x:c r="F40" t="str">
        <x:v>S</x:v>
      </x:c>
      <x:c r="G40" s="100" t="n">
        <x:v>3</x:v>
      </x:c>
      <x:c r="H40" s="100" t="n">
        <x:v>10</x:v>
      </x:c>
      <x:c r="I40" s="100" t="n">
        <x:v>250</x:v>
      </x:c>
      <x:c r="J40" s="100" t="n">
        <x:v>-0.116</x:v>
      </x:c>
      <x:c r="K40" s="100" t="n">
        <x:v>-0.08898858605567828</x:v>
      </x:c>
      <x:c r="L40" s="100" t="n">
        <x:v>-0.02701141394432173</x:v>
      </x:c>
      <x:c r="M40" s="100" t="n">
        <x:v>-29</x:v>
      </x:c>
      <x:c r="N40" s="100" t="n">
        <x:v>0.9468608952927546</x:v>
      </x:c>
      <x:c r="O40" s="101" t="b">
        <x:v>1</x:v>
      </x:c>
      <x:c r="P40" t="str">
        <x:v>/Users/jvidale/Documents/Research/FaultScanR/output/20260722_181326_2487/CI_40353552</x:v>
      </x:c>
    </x:row>
    <x:row r="41">
      <x:c r="A41" t="str">
        <x:v>CI_40353552</x:v>
      </x:c>
      <x:c r="B41" s="99" t="str">
        <x:v>00078</x:v>
      </x:c>
      <x:c r="C41" t="str">
        <x:v>T</x:v>
      </x:c>
      <x:c r="D41" t="str">
        <x:v>R</x:v>
      </x:c>
      <x:c r="E41" t="str">
        <x:v>time shift</x:v>
      </x:c>
      <x:c r="F41" t="str">
        <x:v>S</x:v>
      </x:c>
      <x:c r="G41" s="100" t="n">
        <x:v>3</x:v>
      </x:c>
      <x:c r="H41" s="100" t="n">
        <x:v>10</x:v>
      </x:c>
      <x:c r="I41" s="100" t="n">
        <x:v>250</x:v>
      </x:c>
      <x:c r="J41" s="100" t="n">
        <x:v>-0.204</x:v>
      </x:c>
      <x:c r="K41" s="100" t="n">
        <x:v>-0.1878413266281624</x:v>
      </x:c>
      <x:c r="L41" s="100" t="n">
        <x:v>-0.01615867337183755</x:v>
      </x:c>
      <x:c r="M41" s="100" t="n">
        <x:v>-51</x:v>
      </x:c>
      <x:c r="N41" s="100" t="n">
        <x:v>0.9199853431027549</x:v>
      </x:c>
      <x:c r="O41" s="101" t="b">
        <x:v>1</x:v>
      </x:c>
      <x:c r="P41" t="str">
        <x:v>/Users/jvidale/Documents/Research/FaultScanR/output/20260722_181326_2487/CI_40353552</x:v>
      </x:c>
    </x:row>
    <x:row r="42">
      <x:c r="A42" t="str">
        <x:v>CI_40353552</x:v>
      </x:c>
      <x:c r="B42" s="99" t="str">
        <x:v>00079</x:v>
      </x:c>
      <x:c r="C42" t="str">
        <x:v>T</x:v>
      </x:c>
      <x:c r="D42" t="str">
        <x:v>R</x:v>
      </x:c>
      <x:c r="E42" t="str">
        <x:v>time shift</x:v>
      </x:c>
      <x:c r="F42" t="str">
        <x:v>S</x:v>
      </x:c>
      <x:c r="G42" s="100" t="n">
        <x:v>3</x:v>
      </x:c>
      <x:c r="H42" s="100" t="n">
        <x:v>10</x:v>
      </x:c>
      <x:c r="I42" s="100" t="n">
        <x:v>250</x:v>
      </x:c>
      <x:c r="J42" s="100" t="n">
        <x:v>-0.208</x:v>
      </x:c>
      <x:c r="K42" s="100" t="n">
        <x:v>-0.1816420049216356</x:v>
      </x:c>
      <x:c r="L42" s="100" t="n">
        <x:v>-0.02635799507836437</x:v>
      </x:c>
      <x:c r="M42" s="100" t="n">
        <x:v>-52</x:v>
      </x:c>
      <x:c r="N42" s="100" t="n">
        <x:v>0.7214179755456988</x:v>
      </x:c>
      <x:c r="O42" s="101" t="b">
        <x:v>1</x:v>
      </x:c>
      <x:c r="P42" t="str">
        <x:v>/Users/jvidale/Documents/Research/FaultScanR/output/20260722_181326_2487/CI_40353552</x:v>
      </x:c>
    </x:row>
    <x:row r="43">
      <x:c r="A43" t="str">
        <x:v>CI_40353552</x:v>
      </x:c>
      <x:c r="B43" s="99" t="str">
        <x:v>00080</x:v>
      </x:c>
      <x:c r="C43" t="str">
        <x:v>T</x:v>
      </x:c>
      <x:c r="D43" t="str">
        <x:v>R</x:v>
      </x:c>
      <x:c r="E43" t="str">
        <x:v>time shift</x:v>
      </x:c>
      <x:c r="F43" t="str">
        <x:v>S</x:v>
      </x:c>
      <x:c r="G43" s="100" t="n">
        <x:v>3</x:v>
      </x:c>
      <x:c r="H43" s="100" t="n">
        <x:v>10</x:v>
      </x:c>
      <x:c r="I43" s="100" t="n">
        <x:v>250</x:v>
      </x:c>
      <x:c r="J43" s="100" t="n">
        <x:v>-0.204</x:v>
      </x:c>
      <x:c r="K43" s="100" t="n">
        <x:v>-0.1750530617420978</x:v>
      </x:c>
      <x:c r="L43" s="100" t="n">
        <x:v>-0.0289469382579022</x:v>
      </x:c>
      <x:c r="M43" s="100" t="n">
        <x:v>-51</x:v>
      </x:c>
      <x:c r="N43" s="100" t="n">
        <x:v>0.502510846371693</x:v>
      </x:c>
      <x:c r="O43" s="101" t="b">
        <x:v>0</x:v>
      </x:c>
      <x:c r="P43" t="str">
        <x:v>/Users/jvidale/Documents/Research/FaultScanR/output/20260722_181326_2487/CI_40353552</x:v>
      </x:c>
    </x:row>
    <x:row r="44">
      <x:c r="A44" t="str">
        <x:v>CI_40353552</x:v>
      </x:c>
      <x:c r="B44" s="99" t="str">
        <x:v>00081</x:v>
      </x:c>
      <x:c r="C44" t="str">
        <x:v>T</x:v>
      </x:c>
      <x:c r="D44" t="str">
        <x:v>R</x:v>
      </x:c>
      <x:c r="E44" t="str">
        <x:v>time shift</x:v>
      </x:c>
      <x:c r="F44" t="str">
        <x:v>S</x:v>
      </x:c>
      <x:c r="G44" s="100" t="n">
        <x:v>3</x:v>
      </x:c>
      <x:c r="H44" s="100" t="n">
        <x:v>10</x:v>
      </x:c>
      <x:c r="I44" s="100" t="n">
        <x:v>250</x:v>
      </x:c>
      <x:c r="J44" s="100" t="n">
        <x:v>-0.192</x:v>
      </x:c>
      <x:c r="K44" s="100" t="n">
        <x:v>-0.1655329486984503</x:v>
      </x:c>
      <x:c r="L44" s="100" t="n">
        <x:v>-0.02646705130154975</x:v>
      </x:c>
      <x:c r="M44" s="100" t="n">
        <x:v>-48</x:v>
      </x:c>
      <x:c r="N44" s="100" t="n">
        <x:v>0.9530558918563602</x:v>
      </x:c>
      <x:c r="O44" s="101" t="b">
        <x:v>1</x:v>
      </x:c>
      <x:c r="P44" t="str">
        <x:v>/Users/jvidale/Documents/Research/FaultScanR/output/20260722_181326_2487/CI_40353552</x:v>
      </x:c>
    </x:row>
    <x:row r="45">
      <x:c r="A45" t="str">
        <x:v>CI_40353552</x:v>
      </x:c>
      <x:c r="B45" s="99" t="str">
        <x:v>00082</x:v>
      </x:c>
      <x:c r="C45" t="str">
        <x:v>T</x:v>
      </x:c>
      <x:c r="D45" t="str">
        <x:v>R</x:v>
      </x:c>
      <x:c r="E45" t="str">
        <x:v>time shift</x:v>
      </x:c>
      <x:c r="F45" t="str">
        <x:v>S</x:v>
      </x:c>
      <x:c r="G45" s="100" t="n">
        <x:v>3</x:v>
      </x:c>
      <x:c r="H45" s="100" t="n">
        <x:v>10</x:v>
      </x:c>
      <x:c r="I45" s="100" t="n">
        <x:v>250</x:v>
      </x:c>
      <x:c r="J45" s="100" t="n">
        <x:v>-0.188</x:v>
      </x:c>
      <x:c r="K45" s="100" t="n">
        <x:v>-0.1586705553656875</x:v>
      </x:c>
      <x:c r="L45" s="100" t="n">
        <x:v>-0.02932944463431247</x:v>
      </x:c>
      <x:c r="M45" s="100" t="n">
        <x:v>-47</x:v>
      </x:c>
      <x:c r="N45" s="100" t="n">
        <x:v>0.9763129215533284</x:v>
      </x:c>
      <x:c r="O45" s="101" t="b">
        <x:v>1</x:v>
      </x:c>
      <x:c r="P45" t="str">
        <x:v>/Users/jvidale/Documents/Research/FaultScanR/output/20260722_181326_2487/CI_40353552</x:v>
      </x:c>
    </x:row>
    <x:row r="46">
      <x:c r="A46" t="str">
        <x:v>CI_40353552</x:v>
      </x:c>
      <x:c r="B46" s="99" t="str">
        <x:v>00083</x:v>
      </x:c>
      <x:c r="C46" t="str">
        <x:v>T</x:v>
      </x:c>
      <x:c r="D46" t="str">
        <x:v>R</x:v>
      </x:c>
      <x:c r="E46" t="str">
        <x:v>time shift</x:v>
      </x:c>
      <x:c r="F46" t="str">
        <x:v>S</x:v>
      </x:c>
      <x:c r="G46" s="100" t="n">
        <x:v>3</x:v>
      </x:c>
      <x:c r="H46" s="100" t="n">
        <x:v>10</x:v>
      </x:c>
      <x:c r="I46" s="100" t="n">
        <x:v>250</x:v>
      </x:c>
      <x:c r="J46" s="100" t="n">
        <x:v>-0.164</x:v>
      </x:c>
      <x:c r="K46" s="100" t="n">
        <x:v>-0.1528874656254571</x:v>
      </x:c>
      <x:c r="L46" s="100" t="n">
        <x:v>-0.01111253437454293</x:v>
      </x:c>
      <x:c r="M46" s="100" t="n">
        <x:v>-41</x:v>
      </x:c>
      <x:c r="N46" s="100" t="n">
        <x:v>0.9604423068532021</x:v>
      </x:c>
      <x:c r="O46" s="101" t="b">
        <x:v>1</x:v>
      </x:c>
      <x:c r="P46" t="str">
        <x:v>/Users/jvidale/Documents/Research/FaultScanR/output/20260722_181326_2487/CI_40353552</x:v>
      </x:c>
    </x:row>
    <x:row r="47">
      <x:c r="A47" t="str">
        <x:v>CI_40353552</x:v>
      </x:c>
      <x:c r="B47" s="99" t="str">
        <x:v>00084</x:v>
      </x:c>
      <x:c r="C47" t="str">
        <x:v>T</x:v>
      </x:c>
      <x:c r="D47" t="str">
        <x:v>R</x:v>
      </x:c>
      <x:c r="E47" t="str">
        <x:v>time shift</x:v>
      </x:c>
      <x:c r="F47" t="str">
        <x:v>S</x:v>
      </x:c>
      <x:c r="G47" s="100" t="n">
        <x:v>3</x:v>
      </x:c>
      <x:c r="H47" s="100" t="n">
        <x:v>10</x:v>
      </x:c>
      <x:c r="I47" s="100" t="n">
        <x:v>250</x:v>
      </x:c>
      <x:c r="J47" s="100" t="n">
        <x:v>-0.152</x:v>
      </x:c>
      <x:c r="K47" s="100" t="n">
        <x:v>-0.1428436703134839</x:v>
      </x:c>
      <x:c r="L47" s="100" t="n">
        <x:v>-0.009156329686516113</x:v>
      </x:c>
      <x:c r="M47" s="100" t="n">
        <x:v>-38</x:v>
      </x:c>
      <x:c r="N47" s="100" t="n">
        <x:v>0.9418016279573048</x:v>
      </x:c>
      <x:c r="O47" s="101" t="b">
        <x:v>1</x:v>
      </x:c>
      <x:c r="P47" t="str">
        <x:v>/Users/jvidale/Documents/Research/FaultScanR/output/20260722_181326_2487/CI_40353552</x:v>
      </x:c>
    </x:row>
    <x:row r="48">
      <x:c r="A48" t="str">
        <x:v>CI_40353552</x:v>
      </x:c>
      <x:c r="B48" s="99" t="str">
        <x:v>00086</x:v>
      </x:c>
      <x:c r="C48" t="str">
        <x:v>T</x:v>
      </x:c>
      <x:c r="D48" t="str">
        <x:v>R</x:v>
      </x:c>
      <x:c r="E48" t="str">
        <x:v>time shift</x:v>
      </x:c>
      <x:c r="F48" t="str">
        <x:v>S</x:v>
      </x:c>
      <x:c r="G48" s="100" t="n">
        <x:v>3</x:v>
      </x:c>
      <x:c r="H48" s="100" t="n">
        <x:v>10</x:v>
      </x:c>
      <x:c r="I48" s="100" t="n">
        <x:v>250</x:v>
      </x:c>
      <x:c r="J48" s="100" t="n">
        <x:v>-0.14</x:v>
      </x:c>
      <x:c r="K48" s="100" t="n">
        <x:v>-0.1199537129472006</x:v>
      </x:c>
      <x:c r="L48" s="100" t="n">
        <x:v>-0.02004628705279943</x:v>
      </x:c>
      <x:c r="M48" s="100" t="n">
        <x:v>-35</x:v>
      </x:c>
      <x:c r="N48" s="100" t="n">
        <x:v>0.9727911904512508</x:v>
      </x:c>
      <x:c r="O48" s="101" t="b">
        <x:v>1</x:v>
      </x:c>
      <x:c r="P48" t="str">
        <x:v>/Users/jvidale/Documents/Research/FaultScanR/output/20260722_181326_2487/CI_40353552</x:v>
      </x:c>
    </x:row>
    <x:row r="49">
      <x:c r="A49" t="str">
        <x:v>CI_40353552</x:v>
      </x:c>
      <x:c r="B49" s="99" t="str">
        <x:v>00087</x:v>
      </x:c>
      <x:c r="C49" t="str">
        <x:v>T</x:v>
      </x:c>
      <x:c r="D49" t="str">
        <x:v>R</x:v>
      </x:c>
      <x:c r="E49" t="str">
        <x:v>time shift</x:v>
      </x:c>
      <x:c r="F49" t="str">
        <x:v>S</x:v>
      </x:c>
      <x:c r="G49" s="100" t="n">
        <x:v>3</x:v>
      </x:c>
      <x:c r="H49" s="100" t="n">
        <x:v>10</x:v>
      </x:c>
      <x:c r="I49" s="100" t="n">
        <x:v>250</x:v>
      </x:c>
      <x:c r="J49" s="100" t="n">
        <x:v>-0.14</x:v>
      </x:c>
      <x:c r="K49" s="100" t="n">
        <x:v>-0.112442401357395</x:v>
      </x:c>
      <x:c r="L49" s="100" t="n">
        <x:v>-0.02755759864260499</x:v>
      </x:c>
      <x:c r="M49" s="100" t="n">
        <x:v>-35</x:v>
      </x:c>
      <x:c r="N49" s="100" t="n">
        <x:v>0.9780491832411987</x:v>
      </x:c>
      <x:c r="O49" s="101" t="b">
        <x:v>1</x:v>
      </x:c>
      <x:c r="P49" t="str">
        <x:v>/Users/jvidale/Documents/Research/FaultScanR/output/20260722_181326_2487/CI_40353552</x:v>
      </x:c>
    </x:row>
    <x:row r="50">
      <x:c r="A50" t="str">
        <x:v>CI_40353552</x:v>
      </x:c>
      <x:c r="B50" s="99" t="str">
        <x:v>00088</x:v>
      </x:c>
      <x:c r="C50" t="str">
        <x:v>T</x:v>
      </x:c>
      <x:c r="D50" t="str">
        <x:v>R</x:v>
      </x:c>
      <x:c r="E50" t="str">
        <x:v>time shift</x:v>
      </x:c>
      <x:c r="F50" t="str">
        <x:v>S</x:v>
      </x:c>
      <x:c r="G50" s="100" t="n">
        <x:v>3</x:v>
      </x:c>
      <x:c r="H50" s="100" t="n">
        <x:v>10</x:v>
      </x:c>
      <x:c r="I50" s="100" t="n">
        <x:v>250</x:v>
      </x:c>
      <x:c r="J50" s="100" t="n">
        <x:v>-0.128</x:v>
      </x:c>
      <x:c r="K50" s="100" t="n">
        <x:v>-0.1054168015060393</x:v>
      </x:c>
      <x:c r="L50" s="100" t="n">
        <x:v>-0.02258319849396073</x:v>
      </x:c>
      <x:c r="M50" s="100" t="n">
        <x:v>-32</x:v>
      </x:c>
      <x:c r="N50" s="100" t="n">
        <x:v>0.9457777107709816</x:v>
      </x:c>
      <x:c r="O50" s="101" t="b">
        <x:v>1</x:v>
      </x:c>
      <x:c r="P50" t="str">
        <x:v>/Users/jvidale/Documents/Research/FaultScanR/output/20260722_181326_2487/CI_40353552</x:v>
      </x:c>
    </x:row>
    <x:row r="51">
      <x:c r="A51" t="str">
        <x:v>CI_40353552</x:v>
      </x:c>
      <x:c r="B51" s="99" t="str">
        <x:v>00089</x:v>
      </x:c>
      <x:c r="C51" t="str">
        <x:v>T</x:v>
      </x:c>
      <x:c r="D51" t="str">
        <x:v>R</x:v>
      </x:c>
      <x:c r="E51" t="str">
        <x:v>time shift</x:v>
      </x:c>
      <x:c r="F51" t="str">
        <x:v>S</x:v>
      </x:c>
      <x:c r="G51" s="100" t="n">
        <x:v>3</x:v>
      </x:c>
      <x:c r="H51" s="100" t="n">
        <x:v>10</x:v>
      </x:c>
      <x:c r="I51" s="100" t="n">
        <x:v>250</x:v>
      </x:c>
      <x:c r="J51" s="100" t="n">
        <x:v>-0.124</x:v>
      </x:c>
      <x:c r="K51" s="100" t="n">
        <x:v>-0.0973642377887769</x:v>
      </x:c>
      <x:c r="L51" s="100" t="n">
        <x:v>-0.0266357622112231</x:v>
      </x:c>
      <x:c r="M51" s="100" t="n">
        <x:v>-31</x:v>
      </x:c>
      <x:c r="N51" s="100" t="n">
        <x:v>0.9759702699470426</x:v>
      </x:c>
      <x:c r="O51" s="101" t="b">
        <x:v>1</x:v>
      </x:c>
      <x:c r="P51" t="str">
        <x:v>/Users/jvidale/Documents/Research/FaultScanR/output/20260722_181326_2487/CI_40353552</x:v>
      </x:c>
    </x:row>
    <x:row r="52">
      <x:c r="A52" t="str">
        <x:v>CI_40353552</x:v>
      </x:c>
      <x:c r="B52" s="99" t="str">
        <x:v>00090</x:v>
      </x:c>
      <x:c r="C52" t="str">
        <x:v>T</x:v>
      </x:c>
      <x:c r="D52" t="str">
        <x:v>R</x:v>
      </x:c>
      <x:c r="E52" t="str">
        <x:v>time shift</x:v>
      </x:c>
      <x:c r="F52" t="str">
        <x:v>S</x:v>
      </x:c>
      <x:c r="G52" s="100" t="n">
        <x:v>3</x:v>
      </x:c>
      <x:c r="H52" s="100" t="n">
        <x:v>10</x:v>
      </x:c>
      <x:c r="I52" s="100" t="n">
        <x:v>250</x:v>
      </x:c>
      <x:c r="J52" s="100" t="n">
        <x:v>-0.112</x:v>
      </x:c>
      <x:c r="K52" s="100" t="n">
        <x:v>-0.0863154051070465</x:v>
      </x:c>
      <x:c r="L52" s="100" t="n">
        <x:v>-0.02568459489295351</x:v>
      </x:c>
      <x:c r="M52" s="100" t="n">
        <x:v>-28</x:v>
      </x:c>
      <x:c r="N52" s="100" t="n">
        <x:v>0.9942576879277122</x:v>
      </x:c>
      <x:c r="O52" s="101" t="b">
        <x:v>1</x:v>
      </x:c>
      <x:c r="P52" t="str">
        <x:v>/Users/jvidale/Documents/Research/FaultScanR/output/20260722_181326_2487/CI_40353552</x:v>
      </x:c>
    </x:row>
    <x:row r="53">
      <x:c r="A53" t="str">
        <x:v>CI_40353552</x:v>
      </x:c>
      <x:c r="B53" s="99" t="str">
        <x:v>00091</x:v>
      </x:c>
      <x:c r="C53" t="str">
        <x:v>T</x:v>
      </x:c>
      <x:c r="D53" t="str">
        <x:v>R</x:v>
      </x:c>
      <x:c r="E53" t="str">
        <x:v>time shift</x:v>
      </x:c>
      <x:c r="F53" t="str">
        <x:v>S</x:v>
      </x:c>
      <x:c r="G53" s="100" t="n">
        <x:v>3</x:v>
      </x:c>
      <x:c r="H53" s="100" t="n">
        <x:v>10</x:v>
      </x:c>
      <x:c r="I53" s="100" t="n">
        <x:v>250</x:v>
      </x:c>
      <x:c r="J53" s="100" t="n">
        <x:v>-0.096</x:v>
      </x:c>
      <x:c r="K53" s="100" t="n">
        <x:v>-0.07766888825793927</x:v>
      </x:c>
      <x:c r="L53" s="100" t="n">
        <x:v>-0.01833111174206073</x:v>
      </x:c>
      <x:c r="M53" s="100" t="n">
        <x:v>-24</x:v>
      </x:c>
      <x:c r="N53" s="100" t="n">
        <x:v>0.9676941029267782</x:v>
      </x:c>
      <x:c r="O53" s="101" t="b">
        <x:v>1</x:v>
      </x:c>
      <x:c r="P53" t="str">
        <x:v>/Users/jvidale/Documents/Research/FaultScanR/output/20260722_181326_2487/CI_40353552</x:v>
      </x:c>
    </x:row>
    <x:row r="54">
      <x:c r="A54" t="str">
        <x:v>CI_40353552</x:v>
      </x:c>
      <x:c r="B54" s="99" t="str">
        <x:v>00092</x:v>
      </x:c>
      <x:c r="C54" t="str">
        <x:v>T</x:v>
      </x:c>
      <x:c r="D54" t="str">
        <x:v>R</x:v>
      </x:c>
      <x:c r="E54" t="str">
        <x:v>time shift</x:v>
      </x:c>
      <x:c r="F54" t="str">
        <x:v>S</x:v>
      </x:c>
      <x:c r="G54" s="100" t="n">
        <x:v>3</x:v>
      </x:c>
      <x:c r="H54" s="100" t="n">
        <x:v>10</x:v>
      </x:c>
      <x:c r="I54" s="100" t="n">
        <x:v>250</x:v>
      </x:c>
      <x:c r="J54" s="100" t="n">
        <x:v>-0.108</x:v>
      </x:c>
      <x:c r="K54" s="100" t="n">
        <x:v>-0.06754409192407707</x:v>
      </x:c>
      <x:c r="L54" s="100" t="n">
        <x:v>-0.04045590807592293</x:v>
      </x:c>
      <x:c r="M54" s="100" t="n">
        <x:v>-27</x:v>
      </x:c>
      <x:c r="N54" s="100" t="n">
        <x:v>0.8987461921170569</x:v>
      </x:c>
      <x:c r="O54" s="101" t="b">
        <x:v>1</x:v>
      </x:c>
      <x:c r="P54" t="str">
        <x:v>/Users/jvidale/Documents/Research/FaultScanR/output/20260722_181326_2487/CI_40353552</x:v>
      </x:c>
    </x:row>
    <x:row r="55">
      <x:c r="A55" t="str">
        <x:v>CI_40353552</x:v>
      </x:c>
      <x:c r="B55" s="99" t="str">
        <x:v>00093</x:v>
      </x:c>
      <x:c r="C55" t="str">
        <x:v>T</x:v>
      </x:c>
      <x:c r="D55" t="str">
        <x:v>R</x:v>
      </x:c>
      <x:c r="E55" t="str">
        <x:v>time shift</x:v>
      </x:c>
      <x:c r="F55" t="str">
        <x:v>S</x:v>
      </x:c>
      <x:c r="G55" s="100" t="n">
        <x:v>3</x:v>
      </x:c>
      <x:c r="H55" s="100" t="n">
        <x:v>10</x:v>
      </x:c>
      <x:c r="I55" s="100" t="n">
        <x:v>250</x:v>
      </x:c>
      <x:c r="J55" s="100" t="n">
        <x:v>-0.1</x:v>
      </x:c>
      <x:c r="K55" s="100" t="n">
        <x:v>-0.05784488224828621</x:v>
      </x:c>
      <x:c r="L55" s="100" t="n">
        <x:v>-0.04215511775171379</x:v>
      </x:c>
      <x:c r="M55" s="100" t="n">
        <x:v>-25</x:v>
      </x:c>
      <x:c r="N55" s="100" t="n">
        <x:v>0.9816334820879793</x:v>
      </x:c>
      <x:c r="O55" s="101" t="b">
        <x:v>1</x:v>
      </x:c>
      <x:c r="P55" t="str">
        <x:v>/Users/jvidale/Documents/Research/FaultScanR/output/20260722_181326_2487/CI_40353552</x:v>
      </x:c>
    </x:row>
    <x:row r="56">
      <x:c r="A56" t="str">
        <x:v>CI_40353552</x:v>
      </x:c>
      <x:c r="B56" s="99" t="str">
        <x:v>00094</x:v>
      </x:c>
      <x:c r="C56" t="str">
        <x:v>T</x:v>
      </x:c>
      <x:c r="D56" t="str">
        <x:v>R</x:v>
      </x:c>
      <x:c r="E56" t="str">
        <x:v>time shift</x:v>
      </x:c>
      <x:c r="F56" t="str">
        <x:v>S</x:v>
      </x:c>
      <x:c r="G56" s="100" t="n">
        <x:v>3</x:v>
      </x:c>
      <x:c r="H56" s="100" t="n">
        <x:v>10</x:v>
      </x:c>
      <x:c r="I56" s="100" t="n">
        <x:v>250</x:v>
      </x:c>
      <x:c r="J56" s="100" t="n">
        <x:v>-0.18</x:v>
      </x:c>
      <x:c r="K56" s="100" t="n">
        <x:v>-0.1681301239769608</x:v>
      </x:c>
      <x:c r="L56" s="100" t="n">
        <x:v>-0.01186987602303918</x:v>
      </x:c>
      <x:c r="M56" s="100" t="n">
        <x:v>-45</x:v>
      </x:c>
      <x:c r="N56" s="100" t="n">
        <x:v>0.6675467689981418</x:v>
      </x:c>
      <x:c r="O56" s="101" t="b">
        <x:v>1</x:v>
      </x:c>
      <x:c r="P56" t="str">
        <x:v>/Users/jvidale/Documents/Research/FaultScanR/output/20260722_181326_2487/CI_40353552</x:v>
      </x:c>
    </x:row>
    <x:row r="57">
      <x:c r="A57" t="str">
        <x:v>CI_40353552</x:v>
      </x:c>
      <x:c r="B57" s="99" t="str">
        <x:v>00095</x:v>
      </x:c>
      <x:c r="C57" t="str">
        <x:v>T</x:v>
      </x:c>
      <x:c r="D57" t="str">
        <x:v>R</x:v>
      </x:c>
      <x:c r="E57" t="str">
        <x:v>time shift</x:v>
      </x:c>
      <x:c r="F57" t="str">
        <x:v>S</x:v>
      </x:c>
      <x:c r="G57" s="100" t="n">
        <x:v>3</x:v>
      </x:c>
      <x:c r="H57" s="100" t="n">
        <x:v>10</x:v>
      </x:c>
      <x:c r="I57" s="100" t="n">
        <x:v>250</x:v>
      </x:c>
      <x:c r="J57" s="100" t="n">
        <x:v>-0.184</x:v>
      </x:c>
      <x:c r="K57" s="100" t="n">
        <x:v>-0.1593408354547456</x:v>
      </x:c>
      <x:c r="L57" s="100" t="n">
        <x:v>-0.02465916454525435</x:v>
      </x:c>
      <x:c r="M57" s="100" t="n">
        <x:v>-46</x:v>
      </x:c>
      <x:c r="N57" s="100" t="n">
        <x:v>0.6950212681593683</x:v>
      </x:c>
      <x:c r="O57" s="101" t="b">
        <x:v>1</x:v>
      </x:c>
      <x:c r="P57" t="str">
        <x:v>/Users/jvidale/Documents/Research/FaultScanR/output/20260722_181326_2487/CI_40353552</x:v>
      </x:c>
    </x:row>
    <x:row r="58">
      <x:c r="A58" t="str">
        <x:v>CI_40353552</x:v>
      </x:c>
      <x:c r="B58" s="99" t="str">
        <x:v>00096</x:v>
      </x:c>
      <x:c r="C58" t="str">
        <x:v>T</x:v>
      </x:c>
      <x:c r="D58" t="str">
        <x:v>R</x:v>
      </x:c>
      <x:c r="E58" t="str">
        <x:v>time shift</x:v>
      </x:c>
      <x:c r="F58" t="str">
        <x:v>S</x:v>
      </x:c>
      <x:c r="G58" s="100" t="n">
        <x:v>3</x:v>
      </x:c>
      <x:c r="H58" s="100" t="n">
        <x:v>10</x:v>
      </x:c>
      <x:c r="I58" s="100" t="n">
        <x:v>250</x:v>
      </x:c>
      <x:c r="J58" s="100" t="n">
        <x:v>-0.128</x:v>
      </x:c>
      <x:c r="K58" s="100" t="n">
        <x:v>-0.1501268594925627</x:v>
      </x:c>
      <x:c r="L58" s="100" t="n">
        <x:v>0.02212685949256266</x:v>
      </x:c>
      <x:c r="M58" s="100" t="n">
        <x:v>-32</x:v>
      </x:c>
      <x:c r="N58" s="100" t="n">
        <x:v>0.8808425273850579</x:v>
      </x:c>
      <x:c r="O58" s="101" t="b">
        <x:v>1</x:v>
      </x:c>
      <x:c r="P58" t="str">
        <x:v>/Users/jvidale/Documents/Research/FaultScanR/output/20260722_181326_2487/CI_40353552</x:v>
      </x:c>
    </x:row>
    <x:row r="59">
      <x:c r="A59" t="str">
        <x:v>CI_40353552</x:v>
      </x:c>
      <x:c r="B59" s="99" t="str">
        <x:v>00097</x:v>
      </x:c>
      <x:c r="C59" t="str">
        <x:v>T</x:v>
      </x:c>
      <x:c r="D59" t="str">
        <x:v>R</x:v>
      </x:c>
      <x:c r="E59" t="str">
        <x:v>time shift</x:v>
      </x:c>
      <x:c r="F59" t="str">
        <x:v>S</x:v>
      </x:c>
      <x:c r="G59" s="100" t="n">
        <x:v>3</x:v>
      </x:c>
      <x:c r="H59" s="100" t="n">
        <x:v>10</x:v>
      </x:c>
      <x:c r="I59" s="100" t="n">
        <x:v>250</x:v>
      </x:c>
      <x:c r="J59" s="100" t="n">
        <x:v>-0.156</x:v>
      </x:c>
      <x:c r="K59" s="100" t="n">
        <x:v>-0.1443913094409428</x:v>
      </x:c>
      <x:c r="L59" s="100" t="n">
        <x:v>-0.01160869055905719</x:v>
      </x:c>
      <x:c r="M59" s="100" t="n">
        <x:v>-39</x:v>
      </x:c>
      <x:c r="N59" s="100" t="n">
        <x:v>0.9343943843549914</x:v>
      </x:c>
      <x:c r="O59" s="101" t="b">
        <x:v>1</x:v>
      </x:c>
      <x:c r="P59" t="str">
        <x:v>/Users/jvidale/Documents/Research/FaultScanR/output/20260722_181326_2487/CI_40353552</x:v>
      </x:c>
    </x:row>
    <x:row r="60">
      <x:c r="A60" t="str">
        <x:v>CI_40353552</x:v>
      </x:c>
      <x:c r="B60" s="99" t="str">
        <x:v>00098</x:v>
      </x:c>
      <x:c r="C60" t="str">
        <x:v>T</x:v>
      </x:c>
      <x:c r="D60" t="str">
        <x:v>R</x:v>
      </x:c>
      <x:c r="E60" t="str">
        <x:v>time shift</x:v>
      </x:c>
      <x:c r="F60" t="str">
        <x:v>S</x:v>
      </x:c>
      <x:c r="G60" s="100" t="n">
        <x:v>3</x:v>
      </x:c>
      <x:c r="H60" s="100" t="n">
        <x:v>10</x:v>
      </x:c>
      <x:c r="I60" s="100" t="n">
        <x:v>250</x:v>
      </x:c>
      <x:c r="J60" s="100" t="n">
        <x:v>-0.144</x:v>
      </x:c>
      <x:c r="K60" s="100" t="n">
        <x:v>-0.1325773191556943</x:v>
      </x:c>
      <x:c r="L60" s="100" t="n">
        <x:v>-0.01142268084430573</x:v>
      </x:c>
      <x:c r="M60" s="100" t="n">
        <x:v>-36</x:v>
      </x:c>
      <x:c r="N60" s="100" t="n">
        <x:v>0.9812339716301101</x:v>
      </x:c>
      <x:c r="O60" s="101" t="b">
        <x:v>1</x:v>
      </x:c>
      <x:c r="P60" t="str">
        <x:v>/Users/jvidale/Documents/Research/FaultScanR/output/20260722_181326_2487/CI_40353552</x:v>
      </x:c>
    </x:row>
    <x:row r="61">
      <x:c r="A61" t="str">
        <x:v>CI_40353552</x:v>
      </x:c>
      <x:c r="B61" s="99" t="str">
        <x:v>00099</x:v>
      </x:c>
      <x:c r="C61" t="str">
        <x:v>T</x:v>
      </x:c>
      <x:c r="D61" t="str">
        <x:v>R</x:v>
      </x:c>
      <x:c r="E61" t="str">
        <x:v>time shift</x:v>
      </x:c>
      <x:c r="F61" t="str">
        <x:v>S</x:v>
      </x:c>
      <x:c r="G61" s="100" t="n">
        <x:v>3</x:v>
      </x:c>
      <x:c r="H61" s="100" t="n">
        <x:v>10</x:v>
      </x:c>
      <x:c r="I61" s="100" t="n">
        <x:v>250</x:v>
      </x:c>
      <x:c r="J61" s="100" t="n">
        <x:v>-0.136</x:v>
      </x:c>
      <x:c r="K61" s="100" t="n">
        <x:v>-0.1261573754804424</x:v>
      </x:c>
      <x:c r="L61" s="100" t="n">
        <x:v>-0.009842624519557641</x:v>
      </x:c>
      <x:c r="M61" s="100" t="n">
        <x:v>-34</x:v>
      </x:c>
      <x:c r="N61" s="100" t="n">
        <x:v>0.9834043984187455</x:v>
      </x:c>
      <x:c r="O61" s="101" t="b">
        <x:v>1</x:v>
      </x:c>
      <x:c r="P61" t="str">
        <x:v>/Users/jvidale/Documents/Research/FaultScanR/output/20260722_181326_2487/CI_40353552</x:v>
      </x:c>
    </x:row>
    <x:row r="62">
      <x:c r="A62" t="str">
        <x:v>CI_40353552</x:v>
      </x:c>
      <x:c r="B62" s="99" t="str">
        <x:v>00101</x:v>
      </x:c>
      <x:c r="C62" t="str">
        <x:v>T</x:v>
      </x:c>
      <x:c r="D62" t="str">
        <x:v>R</x:v>
      </x:c>
      <x:c r="E62" t="str">
        <x:v>time shift</x:v>
      </x:c>
      <x:c r="F62" t="str">
        <x:v>S</x:v>
      </x:c>
      <x:c r="G62" s="100" t="n">
        <x:v>3</x:v>
      </x:c>
      <x:c r="H62" s="100" t="n">
        <x:v>10</x:v>
      </x:c>
      <x:c r="I62" s="100" t="n">
        <x:v>250</x:v>
      </x:c>
      <x:c r="J62" s="100" t="n">
        <x:v>-0.12</x:v>
      </x:c>
      <x:c r="K62" s="100" t="n">
        <x:v>-0.1056526298029672</x:v>
      </x:c>
      <x:c r="L62" s="100" t="n">
        <x:v>-0.0143473701970328</x:v>
      </x:c>
      <x:c r="M62" s="100" t="n">
        <x:v>-30</x:v>
      </x:c>
      <x:c r="N62" s="100" t="n">
        <x:v>0.9653111071248869</x:v>
      </x:c>
      <x:c r="O62" s="101" t="b">
        <x:v>1</x:v>
      </x:c>
      <x:c r="P62" t="str">
        <x:v>/Users/jvidale/Documents/Research/FaultScanR/output/20260722_181326_2487/CI_40353552</x:v>
      </x:c>
    </x:row>
    <x:row r="63">
      <x:c r="A63" t="str">
        <x:v>CI_40353552</x:v>
      </x:c>
      <x:c r="B63" s="99" t="str">
        <x:v>00102</x:v>
      </x:c>
      <x:c r="C63" t="str">
        <x:v>T</x:v>
      </x:c>
      <x:c r="D63" t="str">
        <x:v>R</x:v>
      </x:c>
      <x:c r="E63" t="str">
        <x:v>time shift</x:v>
      </x:c>
      <x:c r="F63" t="str">
        <x:v>S</x:v>
      </x:c>
      <x:c r="G63" s="100" t="n">
        <x:v>3</x:v>
      </x:c>
      <x:c r="H63" s="100" t="n">
        <x:v>10</x:v>
      </x:c>
      <x:c r="I63" s="100" t="n">
        <x:v>250</x:v>
      </x:c>
      <x:c r="J63" s="100" t="n">
        <x:v>-0.124</x:v>
      </x:c>
      <x:c r="K63" s="100" t="n">
        <x:v>-0.0999305126178518</x:v>
      </x:c>
      <x:c r="L63" s="100" t="n">
        <x:v>-0.0240694873821482</x:v>
      </x:c>
      <x:c r="M63" s="100" t="n">
        <x:v>-31</x:v>
      </x:c>
      <x:c r="N63" s="100" t="n">
        <x:v>0.9898588434376203</x:v>
      </x:c>
      <x:c r="O63" s="101" t="b">
        <x:v>1</x:v>
      </x:c>
      <x:c r="P63" t="str">
        <x:v>/Users/jvidale/Documents/Research/FaultScanR/output/20260722_181326_2487/CI_40353552</x:v>
      </x:c>
    </x:row>
    <x:row r="64">
      <x:c r="A64" t="str">
        <x:v>CI_40353552</x:v>
      </x:c>
      <x:c r="B64" s="99" t="str">
        <x:v>00103</x:v>
      </x:c>
      <x:c r="C64" t="str">
        <x:v>T</x:v>
      </x:c>
      <x:c r="D64" t="str">
        <x:v>R</x:v>
      </x:c>
      <x:c r="E64" t="str">
        <x:v>time shift</x:v>
      </x:c>
      <x:c r="F64" t="str">
        <x:v>S</x:v>
      </x:c>
      <x:c r="G64" s="100" t="n">
        <x:v>3</x:v>
      </x:c>
      <x:c r="H64" s="100" t="n">
        <x:v>10</x:v>
      </x:c>
      <x:c r="I64" s="100" t="n">
        <x:v>250</x:v>
      </x:c>
      <x:c r="J64" s="100" t="n">
        <x:v>-0.116</x:v>
      </x:c>
      <x:c r="K64" s="100" t="n">
        <x:v>-0.0935082664631226</x:v>
      </x:c>
      <x:c r="L64" s="100" t="n">
        <x:v>-0.0224917335368774</x:v>
      </x:c>
      <x:c r="M64" s="100" t="n">
        <x:v>-29</x:v>
      </x:c>
      <x:c r="N64" s="100" t="n">
        <x:v>0.9569053853913365</x:v>
      </x:c>
      <x:c r="O64" s="101" t="b">
        <x:v>1</x:v>
      </x:c>
      <x:c r="P64" t="str">
        <x:v>/Users/jvidale/Documents/Research/FaultScanR/output/20260722_181326_2487/CI_40353552</x:v>
      </x:c>
    </x:row>
    <x:row r="65">
      <x:c r="A65" t="str">
        <x:v>CI_40353552</x:v>
      </x:c>
      <x:c r="B65" s="99" t="str">
        <x:v>00104</x:v>
      </x:c>
      <x:c r="C65" t="str">
        <x:v>T</x:v>
      </x:c>
      <x:c r="D65" t="str">
        <x:v>R</x:v>
      </x:c>
      <x:c r="E65" t="str">
        <x:v>time shift</x:v>
      </x:c>
      <x:c r="F65" t="str">
        <x:v>S</x:v>
      </x:c>
      <x:c r="G65" s="100" t="n">
        <x:v>3</x:v>
      </x:c>
      <x:c r="H65" s="100" t="n">
        <x:v>10</x:v>
      </x:c>
      <x:c r="I65" s="100" t="n">
        <x:v>250</x:v>
      </x:c>
      <x:c r="J65" s="100" t="n">
        <x:v>-0.104</x:v>
      </x:c>
      <x:c r="K65" s="100" t="n">
        <x:v>-0.08287038729118024</x:v>
      </x:c>
      <x:c r="L65" s="100" t="n">
        <x:v>-0.02112961270881976</x:v>
      </x:c>
      <x:c r="M65" s="100" t="n">
        <x:v>-26</x:v>
      </x:c>
      <x:c r="N65" s="100" t="n">
        <x:v>0.9294001122112355</x:v>
      </x:c>
      <x:c r="O65" s="101" t="b">
        <x:v>1</x:v>
      </x:c>
      <x:c r="P65" t="str">
        <x:v>/Users/jvidale/Documents/Research/FaultScanR/output/20260722_181326_2487/CI_40353552</x:v>
      </x:c>
    </x:row>
    <x:row r="66">
      <x:c r="A66" t="str">
        <x:v>CI_40353552</x:v>
      </x:c>
      <x:c r="B66" s="99" t="str">
        <x:v>00105</x:v>
      </x:c>
      <x:c r="C66" t="str">
        <x:v>T</x:v>
      </x:c>
      <x:c r="D66" t="str">
        <x:v>R</x:v>
      </x:c>
      <x:c r="E66" t="str">
        <x:v>time shift</x:v>
      </x:c>
      <x:c r="F66" t="str">
        <x:v>S</x:v>
      </x:c>
      <x:c r="G66" s="100" t="n">
        <x:v>3</x:v>
      </x:c>
      <x:c r="H66" s="100" t="n">
        <x:v>10</x:v>
      </x:c>
      <x:c r="I66" s="100" t="n">
        <x:v>250</x:v>
      </x:c>
      <x:c r="J66" s="100" t="n">
        <x:v>-0.088</x:v>
      </x:c>
      <x:c r="K66" s="100" t="n">
        <x:v>-0.07337671183174521</x:v>
      </x:c>
      <x:c r="L66" s="100" t="n">
        <x:v>-0.01462328816825478</x:v>
      </x:c>
      <x:c r="M66" s="100" t="n">
        <x:v>-22</x:v>
      </x:c>
      <x:c r="N66" s="100" t="n">
        <x:v>0.9685755394932651</x:v>
      </x:c>
      <x:c r="O66" s="101" t="b">
        <x:v>1</x:v>
      </x:c>
      <x:c r="P66" t="str">
        <x:v>/Users/jvidale/Documents/Research/FaultScanR/output/20260722_181326_2487/CI_40353552</x:v>
      </x:c>
    </x:row>
    <x:row r="67">
      <x:c r="A67" t="str">
        <x:v>CI_40353552</x:v>
      </x:c>
      <x:c r="B67" s="99" t="str">
        <x:v>00106</x:v>
      </x:c>
      <x:c r="C67" t="str">
        <x:v>T</x:v>
      </x:c>
      <x:c r="D67" t="str">
        <x:v>R</x:v>
      </x:c>
      <x:c r="E67" t="str">
        <x:v>time shift</x:v>
      </x:c>
      <x:c r="F67" t="str">
        <x:v>S</x:v>
      </x:c>
      <x:c r="G67" s="100" t="n">
        <x:v>3</x:v>
      </x:c>
      <x:c r="H67" s="100" t="n">
        <x:v>10</x:v>
      </x:c>
      <x:c r="I67" s="100" t="n">
        <x:v>250</x:v>
      </x:c>
      <x:c r="J67" s="100" t="n">
        <x:v>-0.076</x:v>
      </x:c>
      <x:c r="K67" s="100" t="n">
        <x:v>-0.06320344472238837</x:v>
      </x:c>
      <x:c r="L67" s="100" t="n">
        <x:v>-0.01279655527761163</x:v>
      </x:c>
      <x:c r="M67" s="100" t="n">
        <x:v>-19</x:v>
      </x:c>
      <x:c r="N67" s="100" t="n">
        <x:v>0.9407751919654077</x:v>
      </x:c>
      <x:c r="O67" s="101" t="b">
        <x:v>1</x:v>
      </x:c>
      <x:c r="P67" t="str">
        <x:v>/Users/jvidale/Documents/Research/FaultScanR/output/20260722_181326_2487/CI_40353552</x:v>
      </x:c>
    </x:row>
    <x:row r="68">
      <x:c r="A68" t="str">
        <x:v>CI_40353552</x:v>
      </x:c>
      <x:c r="B68" s="99" t="str">
        <x:v>00108</x:v>
      </x:c>
      <x:c r="C68" t="str">
        <x:v>T</x:v>
      </x:c>
      <x:c r="D68" t="str">
        <x:v>R</x:v>
      </x:c>
      <x:c r="E68" t="str">
        <x:v>time shift</x:v>
      </x:c>
      <x:c r="F68" t="str">
        <x:v>S</x:v>
      </x:c>
      <x:c r="G68" s="100" t="n">
        <x:v>3</x:v>
      </x:c>
      <x:c r="H68" s="100" t="n">
        <x:v>10</x:v>
      </x:c>
      <x:c r="I68" s="100" t="n">
        <x:v>250</x:v>
      </x:c>
      <x:c r="J68" s="100" t="n">
        <x:v>-0.092</x:v>
      </x:c>
      <x:c r="K68" s="100" t="n">
        <x:v>-0.0464625904667697</x:v>
      </x:c>
      <x:c r="L68" s="100" t="n">
        <x:v>-0.04553740953323029</x:v>
      </x:c>
      <x:c r="M68" s="100" t="n">
        <x:v>-23</x:v>
      </x:c>
      <x:c r="N68" s="100" t="n">
        <x:v>0.9662617855523447</x:v>
      </x:c>
      <x:c r="O68" s="101" t="b">
        <x:v>1</x:v>
      </x:c>
      <x:c r="P68" t="str">
        <x:v>/Users/jvidale/Documents/Research/FaultScanR/output/20260722_181326_2487/CI_40353552</x:v>
      </x:c>
    </x:row>
    <x:row r="69">
      <x:c r="A69" t="str">
        <x:v>CI_40353552</x:v>
      </x:c>
      <x:c r="B69" s="99" t="str">
        <x:v>00109</x:v>
      </x:c>
      <x:c r="C69" t="str">
        <x:v>T</x:v>
      </x:c>
      <x:c r="D69" t="str">
        <x:v>R</x:v>
      </x:c>
      <x:c r="E69" t="str">
        <x:v>time shift</x:v>
      </x:c>
      <x:c r="F69" t="str">
        <x:v>S</x:v>
      </x:c>
      <x:c r="G69" s="100" t="n">
        <x:v>3</x:v>
      </x:c>
      <x:c r="H69" s="100" t="n">
        <x:v>10</x:v>
      </x:c>
      <x:c r="I69" s="100" t="n">
        <x:v>250</x:v>
      </x:c>
      <x:c r="J69" s="100" t="n">
        <x:v>-0.084</x:v>
      </x:c>
      <x:c r="K69" s="100" t="n">
        <x:v>-0.03561748788714603</x:v>
      </x:c>
      <x:c r="L69" s="100" t="n">
        <x:v>-0.04838251211285398</x:v>
      </x:c>
      <x:c r="M69" s="100" t="n">
        <x:v>-21</x:v>
      </x:c>
      <x:c r="N69" s="100" t="n">
        <x:v>0.995808154925355</x:v>
      </x:c>
      <x:c r="O69" s="101" t="b">
        <x:v>1</x:v>
      </x:c>
      <x:c r="P69" t="str">
        <x:v>/Users/jvidale/Documents/Research/FaultScanR/output/20260722_181326_2487/CI_40353552</x:v>
      </x:c>
    </x:row>
    <x:row r="70">
      <x:c r="A70" t="str">
        <x:v>CI_40353552</x:v>
      </x:c>
      <x:c r="B70" s="99" t="str">
        <x:v>00110</x:v>
      </x:c>
      <x:c r="C70" t="str">
        <x:v>T</x:v>
      </x:c>
      <x:c r="D70" t="str">
        <x:v>R</x:v>
      </x:c>
      <x:c r="E70" t="str">
        <x:v>time shift</x:v>
      </x:c>
      <x:c r="F70" t="str">
        <x:v>S</x:v>
      </x:c>
      <x:c r="G70" s="100" t="n">
        <x:v>3</x:v>
      </x:c>
      <x:c r="H70" s="100" t="n">
        <x:v>10</x:v>
      </x:c>
      <x:c r="I70" s="100" t="n">
        <x:v>250</x:v>
      </x:c>
      <x:c r="J70" s="100" t="n">
        <x:v>-0.1</x:v>
      </x:c>
      <x:c r="K70" s="100" t="n">
        <x:v>-0.1485057980117039</x:v>
      </x:c>
      <x:c r="L70" s="100" t="n">
        <x:v>0.04850579801170393</x:v>
      </x:c>
      <x:c r="M70" s="100" t="n">
        <x:v>-25</x:v>
      </x:c>
      <x:c r="N70" s="100" t="n">
        <x:v>0.6602285764968738</x:v>
      </x:c>
      <x:c r="O70" s="101" t="b">
        <x:v>1</x:v>
      </x:c>
      <x:c r="P70" t="str">
        <x:v>/Users/jvidale/Documents/Research/FaultScanR/output/20260722_181326_2487/CI_40353552</x:v>
      </x:c>
    </x:row>
    <x:row r="71">
      <x:c r="A71" t="str">
        <x:v>CI_40353552</x:v>
      </x:c>
      <x:c r="B71" s="99" t="str">
        <x:v>00111</x:v>
      </x:c>
      <x:c r="C71" t="str">
        <x:v>T</x:v>
      </x:c>
      <x:c r="D71" t="str">
        <x:v>R</x:v>
      </x:c>
      <x:c r="E71" t="str">
        <x:v>time shift</x:v>
      </x:c>
      <x:c r="F71" t="str">
        <x:v>S</x:v>
      </x:c>
      <x:c r="G71" s="100" t="n">
        <x:v>3</x:v>
      </x:c>
      <x:c r="H71" s="100" t="n">
        <x:v>10</x:v>
      </x:c>
      <x:c r="I71" s="100" t="n">
        <x:v>250</x:v>
      </x:c>
      <x:c r="J71" s="100" t="n">
        <x:v>-0.092</x:v>
      </x:c>
      <x:c r="K71" s="100" t="n">
        <x:v>-0.1352371544012279</x:v>
      </x:c>
      <x:c r="L71" s="100" t="n">
        <x:v>0.04323715440122786</x:v>
      </x:c>
      <x:c r="M71" s="100" t="n">
        <x:v>-23</x:v>
      </x:c>
      <x:c r="N71" s="100" t="n">
        <x:v>0.7163623477938725</x:v>
      </x:c>
      <x:c r="O71" s="101" t="b">
        <x:v>1</x:v>
      </x:c>
      <x:c r="P71" t="str">
        <x:v>/Users/jvidale/Documents/Research/FaultScanR/output/20260722_181326_2487/CI_40353552</x:v>
      </x:c>
    </x:row>
    <x:row r="72">
      <x:c r="A72" t="str">
        <x:v>CI_40353552</x:v>
      </x:c>
      <x:c r="B72" s="99" t="str">
        <x:v>00112</x:v>
      </x:c>
      <x:c r="C72" t="str">
        <x:v>T</x:v>
      </x:c>
      <x:c r="D72" t="str">
        <x:v>R</x:v>
      </x:c>
      <x:c r="E72" t="str">
        <x:v>time shift</x:v>
      </x:c>
      <x:c r="F72" t="str">
        <x:v>S</x:v>
      </x:c>
      <x:c r="G72" s="100" t="n">
        <x:v>3</x:v>
      </x:c>
      <x:c r="H72" s="100" t="n">
        <x:v>10</x:v>
      </x:c>
      <x:c r="I72" s="100" t="n">
        <x:v>250</x:v>
      </x:c>
      <x:c r="J72" s="100" t="n">
        <x:v>-0.132</x:v>
      </x:c>
      <x:c r="K72" s="100" t="n">
        <x:v>-0.1272050287654594</x:v>
      </x:c>
      <x:c r="L72" s="100" t="n">
        <x:v>-0.004794971234540646</x:v>
      </x:c>
      <x:c r="M72" s="100" t="n">
        <x:v>-33</x:v>
      </x:c>
      <x:c r="N72" s="100" t="n">
        <x:v>0.8750561117144718</x:v>
      </x:c>
      <x:c r="O72" s="101" t="b">
        <x:v>1</x:v>
      </x:c>
      <x:c r="P72" t="str">
        <x:v>/Users/jvidale/Documents/Research/FaultScanR/output/20260722_181326_2487/CI_40353552</x:v>
      </x:c>
    </x:row>
    <x:row r="73">
      <x:c r="A73" t="str">
        <x:v>CI_40353552</x:v>
      </x:c>
      <x:c r="B73" s="99" t="str">
        <x:v>00113</x:v>
      </x:c>
      <x:c r="C73" t="str">
        <x:v>T</x:v>
      </x:c>
      <x:c r="D73" t="str">
        <x:v>R</x:v>
      </x:c>
      <x:c r="E73" t="str">
        <x:v>time shift</x:v>
      </x:c>
      <x:c r="F73" t="str">
        <x:v>S</x:v>
      </x:c>
      <x:c r="G73" s="100" t="n">
        <x:v>3</x:v>
      </x:c>
      <x:c r="H73" s="100" t="n">
        <x:v>10</x:v>
      </x:c>
      <x:c r="I73" s="100" t="n">
        <x:v>250</x:v>
      </x:c>
      <x:c r="J73" s="100" t="n">
        <x:v>-0.124</x:v>
      </x:c>
      <x:c r="K73" s="100" t="n">
        <x:v>-0.1218184958826001</x:v>
      </x:c>
      <x:c r="L73" s="100" t="n">
        <x:v>-0.002181504117399924</x:v>
      </x:c>
      <x:c r="M73" s="100" t="n">
        <x:v>-31</x:v>
      </x:c>
      <x:c r="N73" s="100" t="n">
        <x:v>0.9746330586400506</x:v>
      </x:c>
      <x:c r="O73" s="101" t="b">
        <x:v>1</x:v>
      </x:c>
      <x:c r="P73" t="str">
        <x:v>/Users/jvidale/Documents/Research/FaultScanR/output/20260722_181326_2487/CI_40353552</x:v>
      </x:c>
    </x:row>
    <x:row r="74">
      <x:c r="A74" t="str">
        <x:v>CI_40353552</x:v>
      </x:c>
      <x:c r="B74" s="99" t="str">
        <x:v>00114</x:v>
      </x:c>
      <x:c r="C74" t="str">
        <x:v>T</x:v>
      </x:c>
      <x:c r="D74" t="str">
        <x:v>R</x:v>
      </x:c>
      <x:c r="E74" t="str">
        <x:v>time shift</x:v>
      </x:c>
      <x:c r="F74" t="str">
        <x:v>S</x:v>
      </x:c>
      <x:c r="G74" s="100" t="n">
        <x:v>3</x:v>
      </x:c>
      <x:c r="H74" s="100" t="n">
        <x:v>10</x:v>
      </x:c>
      <x:c r="I74" s="100" t="n">
        <x:v>250</x:v>
      </x:c>
      <x:c r="J74" s="100" t="n">
        <x:v>-0.116</x:v>
      </x:c>
      <x:c r="K74" s="100" t="n">
        <x:v>-0.1105125664332212</x:v>
      </x:c>
      <x:c r="L74" s="100" t="n">
        <x:v>-0.005487433566778846</x:v>
      </x:c>
      <x:c r="M74" s="100" t="n">
        <x:v>-29</x:v>
      </x:c>
      <x:c r="N74" s="100" t="n">
        <x:v>0.9919396274626987</x:v>
      </x:c>
      <x:c r="O74" s="101" t="b">
        <x:v>1</x:v>
      </x:c>
      <x:c r="P74" t="str">
        <x:v>/Users/jvidale/Documents/Research/FaultScanR/output/20260722_181326_2487/CI_40353552</x:v>
      </x:c>
    </x:row>
    <x:row r="75">
      <x:c r="A75" t="str">
        <x:v>CI_40353552</x:v>
      </x:c>
      <x:c r="B75" s="99" t="str">
        <x:v>00115</x:v>
      </x:c>
      <x:c r="C75" t="str">
        <x:v>T</x:v>
      </x:c>
      <x:c r="D75" t="str">
        <x:v>R</x:v>
      </x:c>
      <x:c r="E75" t="str">
        <x:v>time shift</x:v>
      </x:c>
      <x:c r="F75" t="str">
        <x:v>S</x:v>
      </x:c>
      <x:c r="G75" s="100" t="n">
        <x:v>3</x:v>
      </x:c>
      <x:c r="H75" s="100" t="n">
        <x:v>10</x:v>
      </x:c>
      <x:c r="I75" s="100" t="n">
        <x:v>250</x:v>
      </x:c>
      <x:c r="J75" s="100" t="n">
        <x:v>-0.116</x:v>
      </x:c>
      <x:c r="K75" s="100" t="n">
        <x:v>-0.1063905803773908</x:v>
      </x:c>
      <x:c r="L75" s="100" t="n">
        <x:v>-0.009609419622609208</x:v>
      </x:c>
      <x:c r="M75" s="100" t="n">
        <x:v>-29</x:v>
      </x:c>
      <x:c r="N75" s="100" t="n">
        <x:v>0.9898277901432085</x:v>
      </x:c>
      <x:c r="O75" s="101" t="b">
        <x:v>1</x:v>
      </x:c>
      <x:c r="P75" t="str">
        <x:v>/Users/jvidale/Documents/Research/FaultScanR/output/20260722_181326_2487/CI_40353552</x:v>
      </x:c>
    </x:row>
    <x:row r="76">
      <x:c r="A76" t="str">
        <x:v>CI_40353552</x:v>
      </x:c>
      <x:c r="B76" s="99" t="str">
        <x:v>00116</x:v>
      </x:c>
      <x:c r="C76" t="str">
        <x:v>T</x:v>
      </x:c>
      <x:c r="D76" t="str">
        <x:v>R</x:v>
      </x:c>
      <x:c r="E76" t="str">
        <x:v>time shift</x:v>
      </x:c>
      <x:c r="F76" t="str">
        <x:v>S</x:v>
      </x:c>
      <x:c r="G76" s="100" t="n">
        <x:v>3</x:v>
      </x:c>
      <x:c r="H76" s="100" t="n">
        <x:v>10</x:v>
      </x:c>
      <x:c r="I76" s="100" t="n">
        <x:v>250</x:v>
      </x:c>
      <x:c r="J76" s="100" t="n">
        <x:v>-0.104</x:v>
      </x:c>
      <x:c r="K76" s="100" t="n">
        <x:v>-0.0949340007627999</x:v>
      </x:c>
      <x:c r="L76" s="100" t="n">
        <x:v>-0.009065999237200098</x:v>
      </x:c>
      <x:c r="M76" s="100" t="n">
        <x:v>-26</x:v>
      </x:c>
      <x:c r="N76" s="100" t="n">
        <x:v>0.9768426991143774</x:v>
      </x:c>
      <x:c r="O76" s="101" t="b">
        <x:v>1</x:v>
      </x:c>
      <x:c r="P76" t="str">
        <x:v>/Users/jvidale/Documents/Research/FaultScanR/output/20260722_181326_2487/CI_40353552</x:v>
      </x:c>
    </x:row>
    <x:row r="77">
      <x:c r="A77" t="str">
        <x:v>CI_40353552</x:v>
      </x:c>
      <x:c r="B77" s="99" t="str">
        <x:v>00117</x:v>
      </x:c>
      <x:c r="C77" t="str">
        <x:v>T</x:v>
      </x:c>
      <x:c r="D77" t="str">
        <x:v>R</x:v>
      </x:c>
      <x:c r="E77" t="str">
        <x:v>time shift</x:v>
      </x:c>
      <x:c r="F77" t="str">
        <x:v>S</x:v>
      </x:c>
      <x:c r="G77" s="100" t="n">
        <x:v>3</x:v>
      </x:c>
      <x:c r="H77" s="100" t="n">
        <x:v>10</x:v>
      </x:c>
      <x:c r="I77" s="100" t="n">
        <x:v>250</x:v>
      </x:c>
      <x:c r="J77" s="100" t="n">
        <x:v>-0.104</x:v>
      </x:c>
      <x:c r="K77" s="100" t="n">
        <x:v>-0.088266436878504</x:v>
      </x:c>
      <x:c r="L77" s="100" t="n">
        <x:v>-0.015733563121496</x:v>
      </x:c>
      <x:c r="M77" s="100" t="n">
        <x:v>-26</x:v>
      </x:c>
      <x:c r="N77" s="100" t="n">
        <x:v>0.9840005939065597</x:v>
      </x:c>
      <x:c r="O77" s="101" t="b">
        <x:v>1</x:v>
      </x:c>
      <x:c r="P77" t="str">
        <x:v>/Users/jvidale/Documents/Research/FaultScanR/output/20260722_181326_2487/CI_40353552</x:v>
      </x:c>
    </x:row>
    <x:row r="78">
      <x:c r="A78" t="str">
        <x:v>CI_40353552</x:v>
      </x:c>
      <x:c r="B78" s="99" t="str">
        <x:v>00118</x:v>
      </x:c>
      <x:c r="C78" t="str">
        <x:v>T</x:v>
      </x:c>
      <x:c r="D78" t="str">
        <x:v>R</x:v>
      </x:c>
      <x:c r="E78" t="str">
        <x:v>time shift</x:v>
      </x:c>
      <x:c r="F78" t="str">
        <x:v>S</x:v>
      </x:c>
      <x:c r="G78" s="100" t="n">
        <x:v>3</x:v>
      </x:c>
      <x:c r="H78" s="100" t="n">
        <x:v>10</x:v>
      </x:c>
      <x:c r="I78" s="100" t="n">
        <x:v>250</x:v>
      </x:c>
      <x:c r="J78" s="100" t="n">
        <x:v>-0.092</x:v>
      </x:c>
      <x:c r="K78" s="100" t="n">
        <x:v>-0.07740815638025289</x:v>
      </x:c>
      <x:c r="L78" s="100" t="n">
        <x:v>-0.01459184361974711</x:v>
      </x:c>
      <x:c r="M78" s="100" t="n">
        <x:v>-23</x:v>
      </x:c>
      <x:c r="N78" s="100" t="n">
        <x:v>0.9192704414385284</x:v>
      </x:c>
      <x:c r="O78" s="101" t="b">
        <x:v>1</x:v>
      </x:c>
      <x:c r="P78" t="str">
        <x:v>/Users/jvidale/Documents/Research/FaultScanR/output/20260722_181326_2487/CI_40353552</x:v>
      </x:c>
    </x:row>
    <x:row r="79">
      <x:c r="A79" t="str">
        <x:v>CI_40353552</x:v>
      </x:c>
      <x:c r="B79" s="99" t="str">
        <x:v>00119</x:v>
      </x:c>
      <x:c r="C79" t="str">
        <x:v>T</x:v>
      </x:c>
      <x:c r="D79" t="str">
        <x:v>R</x:v>
      </x:c>
      <x:c r="E79" t="str">
        <x:v>time shift</x:v>
      </x:c>
      <x:c r="F79" t="str">
        <x:v>S</x:v>
      </x:c>
      <x:c r="G79" s="100" t="n">
        <x:v>3</x:v>
      </x:c>
      <x:c r="H79" s="100" t="n">
        <x:v>10</x:v>
      </x:c>
      <x:c r="I79" s="100" t="n">
        <x:v>250</x:v>
      </x:c>
      <x:c r="J79" s="100" t="n">
        <x:v>-0.096</x:v>
      </x:c>
      <x:c r="K79" s="100" t="n">
        <x:v>-0.07183201821272611</x:v>
      </x:c>
      <x:c r="L79" s="100" t="n">
        <x:v>-0.02416798178727389</x:v>
      </x:c>
      <x:c r="M79" s="100" t="n">
        <x:v>-24</x:v>
      </x:c>
      <x:c r="N79" s="100" t="n">
        <x:v>0.9321206157357077</x:v>
      </x:c>
      <x:c r="O79" s="101" t="b">
        <x:v>1</x:v>
      </x:c>
      <x:c r="P79" t="str">
        <x:v>/Users/jvidale/Documents/Research/FaultScanR/output/20260722_181326_2487/CI_40353552</x:v>
      </x:c>
    </x:row>
    <x:row r="80">
      <x:c r="A80" t="str">
        <x:v>CI_40353552</x:v>
      </x:c>
      <x:c r="B80" s="99" t="str">
        <x:v>00120</x:v>
      </x:c>
      <x:c r="C80" t="str">
        <x:v>T</x:v>
      </x:c>
      <x:c r="D80" t="str">
        <x:v>R</x:v>
      </x:c>
      <x:c r="E80" t="str">
        <x:v>time shift</x:v>
      </x:c>
      <x:c r="F80" t="str">
        <x:v>S</x:v>
      </x:c>
      <x:c r="G80" s="100" t="n">
        <x:v>3</x:v>
      </x:c>
      <x:c r="H80" s="100" t="n">
        <x:v>10</x:v>
      </x:c>
      <x:c r="I80" s="100" t="n">
        <x:v>250</x:v>
      </x:c>
      <x:c r="J80" s="100" t="n">
        <x:v>-0.08</x:v>
      </x:c>
      <x:c r="K80" s="100" t="n">
        <x:v>-0.06214687135342256</x:v>
      </x:c>
      <x:c r="L80" s="100" t="n">
        <x:v>-0.01785312864657744</x:v>
      </x:c>
      <x:c r="M80" s="100" t="n">
        <x:v>-20</x:v>
      </x:c>
      <x:c r="N80" s="100" t="n">
        <x:v>0.9597531792441456</x:v>
      </x:c>
      <x:c r="O80" s="101" t="b">
        <x:v>1</x:v>
      </x:c>
      <x:c r="P80" t="str">
        <x:v>/Users/jvidale/Documents/Research/FaultScanR/output/20260722_181326_2487/CI_40353552</x:v>
      </x:c>
    </x:row>
    <x:row r="81">
      <x:c r="A81" t="str">
        <x:v>CI_40353552</x:v>
      </x:c>
      <x:c r="B81" s="99" t="str">
        <x:v>00121</x:v>
      </x:c>
      <x:c r="C81" t="str">
        <x:v>T</x:v>
      </x:c>
      <x:c r="D81" t="str">
        <x:v>R</x:v>
      </x:c>
      <x:c r="E81" t="str">
        <x:v>time shift</x:v>
      </x:c>
      <x:c r="F81" t="str">
        <x:v>S</x:v>
      </x:c>
      <x:c r="G81" s="100" t="n">
        <x:v>3</x:v>
      </x:c>
      <x:c r="H81" s="100" t="n">
        <x:v>10</x:v>
      </x:c>
      <x:c r="I81" s="100" t="n">
        <x:v>250</x:v>
      </x:c>
      <x:c r="J81" s="100" t="n">
        <x:v>-0.064</x:v>
      </x:c>
      <x:c r="K81" s="100" t="n">
        <x:v>-0.05019646444002657</x:v>
      </x:c>
      <x:c r="L81" s="100" t="n">
        <x:v>-0.01380353555997343</x:v>
      </x:c>
      <x:c r="M81" s="100" t="n">
        <x:v>-16</x:v>
      </x:c>
      <x:c r="N81" s="100" t="n">
        <x:v>0.9899843899649023</x:v>
      </x:c>
      <x:c r="O81" s="101" t="b">
        <x:v>1</x:v>
      </x:c>
      <x:c r="P81" t="str">
        <x:v>/Users/jvidale/Documents/Research/FaultScanR/output/20260722_181326_2487/CI_40353552</x:v>
      </x:c>
    </x:row>
    <x:row r="82">
      <x:c r="A82" t="str">
        <x:v>CI_40353552</x:v>
      </x:c>
      <x:c r="B82" s="99" t="str">
        <x:v>00122</x:v>
      </x:c>
      <x:c r="C82" t="str">
        <x:v>T</x:v>
      </x:c>
      <x:c r="D82" t="str">
        <x:v>R</x:v>
      </x:c>
      <x:c r="E82" t="str">
        <x:v>time shift</x:v>
      </x:c>
      <x:c r="F82" t="str">
        <x:v>S</x:v>
      </x:c>
      <x:c r="G82" s="100" t="n">
        <x:v>3</x:v>
      </x:c>
      <x:c r="H82" s="100" t="n">
        <x:v>10</x:v>
      </x:c>
      <x:c r="I82" s="100" t="n">
        <x:v>250</x:v>
      </x:c>
      <x:c r="J82" s="100" t="n">
        <x:v>-0.064</x:v>
      </x:c>
      <x:c r="K82" s="100" t="n">
        <x:v>-0.04414131123702347</x:v>
      </x:c>
      <x:c r="L82" s="100" t="n">
        <x:v>-0.01985868876297653</x:v>
      </x:c>
      <x:c r="M82" s="100" t="n">
        <x:v>-16</x:v>
      </x:c>
      <x:c r="N82" s="100" t="n">
        <x:v>0.990180671977322</x:v>
      </x:c>
      <x:c r="O82" s="101" t="b">
        <x:v>1</x:v>
      </x:c>
      <x:c r="P82" t="str">
        <x:v>/Users/jvidale/Documents/Research/FaultScanR/output/20260722_181326_2487/CI_40353552</x:v>
      </x:c>
    </x:row>
    <x:row r="83">
      <x:c r="A83" t="str">
        <x:v>CI_40353552</x:v>
      </x:c>
      <x:c r="B83" s="99" t="str">
        <x:v>00123</x:v>
      </x:c>
      <x:c r="C83" t="str">
        <x:v>T</x:v>
      </x:c>
      <x:c r="D83" t="str">
        <x:v>R</x:v>
      </x:c>
      <x:c r="E83" t="str">
        <x:v>time shift</x:v>
      </x:c>
      <x:c r="F83" t="str">
        <x:v>S</x:v>
      </x:c>
      <x:c r="G83" s="100" t="n">
        <x:v>3</x:v>
      </x:c>
      <x:c r="H83" s="100" t="n">
        <x:v>10</x:v>
      </x:c>
      <x:c r="I83" s="100" t="n">
        <x:v>250</x:v>
      </x:c>
      <x:c r="J83" s="100" t="n">
        <x:v>-0.068</x:v>
      </x:c>
      <x:c r="K83" s="100" t="n">
        <x:v>-0.03245850068524803</x:v>
      </x:c>
      <x:c r="L83" s="100" t="n">
        <x:v>-0.03554149931475198</x:v>
      </x:c>
      <x:c r="M83" s="100" t="n">
        <x:v>-17</x:v>
      </x:c>
      <x:c r="N83" s="100" t="n">
        <x:v>0.9727903990991538</x:v>
      </x:c>
      <x:c r="O83" s="101" t="b">
        <x:v>1</x:v>
      </x:c>
      <x:c r="P83" t="str">
        <x:v>/Users/jvidale/Documents/Research/FaultScanR/output/20260722_181326_2487/CI_40353552</x:v>
      </x:c>
    </x:row>
    <x:row r="84">
      <x:c r="A84" t="str">
        <x:v>CI_40353552</x:v>
      </x:c>
      <x:c r="B84" s="99" t="str">
        <x:v>00124</x:v>
      </x:c>
      <x:c r="C84" t="str">
        <x:v>T</x:v>
      </x:c>
      <x:c r="D84" t="str">
        <x:v>R</x:v>
      </x:c>
      <x:c r="E84" t="str">
        <x:v>time shift</x:v>
      </x:c>
      <x:c r="F84" t="str">
        <x:v>S</x:v>
      </x:c>
      <x:c r="G84" s="100" t="n">
        <x:v>3</x:v>
      </x:c>
      <x:c r="H84" s="100" t="n">
        <x:v>10</x:v>
      </x:c>
      <x:c r="I84" s="100" t="n">
        <x:v>250</x:v>
      </x:c>
      <x:c r="J84" s="100" t="n">
        <x:v>-0.068</x:v>
      </x:c>
      <x:c r="K84" s="100" t="n">
        <x:v>-0.02651927945166044</x:v>
      </x:c>
      <x:c r="L84" s="100" t="n">
        <x:v>-0.04148072054833957</x:v>
      </x:c>
      <x:c r="M84" s="100" t="n">
        <x:v>-17</x:v>
      </x:c>
      <x:c r="N84" s="100" t="n">
        <x:v>0.9673000246636937</x:v>
      </x:c>
      <x:c r="O84" s="101" t="b">
        <x:v>1</x:v>
      </x:c>
      <x:c r="P84" t="str">
        <x:v>/Users/jvidale/Documents/Research/FaultScanR/output/20260722_181326_2487/CI_40353552</x:v>
      </x:c>
    </x:row>
    <x:row r="85">
      <x:c r="A85" t="str">
        <x:v>CI_40353552</x:v>
      </x:c>
      <x:c r="B85" s="99" t="str">
        <x:v>00125</x:v>
      </x:c>
      <x:c r="C85" t="str">
        <x:v>T</x:v>
      </x:c>
      <x:c r="D85" t="str">
        <x:v>R</x:v>
      </x:c>
      <x:c r="E85" t="str">
        <x:v>time shift</x:v>
      </x:c>
      <x:c r="F85" t="str">
        <x:v>S</x:v>
      </x:c>
      <x:c r="G85" s="100" t="n">
        <x:v>3</x:v>
      </x:c>
      <x:c r="H85" s="100" t="n">
        <x:v>10</x:v>
      </x:c>
      <x:c r="I85" s="100" t="n">
        <x:v>250</x:v>
      </x:c>
      <x:c r="J85" s="100" t="n">
        <x:v>-0.056</x:v>
      </x:c>
      <x:c r="K85" s="100" t="n">
        <x:v>-0.01625096466129605</x:v>
      </x:c>
      <x:c r="L85" s="100" t="n">
        <x:v>-0.03974903533870395</x:v>
      </x:c>
      <x:c r="M85" s="100" t="n">
        <x:v>-14</x:v>
      </x:c>
      <x:c r="N85" s="100" t="n">
        <x:v>0.9808172413093987</x:v>
      </x:c>
      <x:c r="O85" s="101" t="b">
        <x:v>1</x:v>
      </x:c>
      <x:c r="P85" t="str">
        <x:v>/Users/jvidale/Documents/Research/FaultScanR/output/20260722_181326_2487/CI_40353552</x:v>
      </x:c>
    </x:row>
    <x:row r="86">
      <x:c r="A86" t="str">
        <x:v>CI_40353552</x:v>
      </x:c>
      <x:c r="B86" s="99" t="str">
        <x:v>00126</x:v>
      </x:c>
      <x:c r="C86" t="str">
        <x:v>T</x:v>
      </x:c>
      <x:c r="D86" t="str">
        <x:v>R</x:v>
      </x:c>
      <x:c r="E86" t="str">
        <x:v>time shift</x:v>
      </x:c>
      <x:c r="F86" t="str">
        <x:v>S</x:v>
      </x:c>
      <x:c r="G86" s="100" t="n">
        <x:v>3</x:v>
      </x:c>
      <x:c r="H86" s="100" t="n">
        <x:v>10</x:v>
      </x:c>
      <x:c r="I86" s="100" t="n">
        <x:v>250</x:v>
      </x:c>
      <x:c r="J86" s="100" t="n">
        <x:v>-0.08</x:v>
      </x:c>
      <x:c r="K86" s="100" t="n">
        <x:v>-0.1231005111553243</x:v>
      </x:c>
      <x:c r="L86" s="100" t="n">
        <x:v>0.04310051115532428</x:v>
      </x:c>
      <x:c r="M86" s="100" t="n">
        <x:v>-20</x:v>
      </x:c>
      <x:c r="N86" s="100" t="n">
        <x:v>0.8270116677722629</x:v>
      </x:c>
      <x:c r="O86" s="101" t="b">
        <x:v>1</x:v>
      </x:c>
      <x:c r="P86" t="str">
        <x:v>/Users/jvidale/Documents/Research/FaultScanR/output/20260722_181326_2487/CI_40353552</x:v>
      </x:c>
    </x:row>
    <x:row r="87">
      <x:c r="A87" t="str">
        <x:v>CI_40353552</x:v>
      </x:c>
      <x:c r="B87" s="99" t="str">
        <x:v>00127</x:v>
      </x:c>
      <x:c r="C87" t="str">
        <x:v>T</x:v>
      </x:c>
      <x:c r="D87" t="str">
        <x:v>R</x:v>
      </x:c>
      <x:c r="E87" t="str">
        <x:v>time shift</x:v>
      </x:c>
      <x:c r="F87" t="str">
        <x:v>S</x:v>
      </x:c>
      <x:c r="G87" s="100" t="n">
        <x:v>3</x:v>
      </x:c>
      <x:c r="H87" s="100" t="n">
        <x:v>10</x:v>
      </x:c>
      <x:c r="I87" s="100" t="n">
        <x:v>250</x:v>
      </x:c>
      <x:c r="J87" s="100" t="n">
        <x:v>-0.08</x:v>
      </x:c>
      <x:c r="K87" s="100" t="n">
        <x:v>-0.1154106141133022</x:v>
      </x:c>
      <x:c r="L87" s="100" t="n">
        <x:v>0.03541061411330222</x:v>
      </x:c>
      <x:c r="M87" s="100" t="n">
        <x:v>-20</x:v>
      </x:c>
      <x:c r="N87" s="100" t="n">
        <x:v>0.783788926894926</x:v>
      </x:c>
      <x:c r="O87" s="101" t="b">
        <x:v>1</x:v>
      </x:c>
      <x:c r="P87" t="str">
        <x:v>/Users/jvidale/Documents/Research/FaultScanR/output/20260722_181326_2487/CI_40353552</x:v>
      </x:c>
    </x:row>
    <x:row r="88">
      <x:c r="A88" t="str">
        <x:v>CI_40353552</x:v>
      </x:c>
      <x:c r="B88" s="99" t="str">
        <x:v>00128</x:v>
      </x:c>
      <x:c r="C88" t="str">
        <x:v>T</x:v>
      </x:c>
      <x:c r="D88" t="str">
        <x:v>R</x:v>
      </x:c>
      <x:c r="E88" t="str">
        <x:v>time shift</x:v>
      </x:c>
      <x:c r="F88" t="str">
        <x:v>S</x:v>
      </x:c>
      <x:c r="G88" s="100" t="n">
        <x:v>3</x:v>
      </x:c>
      <x:c r="H88" s="100" t="n">
        <x:v>10</x:v>
      </x:c>
      <x:c r="I88" s="100" t="n">
        <x:v>250</x:v>
      </x:c>
      <x:c r="J88" s="100" t="n">
        <x:v>-0.104</x:v>
      </x:c>
      <x:c r="K88" s="100" t="n">
        <x:v>-0.1069643851136712</x:v>
      </x:c>
      <x:c r="L88" s="100" t="n">
        <x:v>0.002964385113671239</x:v>
      </x:c>
      <x:c r="M88" s="100" t="n">
        <x:v>-26</x:v>
      </x:c>
      <x:c r="N88" s="100" t="n">
        <x:v>0.9039601703506162</x:v>
      </x:c>
      <x:c r="O88" s="101" t="b">
        <x:v>1</x:v>
      </x:c>
      <x:c r="P88" t="str">
        <x:v>/Users/jvidale/Documents/Research/FaultScanR/output/20260722_181326_2487/CI_40353552</x:v>
      </x:c>
    </x:row>
    <x:row r="89">
      <x:c r="A89" t="str">
        <x:v>CI_40353552</x:v>
      </x:c>
      <x:c r="B89" s="99" t="str">
        <x:v>00129</x:v>
      </x:c>
      <x:c r="C89" t="str">
        <x:v>T</x:v>
      </x:c>
      <x:c r="D89" t="str">
        <x:v>R</x:v>
      </x:c>
      <x:c r="E89" t="str">
        <x:v>time shift</x:v>
      </x:c>
      <x:c r="F89" t="str">
        <x:v>S</x:v>
      </x:c>
      <x:c r="G89" s="100" t="n">
        <x:v>3</x:v>
      </x:c>
      <x:c r="H89" s="100" t="n">
        <x:v>10</x:v>
      </x:c>
      <x:c r="I89" s="100" t="n">
        <x:v>250</x:v>
      </x:c>
      <x:c r="J89" s="100" t="n">
        <x:v>-0.104</x:v>
      </x:c>
      <x:c r="K89" s="100" t="n">
        <x:v>-0.09845838412740626</x:v>
      </x:c>
      <x:c r="L89" s="100" t="n">
        <x:v>-0.005541615872593733</x:v>
      </x:c>
      <x:c r="M89" s="100" t="n">
        <x:v>-26</x:v>
      </x:c>
      <x:c r="N89" s="100" t="n">
        <x:v>0.9969090869982853</x:v>
      </x:c>
      <x:c r="O89" s="101" t="b">
        <x:v>1</x:v>
      </x:c>
      <x:c r="P89" t="str">
        <x:v>/Users/jvidale/Documents/Research/FaultScanR/output/20260722_181326_2487/CI_40353552</x:v>
      </x:c>
    </x:row>
    <x:row r="90">
      <x:c r="A90" t="str">
        <x:v>CI_40353552</x:v>
      </x:c>
      <x:c r="B90" s="99" t="str">
        <x:v>00130</x:v>
      </x:c>
      <x:c r="C90" t="str">
        <x:v>T</x:v>
      </x:c>
      <x:c r="D90" t="str">
        <x:v>R</x:v>
      </x:c>
      <x:c r="E90" t="str">
        <x:v>time shift</x:v>
      </x:c>
      <x:c r="F90" t="str">
        <x:v>S</x:v>
      </x:c>
      <x:c r="G90" s="100" t="n">
        <x:v>3</x:v>
      </x:c>
      <x:c r="H90" s="100" t="n">
        <x:v>10</x:v>
      </x:c>
      <x:c r="I90" s="100" t="n">
        <x:v>250</x:v>
      </x:c>
      <x:c r="J90" s="100" t="n">
        <x:v>-0.092</x:v>
      </x:c>
      <x:c r="K90" s="100" t="n">
        <x:v>-0.09116665253382461</x:v>
      </x:c>
      <x:c r="L90" s="100" t="n">
        <x:v>-0.0008333474661753881</x:v>
      </x:c>
      <x:c r="M90" s="100" t="n">
        <x:v>-23</x:v>
      </x:c>
      <x:c r="N90" s="100" t="n">
        <x:v>0.9856707013259814</x:v>
      </x:c>
      <x:c r="O90" s="101" t="b">
        <x:v>1</x:v>
      </x:c>
      <x:c r="P90" t="str">
        <x:v>/Users/jvidale/Documents/Research/FaultScanR/output/20260722_181326_2487/CI_40353552</x:v>
      </x:c>
    </x:row>
    <x:row r="91">
      <x:c r="A91" t="str">
        <x:v>CI_40353552</x:v>
      </x:c>
      <x:c r="B91" s="99" t="str">
        <x:v>00131</x:v>
      </x:c>
      <x:c r="C91" t="str">
        <x:v>T</x:v>
      </x:c>
      <x:c r="D91" t="str">
        <x:v>R</x:v>
      </x:c>
      <x:c r="E91" t="str">
        <x:v>time shift</x:v>
      </x:c>
      <x:c r="F91" t="str">
        <x:v>S</x:v>
      </x:c>
      <x:c r="G91" s="100" t="n">
        <x:v>3</x:v>
      </x:c>
      <x:c r="H91" s="100" t="n">
        <x:v>10</x:v>
      </x:c>
      <x:c r="I91" s="100" t="n">
        <x:v>250</x:v>
      </x:c>
      <x:c r="J91" s="100" t="n">
        <x:v>-0.096</x:v>
      </x:c>
      <x:c r="K91" s="100" t="n">
        <x:v>-0.08327592287761654</x:v>
      </x:c>
      <x:c r="L91" s="100" t="n">
        <x:v>-0.01272407712238346</x:v>
      </x:c>
      <x:c r="M91" s="100" t="n">
        <x:v>-24</x:v>
      </x:c>
      <x:c r="N91" s="100" t="n">
        <x:v>0.9865023903214352</x:v>
      </x:c>
      <x:c r="O91" s="101" t="b">
        <x:v>1</x:v>
      </x:c>
      <x:c r="P91" t="str">
        <x:v>/Users/jvidale/Documents/Research/FaultScanR/output/20260722_181326_2487/CI_40353552</x:v>
      </x:c>
    </x:row>
    <x:row r="92">
      <x:c r="A92" t="str">
        <x:v>CI_40353552</x:v>
      </x:c>
      <x:c r="B92" s="99" t="str">
        <x:v>00132</x:v>
      </x:c>
      <x:c r="C92" t="str">
        <x:v>T</x:v>
      </x:c>
      <x:c r="D92" t="str">
        <x:v>R</x:v>
      </x:c>
      <x:c r="E92" t="str">
        <x:v>time shift</x:v>
      </x:c>
      <x:c r="F92" t="str">
        <x:v>S</x:v>
      </x:c>
      <x:c r="G92" s="100" t="n">
        <x:v>3</x:v>
      </x:c>
      <x:c r="H92" s="100" t="n">
        <x:v>10</x:v>
      </x:c>
      <x:c r="I92" s="100" t="n">
        <x:v>250</x:v>
      </x:c>
      <x:c r="J92" s="100" t="n">
        <x:v>-0.088</x:v>
      </x:c>
      <x:c r="K92" s="100" t="n">
        <x:v>-0.0741621271987869</x:v>
      </x:c>
      <x:c r="L92" s="100" t="n">
        <x:v>-0.0138378728012131</x:v>
      </x:c>
      <x:c r="M92" s="100" t="n">
        <x:v>-22</x:v>
      </x:c>
      <x:c r="N92" s="100" t="n">
        <x:v>0.9785891926799473</x:v>
      </x:c>
      <x:c r="O92" s="101" t="b">
        <x:v>1</x:v>
      </x:c>
      <x:c r="P92" t="str">
        <x:v>/Users/jvidale/Documents/Research/FaultScanR/output/20260722_181326_2487/CI_40353552</x:v>
      </x:c>
    </x:row>
    <x:row r="93">
      <x:c r="A93" t="str">
        <x:v>CI_40353552</x:v>
      </x:c>
      <x:c r="B93" s="99" t="str">
        <x:v>00133</x:v>
      </x:c>
      <x:c r="C93" t="str">
        <x:v>T</x:v>
      </x:c>
      <x:c r="D93" t="str">
        <x:v>R</x:v>
      </x:c>
      <x:c r="E93" t="str">
        <x:v>time shift</x:v>
      </x:c>
      <x:c r="F93" t="str">
        <x:v>S</x:v>
      </x:c>
      <x:c r="G93" s="100" t="n">
        <x:v>3</x:v>
      </x:c>
      <x:c r="H93" s="100" t="n">
        <x:v>10</x:v>
      </x:c>
      <x:c r="I93" s="100" t="n">
        <x:v>250</x:v>
      </x:c>
      <x:c r="J93" s="100" t="n">
        <x:v>-0.084</x:v>
      </x:c>
      <x:c r="K93" s="100" t="n">
        <x:v>-0.06323519367419284</x:v>
      </x:c>
      <x:c r="L93" s="100" t="n">
        <x:v>-0.02076480632580717</x:v>
      </x:c>
      <x:c r="M93" s="100" t="n">
        <x:v>-21</x:v>
      </x:c>
      <x:c r="N93" s="100" t="n">
        <x:v>0.9693758980305756</x:v>
      </x:c>
      <x:c r="O93" s="101" t="b">
        <x:v>1</x:v>
      </x:c>
      <x:c r="P93" t="str">
        <x:v>/Users/jvidale/Documents/Research/FaultScanR/output/20260722_181326_2487/CI_40353552</x:v>
      </x:c>
    </x:row>
    <x:row r="94">
      <x:c r="A94" t="str">
        <x:v>CI_40353552</x:v>
      </x:c>
      <x:c r="B94" s="99" t="str">
        <x:v>00134</x:v>
      </x:c>
      <x:c r="C94" t="str">
        <x:v>T</x:v>
      </x:c>
      <x:c r="D94" t="str">
        <x:v>R</x:v>
      </x:c>
      <x:c r="E94" t="str">
        <x:v>time shift</x:v>
      </x:c>
      <x:c r="F94" t="str">
        <x:v>S</x:v>
      </x:c>
      <x:c r="G94" s="100" t="n">
        <x:v>3</x:v>
      </x:c>
      <x:c r="H94" s="100" t="n">
        <x:v>10</x:v>
      </x:c>
      <x:c r="I94" s="100" t="n">
        <x:v>250</x:v>
      </x:c>
      <x:c r="J94" s="100" t="n">
        <x:v>-0.072</x:v>
      </x:c>
      <x:c r="K94" s="100" t="n">
        <x:v>-0.05731273416310145</x:v>
      </x:c>
      <x:c r="L94" s="100" t="n">
        <x:v>-0.01468726583689854</x:v>
      </x:c>
      <x:c r="M94" s="100" t="n">
        <x:v>-18</x:v>
      </x:c>
      <x:c r="N94" s="100" t="n">
        <x:v>0.9571234329416284</x:v>
      </x:c>
      <x:c r="O94" s="101" t="b">
        <x:v>1</x:v>
      </x:c>
      <x:c r="P94" t="str">
        <x:v>/Users/jvidale/Documents/Research/FaultScanR/output/20260722_181326_2487/CI_40353552</x:v>
      </x:c>
    </x:row>
    <x:row r="95">
      <x:c r="A95" t="str">
        <x:v>CI_40353552</x:v>
      </x:c>
      <x:c r="B95" s="99" t="str">
        <x:v>00135</x:v>
      </x:c>
      <x:c r="C95" t="str">
        <x:v>T</x:v>
      </x:c>
      <x:c r="D95" t="str">
        <x:v>R</x:v>
      </x:c>
      <x:c r="E95" t="str">
        <x:v>time shift</x:v>
      </x:c>
      <x:c r="F95" t="str">
        <x:v>S</x:v>
      </x:c>
      <x:c r="G95" s="100" t="n">
        <x:v>3</x:v>
      </x:c>
      <x:c r="H95" s="100" t="n">
        <x:v>10</x:v>
      </x:c>
      <x:c r="I95" s="100" t="n">
        <x:v>250</x:v>
      </x:c>
      <x:c r="J95" s="100" t="n">
        <x:v>-0.06</x:v>
      </x:c>
      <x:c r="K95" s="100" t="n">
        <x:v>-0.04594567302124819</x:v>
      </x:c>
      <x:c r="L95" s="100" t="n">
        <x:v>-0.01405432697875181</x:v>
      </x:c>
      <x:c r="M95" s="100" t="n">
        <x:v>-15</x:v>
      </x:c>
      <x:c r="N95" s="100" t="n">
        <x:v>0.9342419184178065</x:v>
      </x:c>
      <x:c r="O95" s="101" t="b">
        <x:v>1</x:v>
      </x:c>
      <x:c r="P95" t="str">
        <x:v>/Users/jvidale/Documents/Research/FaultScanR/output/20260722_181326_2487/CI_40353552</x:v>
      </x:c>
    </x:row>
    <x:row r="96">
      <x:c r="A96" t="str">
        <x:v>CI_40353552</x:v>
      </x:c>
      <x:c r="B96" s="99" t="str">
        <x:v>00136</x:v>
      </x:c>
      <x:c r="C96" t="str">
        <x:v>T</x:v>
      </x:c>
      <x:c r="D96" t="str">
        <x:v>R</x:v>
      </x:c>
      <x:c r="E96" t="str">
        <x:v>time shift</x:v>
      </x:c>
      <x:c r="F96" t="str">
        <x:v>S</x:v>
      </x:c>
      <x:c r="G96" s="100" t="n">
        <x:v>3</x:v>
      </x:c>
      <x:c r="H96" s="100" t="n">
        <x:v>10</x:v>
      </x:c>
      <x:c r="I96" s="100" t="n">
        <x:v>250</x:v>
      </x:c>
      <x:c r="J96" s="100" t="n">
        <x:v>-0.064</x:v>
      </x:c>
      <x:c r="K96" s="100" t="n">
        <x:v>-0.03871444818476455</x:v>
      </x:c>
      <x:c r="L96" s="100" t="n">
        <x:v>-0.02528555181523545</x:v>
      </x:c>
      <x:c r="M96" s="100" t="n">
        <x:v>-16</x:v>
      </x:c>
      <x:c r="N96" s="100" t="n">
        <x:v>0.9576551410141538</x:v>
      </x:c>
      <x:c r="O96" s="101" t="b">
        <x:v>1</x:v>
      </x:c>
      <x:c r="P96" t="str">
        <x:v>/Users/jvidale/Documents/Research/FaultScanR/output/20260722_181326_2487/CI_40353552</x:v>
      </x:c>
    </x:row>
    <x:row r="97">
      <x:c r="A97" t="str">
        <x:v>CI_40353552</x:v>
      </x:c>
      <x:c r="B97" s="99" t="str">
        <x:v>00137</x:v>
      </x:c>
      <x:c r="C97" t="str">
        <x:v>T</x:v>
      </x:c>
      <x:c r="D97" t="str">
        <x:v>R</x:v>
      </x:c>
      <x:c r="E97" t="str">
        <x:v>time shift</x:v>
      </x:c>
      <x:c r="F97" t="str">
        <x:v>S</x:v>
      </x:c>
      <x:c r="G97" s="100" t="n">
        <x:v>3</x:v>
      </x:c>
      <x:c r="H97" s="100" t="n">
        <x:v>10</x:v>
      </x:c>
      <x:c r="I97" s="100" t="n">
        <x:v>250</x:v>
      </x:c>
      <x:c r="J97" s="100" t="n">
        <x:v>-0.036</x:v>
      </x:c>
      <x:c r="K97" s="100" t="n">
        <x:v>-0.03000583822136971</x:v>
      </x:c>
      <x:c r="L97" s="100" t="n">
        <x:v>-0.00599416177863029</x:v>
      </x:c>
      <x:c r="M97" s="100" t="n">
        <x:v>-9</x:v>
      </x:c>
      <x:c r="N97" s="100" t="n">
        <x:v>0.9735983103787844</x:v>
      </x:c>
      <x:c r="O97" s="101" t="b">
        <x:v>1</x:v>
      </x:c>
      <x:c r="P97" t="str">
        <x:v>/Users/jvidale/Documents/Research/FaultScanR/output/20260722_181326_2487/CI_40353552</x:v>
      </x:c>
    </x:row>
    <x:row r="98">
      <x:c r="A98" t="str">
        <x:v>CI_40353552</x:v>
      </x:c>
      <x:c r="B98" s="99" t="str">
        <x:v>00138</x:v>
      </x:c>
      <x:c r="C98" t="str">
        <x:v>T</x:v>
      </x:c>
      <x:c r="D98" t="str">
        <x:v>R</x:v>
      </x:c>
      <x:c r="E98" t="str">
        <x:v>time shift</x:v>
      </x:c>
      <x:c r="F98" t="str">
        <x:v>S</x:v>
      </x:c>
      <x:c r="G98" s="100" t="n">
        <x:v>3</x:v>
      </x:c>
      <x:c r="H98" s="100" t="n">
        <x:v>10</x:v>
      </x:c>
      <x:c r="I98" s="100" t="n">
        <x:v>250</x:v>
      </x:c>
      <x:c r="J98" s="100" t="n">
        <x:v>-0.056</x:v>
      </x:c>
      <x:c r="K98" s="100" t="n">
        <x:v>-0.02101710210657881</x:v>
      </x:c>
      <x:c r="L98" s="100" t="n">
        <x:v>-0.03498289789342119</x:v>
      </x:c>
      <x:c r="M98" s="100" t="n">
        <x:v>-14</x:v>
      </x:c>
      <x:c r="N98" s="100" t="n">
        <x:v>0.898103974355875</x:v>
      </x:c>
      <x:c r="O98" s="101" t="b">
        <x:v>1</x:v>
      </x:c>
      <x:c r="P98" t="str">
        <x:v>/Users/jvidale/Documents/Research/FaultScanR/output/20260722_181326_2487/CI_40353552</x:v>
      </x:c>
    </x:row>
    <x:row r="99">
      <x:c r="A99" t="str">
        <x:v>CI_40353552</x:v>
      </x:c>
      <x:c r="B99" s="99" t="str">
        <x:v>00139</x:v>
      </x:c>
      <x:c r="C99" t="str">
        <x:v>T</x:v>
      </x:c>
      <x:c r="D99" t="str">
        <x:v>R</x:v>
      </x:c>
      <x:c r="E99" t="str">
        <x:v>time shift</x:v>
      </x:c>
      <x:c r="F99" t="str">
        <x:v>S</x:v>
      </x:c>
      <x:c r="G99" s="100" t="n">
        <x:v>3</x:v>
      </x:c>
      <x:c r="H99" s="100" t="n">
        <x:v>10</x:v>
      </x:c>
      <x:c r="I99" s="100" t="n">
        <x:v>250</x:v>
      </x:c>
      <x:c r="J99" s="100" t="n">
        <x:v>-0.044</x:v>
      </x:c>
      <x:c r="K99" s="100" t="n">
        <x:v>-0.010925321103473</x:v>
      </x:c>
      <x:c r="L99" s="100" t="n">
        <x:v>-0.033074678896527</x:v>
      </x:c>
      <x:c r="M99" s="100" t="n">
        <x:v>-11</x:v>
      </x:c>
      <x:c r="N99" s="100" t="n">
        <x:v>0.9717029265131214</x:v>
      </x:c>
      <x:c r="O99" s="101" t="b">
        <x:v>1</x:v>
      </x:c>
      <x:c r="P99" t="str">
        <x:v>/Users/jvidale/Documents/Research/FaultScanR/output/20260722_181326_2487/CI_40353552</x:v>
      </x:c>
    </x:row>
    <x:row r="100">
      <x:c r="A100" t="str">
        <x:v>CI_40353552</x:v>
      </x:c>
      <x:c r="B100" s="99" t="str">
        <x:v>00140</x:v>
      </x:c>
      <x:c r="C100" t="str">
        <x:v>T</x:v>
      </x:c>
      <x:c r="D100" t="str">
        <x:v>R</x:v>
      </x:c>
      <x:c r="E100" t="str">
        <x:v>time shift</x:v>
      </x:c>
      <x:c r="F100" t="str">
        <x:v>S</x:v>
      </x:c>
      <x:c r="G100" s="100" t="n">
        <x:v>3</x:v>
      </x:c>
      <x:c r="H100" s="100" t="n">
        <x:v>10</x:v>
      </x:c>
      <x:c r="I100" s="100" t="n">
        <x:v>250</x:v>
      </x:c>
      <x:c r="J100" s="100" t="n">
        <x:v>-0.04</x:v>
      </x:c>
      <x:c r="K100" s="100" t="n">
        <x:v>-0.002275866222340994</x:v>
      </x:c>
      <x:c r="L100" s="100" t="n">
        <x:v>-0.03772413377765901</x:v>
      </x:c>
      <x:c r="M100" s="100" t="n">
        <x:v>-10</x:v>
      </x:c>
      <x:c r="N100" s="100" t="n">
        <x:v>0.9967662717457307</x:v>
      </x:c>
      <x:c r="O100" s="101" t="b">
        <x:v>1</x:v>
      </x:c>
      <x:c r="P100" t="str">
        <x:v>/Users/jvidale/Documents/Research/FaultScanR/output/20260722_181326_2487/CI_40353552</x:v>
      </x:c>
    </x:row>
    <x:row r="101">
      <x:c r="A101" t="str">
        <x:v>CI_40353552</x:v>
      </x:c>
      <x:c r="B101" s="99" t="str">
        <x:v>00141</x:v>
      </x:c>
      <x:c r="C101" t="str">
        <x:v>T</x:v>
      </x:c>
      <x:c r="D101" t="str">
        <x:v>R</x:v>
      </x:c>
      <x:c r="E101" t="str">
        <x:v>time shift</x:v>
      </x:c>
      <x:c r="F101" t="str">
        <x:v>S</x:v>
      </x:c>
      <x:c r="G101" s="100" t="n">
        <x:v>3</x:v>
      </x:c>
      <x:c r="H101" s="100" t="n">
        <x:v>10</x:v>
      </x:c>
      <x:c r="I101" s="100" t="n">
        <x:v>250</x:v>
      </x:c>
      <x:c r="J101" s="100" t="n">
        <x:v>-0.032</x:v>
      </x:c>
      <x:c r="K101" s="100" t="n">
        <x:v>0.0060850158263559</x:v>
      </x:c>
      <x:c r="L101" s="100" t="n">
        <x:v>-0.0380850158263559</x:v>
      </x:c>
      <x:c r="M101" s="100" t="n">
        <x:v>-8</x:v>
      </x:c>
      <x:c r="N101" s="100" t="n">
        <x:v>0.9507949844031928</x:v>
      </x:c>
      <x:c r="O101" s="101" t="b">
        <x:v>1</x:v>
      </x:c>
      <x:c r="P101" t="str">
        <x:v>/Users/jvidale/Documents/Research/FaultScanR/output/20260722_181326_2487/CI_40353552</x:v>
      </x:c>
    </x:row>
    <x:row r="102">
      <x:c r="A102" t="str">
        <x:v>CI_40353552</x:v>
      </x:c>
      <x:c r="B102" s="99" t="str">
        <x:v>00142</x:v>
      </x:c>
      <x:c r="C102" t="str">
        <x:v>T</x:v>
      </x:c>
      <x:c r="D102" t="str">
        <x:v>R</x:v>
      </x:c>
      <x:c r="E102" t="str">
        <x:v>time shift</x:v>
      </x:c>
      <x:c r="F102" t="str">
        <x:v>S</x:v>
      </x:c>
      <x:c r="G102" s="100" t="n">
        <x:v>3</x:v>
      </x:c>
      <x:c r="H102" s="100" t="n">
        <x:v>10</x:v>
      </x:c>
      <x:c r="I102" s="100" t="n">
        <x:v>250</x:v>
      </x:c>
      <x:c r="J102" s="100" t="n">
        <x:v>-0.068</x:v>
      </x:c>
      <x:c r="K102" s="100" t="n">
        <x:v>-0.1025488780764912</x:v>
      </x:c>
      <x:c r="L102" s="100" t="n">
        <x:v>0.03454887807649115</x:v>
      </x:c>
      <x:c r="M102" s="100" t="n">
        <x:v>-17</x:v>
      </x:c>
      <x:c r="N102" s="100" t="n">
        <x:v>0.8448923705470254</x:v>
      </x:c>
      <x:c r="O102" s="101" t="b">
        <x:v>1</x:v>
      </x:c>
      <x:c r="P102" t="str">
        <x:v>/Users/jvidale/Documents/Research/FaultScanR/output/20260722_181326_2487/CI_40353552</x:v>
      </x:c>
    </x:row>
    <x:row r="103">
      <x:c r="A103" t="str">
        <x:v>CI_40353552</x:v>
      </x:c>
      <x:c r="B103" s="99" t="str">
        <x:v>00143</x:v>
      </x:c>
      <x:c r="C103" t="str">
        <x:v>T</x:v>
      </x:c>
      <x:c r="D103" t="str">
        <x:v>R</x:v>
      </x:c>
      <x:c r="E103" t="str">
        <x:v>time shift</x:v>
      </x:c>
      <x:c r="F103" t="str">
        <x:v>S</x:v>
      </x:c>
      <x:c r="G103" s="100" t="n">
        <x:v>3</x:v>
      </x:c>
      <x:c r="H103" s="100" t="n">
        <x:v>10</x:v>
      </x:c>
      <x:c r="I103" s="100" t="n">
        <x:v>250</x:v>
      </x:c>
      <x:c r="J103" s="100" t="n">
        <x:v>-0.068</x:v>
      </x:c>
      <x:c r="K103" s="100" t="n">
        <x:v>-0.09452421555392387</x:v>
      </x:c>
      <x:c r="L103" s="100" t="n">
        <x:v>0.02652421555392387</x:v>
      </x:c>
      <x:c r="M103" s="100" t="n">
        <x:v>-17</x:v>
      </x:c>
      <x:c r="N103" s="100" t="n">
        <x:v>0.9090760647038416</x:v>
      </x:c>
      <x:c r="O103" s="101" t="b">
        <x:v>1</x:v>
      </x:c>
      <x:c r="P103" t="str">
        <x:v>/Users/jvidale/Documents/Research/FaultScanR/output/20260722_181326_2487/CI_40353552</x:v>
      </x:c>
    </x:row>
    <x:row r="104">
      <x:c r="A104" t="str">
        <x:v>CI_40353552</x:v>
      </x:c>
      <x:c r="B104" s="99" t="str">
        <x:v>00144</x:v>
      </x:c>
      <x:c r="C104" t="str">
        <x:v>T</x:v>
      </x:c>
      <x:c r="D104" t="str">
        <x:v>R</x:v>
      </x:c>
      <x:c r="E104" t="str">
        <x:v>time shift</x:v>
      </x:c>
      <x:c r="F104" t="str">
        <x:v>S</x:v>
      </x:c>
      <x:c r="G104" s="100" t="n">
        <x:v>3</x:v>
      </x:c>
      <x:c r="H104" s="100" t="n">
        <x:v>10</x:v>
      </x:c>
      <x:c r="I104" s="100" t="n">
        <x:v>250</x:v>
      </x:c>
      <x:c r="J104" s="100" t="n">
        <x:v>-0.084</x:v>
      </x:c>
      <x:c r="K104" s="100" t="n">
        <x:v>-0.08368446518572448</x:v>
      </x:c>
      <x:c r="L104" s="100" t="n">
        <x:v>-0.0003155348142755282</x:v>
      </x:c>
      <x:c r="M104" s="100" t="n">
        <x:v>-21</x:v>
      </x:c>
      <x:c r="N104" s="100" t="n">
        <x:v>0.9267502983026166</x:v>
      </x:c>
      <x:c r="O104" s="101" t="b">
        <x:v>1</x:v>
      </x:c>
      <x:c r="P104" t="str">
        <x:v>/Users/jvidale/Documents/Research/FaultScanR/output/20260722_181326_2487/CI_40353552</x:v>
      </x:c>
    </x:row>
    <x:row r="105">
      <x:c r="A105" t="str">
        <x:v>CI_40353552</x:v>
      </x:c>
      <x:c r="B105" s="99" t="str">
        <x:v>00145</x:v>
      </x:c>
      <x:c r="C105" t="str">
        <x:v>T</x:v>
      </x:c>
      <x:c r="D105" t="str">
        <x:v>R</x:v>
      </x:c>
      <x:c r="E105" t="str">
        <x:v>time shift</x:v>
      </x:c>
      <x:c r="F105" t="str">
        <x:v>S</x:v>
      </x:c>
      <x:c r="G105" s="100" t="n">
        <x:v>3</x:v>
      </x:c>
      <x:c r="H105" s="100" t="n">
        <x:v>10</x:v>
      </x:c>
      <x:c r="I105" s="100" t="n">
        <x:v>250</x:v>
      </x:c>
      <x:c r="J105" s="100" t="n">
        <x:v>-0.084</x:v>
      </x:c>
      <x:c r="K105" s="100" t="n">
        <x:v>-0.07623982829218079</x:v>
      </x:c>
      <x:c r="L105" s="100" t="n">
        <x:v>-0.007760171707819216</x:v>
      </x:c>
      <x:c r="M105" s="100" t="n">
        <x:v>-21</x:v>
      </x:c>
      <x:c r="N105" s="100" t="n">
        <x:v>0.9261538905941895</x:v>
      </x:c>
      <x:c r="O105" s="101" t="b">
        <x:v>1</x:v>
      </x:c>
      <x:c r="P105" t="str">
        <x:v>/Users/jvidale/Documents/Research/FaultScanR/output/20260722_181326_2487/CI_40353552</x:v>
      </x:c>
    </x:row>
    <x:row r="106">
      <x:c r="A106" t="str">
        <x:v>CI_40353552</x:v>
      </x:c>
      <x:c r="B106" s="99" t="str">
        <x:v>00146</x:v>
      </x:c>
      <x:c r="C106" t="str">
        <x:v>T</x:v>
      </x:c>
      <x:c r="D106" t="str">
        <x:v>R</x:v>
      </x:c>
      <x:c r="E106" t="str">
        <x:v>time shift</x:v>
      </x:c>
      <x:c r="F106" t="str">
        <x:v>S</x:v>
      </x:c>
      <x:c r="G106" s="100" t="n">
        <x:v>3</x:v>
      </x:c>
      <x:c r="H106" s="100" t="n">
        <x:v>10</x:v>
      </x:c>
      <x:c r="I106" s="100" t="n">
        <x:v>250</x:v>
      </x:c>
      <x:c r="J106" s="100" t="n">
        <x:v>-0.072</x:v>
      </x:c>
      <x:c r="K106" s="100" t="n">
        <x:v>-0.06967063944699436</x:v>
      </x:c>
      <x:c r="L106" s="100" t="n">
        <x:v>-0.00232936055300563</x:v>
      </x:c>
      <x:c r="M106" s="100" t="n">
        <x:v>-18</x:v>
      </x:c>
      <x:c r="N106" s="100" t="n">
        <x:v>0.958527146381109</x:v>
      </x:c>
      <x:c r="O106" s="101" t="b">
        <x:v>1</x:v>
      </x:c>
      <x:c r="P106" t="str">
        <x:v>/Users/jvidale/Documents/Research/FaultScanR/output/20260722_181326_2487/CI_40353552</x:v>
      </x:c>
    </x:row>
    <x:row r="107">
      <x:c r="A107" t="str">
        <x:v>CI_40353552</x:v>
      </x:c>
      <x:c r="B107" s="99" t="str">
        <x:v>00147</x:v>
      </x:c>
      <x:c r="C107" t="str">
        <x:v>T</x:v>
      </x:c>
      <x:c r="D107" t="str">
        <x:v>R</x:v>
      </x:c>
      <x:c r="E107" t="str">
        <x:v>time shift</x:v>
      </x:c>
      <x:c r="F107" t="str">
        <x:v>S</x:v>
      </x:c>
      <x:c r="G107" s="100" t="n">
        <x:v>3</x:v>
      </x:c>
      <x:c r="H107" s="100" t="n">
        <x:v>10</x:v>
      </x:c>
      <x:c r="I107" s="100" t="n">
        <x:v>250</x:v>
      </x:c>
      <x:c r="J107" s="100" t="n">
        <x:v>-0.056</x:v>
      </x:c>
      <x:c r="K107" s="100" t="n">
        <x:v>-0.05826402980090961</x:v>
      </x:c>
      <x:c r="L107" s="100" t="n">
        <x:v>0.00226402980090961</x:v>
      </x:c>
      <x:c r="M107" s="100" t="n">
        <x:v>-14</x:v>
      </x:c>
      <x:c r="N107" s="100" t="n">
        <x:v>0.9666904739543053</x:v>
      </x:c>
      <x:c r="O107" s="101" t="b">
        <x:v>1</x:v>
      </x:c>
      <x:c r="P107" t="str">
        <x:v>/Users/jvidale/Documents/Research/FaultScanR/output/20260722_181326_2487/CI_40353552</x:v>
      </x:c>
    </x:row>
    <x:row r="108">
      <x:c r="A108" t="str">
        <x:v>CI_40353552</x:v>
      </x:c>
      <x:c r="B108" s="99" t="str">
        <x:v>00148</x:v>
      </x:c>
      <x:c r="C108" t="str">
        <x:v>T</x:v>
      </x:c>
      <x:c r="D108" t="str">
        <x:v>R</x:v>
      </x:c>
      <x:c r="E108" t="str">
        <x:v>time shift</x:v>
      </x:c>
      <x:c r="F108" t="str">
        <x:v>S</x:v>
      </x:c>
      <x:c r="G108" s="100" t="n">
        <x:v>3</x:v>
      </x:c>
      <x:c r="H108" s="100" t="n">
        <x:v>10</x:v>
      </x:c>
      <x:c r="I108" s="100" t="n">
        <x:v>250</x:v>
      </x:c>
      <x:c r="J108" s="100" t="n">
        <x:v>-0.06</x:v>
      </x:c>
      <x:c r="K108" s="100" t="n">
        <x:v>-0.05213733147830268</x:v>
      </x:c>
      <x:c r="L108" s="100" t="n">
        <x:v>-0.007862668521697314</x:v>
      </x:c>
      <x:c r="M108" s="100" t="n">
        <x:v>-15</x:v>
      </x:c>
      <x:c r="N108" s="100" t="n">
        <x:v>0.98568814794643</x:v>
      </x:c>
      <x:c r="O108" s="101" t="b">
        <x:v>1</x:v>
      </x:c>
      <x:c r="P108" t="str">
        <x:v>/Users/jvidale/Documents/Research/FaultScanR/output/20260722_181326_2487/CI_40353552</x:v>
      </x:c>
    </x:row>
    <x:row r="109">
      <x:c r="A109" t="str">
        <x:v>CI_40353552</x:v>
      </x:c>
      <x:c r="B109" s="99" t="str">
        <x:v>00149</x:v>
      </x:c>
      <x:c r="C109" t="str">
        <x:v>T</x:v>
      </x:c>
      <x:c r="D109" t="str">
        <x:v>R</x:v>
      </x:c>
      <x:c r="E109" t="str">
        <x:v>time shift</x:v>
      </x:c>
      <x:c r="F109" t="str">
        <x:v>S</x:v>
      </x:c>
      <x:c r="G109" s="100" t="n">
        <x:v>3</x:v>
      </x:c>
      <x:c r="H109" s="100" t="n">
        <x:v>10</x:v>
      </x:c>
      <x:c r="I109" s="100" t="n">
        <x:v>250</x:v>
      </x:c>
      <x:c r="J109" s="100" t="n">
        <x:v>-0.052</x:v>
      </x:c>
      <x:c r="K109" s="100" t="n">
        <x:v>-0.04295805435831301</x:v>
      </x:c>
      <x:c r="L109" s="100" t="n">
        <x:v>-0.009041945641686984</x:v>
      </x:c>
      <x:c r="M109" s="100" t="n">
        <x:v>-13</x:v>
      </x:c>
      <x:c r="N109" s="100" t="n">
        <x:v>0.9828209403151398</x:v>
      </x:c>
      <x:c r="O109" s="101" t="b">
        <x:v>1</x:v>
      </x:c>
      <x:c r="P109" t="str">
        <x:v>/Users/jvidale/Documents/Research/FaultScanR/output/20260722_181326_2487/CI_40353552</x:v>
      </x:c>
    </x:row>
    <x:row r="110">
      <x:c r="A110" t="str">
        <x:v>CI_40353552</x:v>
      </x:c>
      <x:c r="B110" s="99" t="str">
        <x:v>00150</x:v>
      </x:c>
      <x:c r="C110" t="str">
        <x:v>T</x:v>
      </x:c>
      <x:c r="D110" t="str">
        <x:v>R</x:v>
      </x:c>
      <x:c r="E110" t="str">
        <x:v>time shift</x:v>
      </x:c>
      <x:c r="F110" t="str">
        <x:v>S</x:v>
      </x:c>
      <x:c r="G110" s="100" t="n">
        <x:v>3</x:v>
      </x:c>
      <x:c r="H110" s="100" t="n">
        <x:v>10</x:v>
      </x:c>
      <x:c r="I110" s="100" t="n">
        <x:v>250</x:v>
      </x:c>
      <x:c r="J110" s="100" t="n">
        <x:v>-0.044</x:v>
      </x:c>
      <x:c r="K110" s="100" t="n">
        <x:v>-0.03318617762539322</x:v>
      </x:c>
      <x:c r="L110" s="100" t="n">
        <x:v>-0.01081382237460678</x:v>
      </x:c>
      <x:c r="M110" s="100" t="n">
        <x:v>-11</x:v>
      </x:c>
      <x:c r="N110" s="100" t="n">
        <x:v>0.9496636834405471</x:v>
      </x:c>
      <x:c r="O110" s="101" t="b">
        <x:v>1</x:v>
      </x:c>
      <x:c r="P110" t="str">
        <x:v>/Users/jvidale/Documents/Research/FaultScanR/output/20260722_181326_2487/CI_40353552</x:v>
      </x:c>
    </x:row>
    <x:row r="111">
      <x:c r="A111" t="str">
        <x:v>CI_40353552</x:v>
      </x:c>
      <x:c r="B111" s="99" t="str">
        <x:v>00151</x:v>
      </x:c>
      <x:c r="C111" t="str">
        <x:v>T</x:v>
      </x:c>
      <x:c r="D111" t="str">
        <x:v>R</x:v>
      </x:c>
      <x:c r="E111" t="str">
        <x:v>time shift</x:v>
      </x:c>
      <x:c r="F111" t="str">
        <x:v>S</x:v>
      </x:c>
      <x:c r="G111" s="100" t="n">
        <x:v>3</x:v>
      </x:c>
      <x:c r="H111" s="100" t="n">
        <x:v>10</x:v>
      </x:c>
      <x:c r="I111" s="100" t="n">
        <x:v>250</x:v>
      </x:c>
      <x:c r="J111" s="100" t="n">
        <x:v>-0.044</x:v>
      </x:c>
      <x:c r="K111" s="100" t="n">
        <x:v>-0.02624234883085563</x:v>
      </x:c>
      <x:c r="L111" s="100" t="n">
        <x:v>-0.01775765116914436</x:v>
      </x:c>
      <x:c r="M111" s="100" t="n">
        <x:v>-11</x:v>
      </x:c>
      <x:c r="N111" s="100" t="n">
        <x:v>0.9661416943819547</x:v>
      </x:c>
      <x:c r="O111" s="101" t="b">
        <x:v>1</x:v>
      </x:c>
      <x:c r="P111" t="str">
        <x:v>/Users/jvidale/Documents/Research/FaultScanR/output/20260722_181326_2487/CI_40353552</x:v>
      </x:c>
    </x:row>
    <x:row r="112">
      <x:c r="A112" t="str">
        <x:v>CI_40353552</x:v>
      </x:c>
      <x:c r="B112" s="99" t="str">
        <x:v>00152</x:v>
      </x:c>
      <x:c r="C112" t="str">
        <x:v>T</x:v>
      </x:c>
      <x:c r="D112" t="str">
        <x:v>R</x:v>
      </x:c>
      <x:c r="E112" t="str">
        <x:v>time shift</x:v>
      </x:c>
      <x:c r="F112" t="str">
        <x:v>S</x:v>
      </x:c>
      <x:c r="G112" s="100" t="n">
        <x:v>3</x:v>
      </x:c>
      <x:c r="H112" s="100" t="n">
        <x:v>10</x:v>
      </x:c>
      <x:c r="I112" s="100" t="n">
        <x:v>250</x:v>
      </x:c>
      <x:c r="J112" s="100" t="n">
        <x:v>-0.032</x:v>
      </x:c>
      <x:c r="K112" s="100" t="n">
        <x:v>-0.0156320410573505</x:v>
      </x:c>
      <x:c r="L112" s="100" t="n">
        <x:v>-0.0163679589426495</x:v>
      </x:c>
      <x:c r="M112" s="100" t="n">
        <x:v>-8</x:v>
      </x:c>
      <x:c r="N112" s="100" t="n">
        <x:v>0.9529736231911413</x:v>
      </x:c>
      <x:c r="O112" s="101" t="b">
        <x:v>1</x:v>
      </x:c>
      <x:c r="P112" t="str">
        <x:v>/Users/jvidale/Documents/Research/FaultScanR/output/20260722_181326_2487/CI_40353552</x:v>
      </x:c>
    </x:row>
    <x:row r="113">
      <x:c r="A113" t="str">
        <x:v>CI_40353552</x:v>
      </x:c>
      <x:c r="B113" s="99" t="str">
        <x:v>00153</x:v>
      </x:c>
      <x:c r="C113" t="str">
        <x:v>T</x:v>
      </x:c>
      <x:c r="D113" t="str">
        <x:v>R</x:v>
      </x:c>
      <x:c r="E113" t="str">
        <x:v>time shift</x:v>
      </x:c>
      <x:c r="F113" t="str">
        <x:v>S</x:v>
      </x:c>
      <x:c r="G113" s="100" t="n">
        <x:v>3</x:v>
      </x:c>
      <x:c r="H113" s="100" t="n">
        <x:v>10</x:v>
      </x:c>
      <x:c r="I113" s="100" t="n">
        <x:v>250</x:v>
      </x:c>
      <x:c r="J113" s="100" t="n">
        <x:v>-0.024</x:v>
      </x:c>
      <x:c r="K113" s="100" t="n">
        <x:v>-0.008941317092467038</x:v>
      </x:c>
      <x:c r="L113" s="100" t="n">
        <x:v>-0.01505868290753296</x:v>
      </x:c>
      <x:c r="M113" s="100" t="n">
        <x:v>-6</x:v>
      </x:c>
      <x:c r="N113" s="100" t="n">
        <x:v>0.9735814123895051</x:v>
      </x:c>
      <x:c r="O113" s="101" t="b">
        <x:v>1</x:v>
      </x:c>
      <x:c r="P113" t="str">
        <x:v>/Users/jvidale/Documents/Research/FaultScanR/output/20260722_181326_2487/CI_40353552</x:v>
      </x:c>
    </x:row>
    <x:row r="114">
      <x:c r="A114" t="str">
        <x:v>CI_40353552</x:v>
      </x:c>
      <x:c r="B114" s="99" t="str">
        <x:v>00155</x:v>
      </x:c>
      <x:c r="C114" t="str">
        <x:v>T</x:v>
      </x:c>
      <x:c r="D114" t="str">
        <x:v>R</x:v>
      </x:c>
      <x:c r="E114" t="str">
        <x:v>time shift</x:v>
      </x:c>
      <x:c r="F114" t="str">
        <x:v>S</x:v>
      </x:c>
      <x:c r="G114" s="100" t="n">
        <x:v>3</x:v>
      </x:c>
      <x:c r="H114" s="100" t="n">
        <x:v>10</x:v>
      </x:c>
      <x:c r="I114" s="100" t="n">
        <x:v>250</x:v>
      </x:c>
      <x:c r="J114" s="100" t="n">
        <x:v>-0.012</x:v>
      </x:c>
      <x:c r="K114" s="100" t="n">
        <x:v>0.00928788256823232</x:v>
      </x:c>
      <x:c r="L114" s="100" t="n">
        <x:v>-0.02128788256823232</x:v>
      </x:c>
      <x:c r="M114" s="100" t="n">
        <x:v>-3</x:v>
      </x:c>
      <x:c r="N114" s="100" t="n">
        <x:v>0.9742297828677731</x:v>
      </x:c>
      <x:c r="O114" s="101" t="b">
        <x:v>1</x:v>
      </x:c>
      <x:c r="P114" t="str">
        <x:v>/Users/jvidale/Documents/Research/FaultScanR/output/20260722_181326_2487/CI_40353552</x:v>
      </x:c>
    </x:row>
    <x:row r="115">
      <x:c r="A115" t="str">
        <x:v>CI_40353552</x:v>
      </x:c>
      <x:c r="B115" s="99" t="str">
        <x:v>00156</x:v>
      </x:c>
      <x:c r="C115" t="str">
        <x:v>T</x:v>
      </x:c>
      <x:c r="D115" t="str">
        <x:v>R</x:v>
      </x:c>
      <x:c r="E115" t="str">
        <x:v>time shift</x:v>
      </x:c>
      <x:c r="F115" t="str">
        <x:v>S</x:v>
      </x:c>
      <x:c r="G115" s="100" t="n">
        <x:v>3</x:v>
      </x:c>
      <x:c r="H115" s="100" t="n">
        <x:v>10</x:v>
      </x:c>
      <x:c r="I115" s="100" t="n">
        <x:v>250</x:v>
      </x:c>
      <x:c r="J115" s="100" t="n">
        <x:v>-0.012</x:v>
      </x:c>
      <x:c r="K115" s="100" t="n">
        <x:v>0.02100922498805069</x:v>
      </x:c>
      <x:c r="L115" s="100" t="n">
        <x:v>-0.03300922498805069</x:v>
      </x:c>
      <x:c r="M115" s="100" t="n">
        <x:v>-3</x:v>
      </x:c>
      <x:c r="N115" s="100" t="n">
        <x:v>0.9558050684675156</x:v>
      </x:c>
      <x:c r="O115" s="101" t="b">
        <x:v>1</x:v>
      </x:c>
      <x:c r="P115" t="str">
        <x:v>/Users/jvidale/Documents/Research/FaultScanR/output/20260722_181326_2487/CI_40353552</x:v>
      </x:c>
    </x:row>
    <x:row r="116">
      <x:c r="A116" t="str">
        <x:v>CI_40353552</x:v>
      </x:c>
      <x:c r="B116" s="99" t="str">
        <x:v>00157</x:v>
      </x:c>
      <x:c r="C116" t="str">
        <x:v>T</x:v>
      </x:c>
      <x:c r="D116" t="str">
        <x:v>R</x:v>
      </x:c>
      <x:c r="E116" t="str">
        <x:v>time shift</x:v>
      </x:c>
      <x:c r="F116" t="str">
        <x:v>S</x:v>
      </x:c>
      <x:c r="G116" s="100" t="n">
        <x:v>3</x:v>
      </x:c>
      <x:c r="H116" s="100" t="n">
        <x:v>10</x:v>
      </x:c>
      <x:c r="I116" s="100" t="n">
        <x:v>250</x:v>
      </x:c>
      <x:c r="J116" s="100" t="n">
        <x:v>-0.016</x:v>
      </x:c>
      <x:c r="K116" s="100" t="n">
        <x:v>0.02918479630279158</x:v>
      </x:c>
      <x:c r="L116" s="100" t="n">
        <x:v>-0.04518479630279158</x:v>
      </x:c>
      <x:c r="M116" s="100" t="n">
        <x:v>-4</x:v>
      </x:c>
      <x:c r="N116" s="100" t="n">
        <x:v>0.9922588832530023</x:v>
      </x:c>
      <x:c r="O116" s="101" t="b">
        <x:v>1</x:v>
      </x:c>
      <x:c r="P116" t="str">
        <x:v>/Users/jvidale/Documents/Research/FaultScanR/output/20260722_181326_2487/CI_40353552</x:v>
      </x:c>
    </x:row>
    <x:row r="117">
      <x:c r="A117" t="str">
        <x:v>CI_40353552</x:v>
      </x:c>
      <x:c r="B117" s="99" t="str">
        <x:v>00158</x:v>
      </x:c>
      <x:c r="C117" t="str">
        <x:v>T</x:v>
      </x:c>
      <x:c r="D117" t="str">
        <x:v>R</x:v>
      </x:c>
      <x:c r="E117" t="str">
        <x:v>time shift</x:v>
      </x:c>
      <x:c r="F117" t="str">
        <x:v>S</x:v>
      </x:c>
      <x:c r="G117" s="100" t="n">
        <x:v>3</x:v>
      </x:c>
      <x:c r="H117" s="100" t="n">
        <x:v>10</x:v>
      </x:c>
      <x:c r="I117" s="100" t="n">
        <x:v>250</x:v>
      </x:c>
      <x:c r="J117" s="100" t="n">
        <x:v>-0.036</x:v>
      </x:c>
      <x:c r="K117" s="100" t="n">
        <x:v>-0.07828517466826757</x:v>
      </x:c>
      <x:c r="L117" s="100" t="n">
        <x:v>0.04228517466826757</x:v>
      </x:c>
      <x:c r="M117" s="100" t="n">
        <x:v>-9</x:v>
      </x:c>
      <x:c r="N117" s="100" t="n">
        <x:v>0.7951915663243144</x:v>
      </x:c>
      <x:c r="O117" s="101" t="b">
        <x:v>1</x:v>
      </x:c>
      <x:c r="P117" t="str">
        <x:v>/Users/jvidale/Documents/Research/FaultScanR/output/20260722_181326_2487/CI_40353552</x:v>
      </x:c>
    </x:row>
    <x:row r="118">
      <x:c r="A118" t="str">
        <x:v>CI_40353552</x:v>
      </x:c>
      <x:c r="B118" s="99" t="str">
        <x:v>00160</x:v>
      </x:c>
      <x:c r="C118" t="str">
        <x:v>T</x:v>
      </x:c>
      <x:c r="D118" t="str">
        <x:v>R</x:v>
      </x:c>
      <x:c r="E118" t="str">
        <x:v>time shift</x:v>
      </x:c>
      <x:c r="F118" t="str">
        <x:v>S</x:v>
      </x:c>
      <x:c r="G118" s="100" t="n">
        <x:v>3</x:v>
      </x:c>
      <x:c r="H118" s="100" t="n">
        <x:v>10</x:v>
      </x:c>
      <x:c r="I118" s="100" t="n">
        <x:v>250</x:v>
      </x:c>
      <x:c r="J118" s="100" t="n">
        <x:v>-0.064</x:v>
      </x:c>
      <x:c r="K118" s="100" t="n">
        <x:v>-0.06168630083169724</x:v>
      </x:c>
      <x:c r="L118" s="100" t="n">
        <x:v>-0.002313699168302763</x:v>
      </x:c>
      <x:c r="M118" s="100" t="n">
        <x:v>-16</x:v>
      </x:c>
      <x:c r="N118" s="100" t="n">
        <x:v>0.7028745045096533</x:v>
      </x:c>
      <x:c r="O118" s="101" t="b">
        <x:v>1</x:v>
      </x:c>
      <x:c r="P118" t="str">
        <x:v>/Users/jvidale/Documents/Research/FaultScanR/output/20260722_181326_2487/CI_40353552</x:v>
      </x:c>
    </x:row>
    <x:row r="119">
      <x:c r="A119" t="str">
        <x:v>CI_40353552</x:v>
      </x:c>
      <x:c r="B119" s="99" t="str">
        <x:v>00162</x:v>
      </x:c>
      <x:c r="C119" t="str">
        <x:v>T</x:v>
      </x:c>
      <x:c r="D119" t="str">
        <x:v>R</x:v>
      </x:c>
      <x:c r="E119" t="str">
        <x:v>time shift</x:v>
      </x:c>
      <x:c r="F119" t="str">
        <x:v>S</x:v>
      </x:c>
      <x:c r="G119" s="100" t="n">
        <x:v>3</x:v>
      </x:c>
      <x:c r="H119" s="100" t="n">
        <x:v>10</x:v>
      </x:c>
      <x:c r="I119" s="100" t="n">
        <x:v>250</x:v>
      </x:c>
      <x:c r="J119" s="100" t="n">
        <x:v>-0.052</x:v>
      </x:c>
      <x:c r="K119" s="100" t="n">
        <x:v>-0.04889376344206831</x:v>
      </x:c>
      <x:c r="L119" s="100" t="n">
        <x:v>-0.003106236557931692</x:v>
      </x:c>
      <x:c r="M119" s="100" t="n">
        <x:v>-13</x:v>
      </x:c>
      <x:c r="N119" s="100" t="n">
        <x:v>0.8565779319536181</x:v>
      </x:c>
      <x:c r="O119" s="101" t="b">
        <x:v>1</x:v>
      </x:c>
      <x:c r="P119" t="str">
        <x:v>/Users/jvidale/Documents/Research/FaultScanR/output/20260722_181326_2487/CI_40353552</x:v>
      </x:c>
    </x:row>
    <x:row r="120">
      <x:c r="A120" t="str">
        <x:v>CI_40353552</x:v>
      </x:c>
      <x:c r="B120" s="99" t="str">
        <x:v>00163</x:v>
      </x:c>
      <x:c r="C120" t="str">
        <x:v>T</x:v>
      </x:c>
      <x:c r="D120" t="str">
        <x:v>R</x:v>
      </x:c>
      <x:c r="E120" t="str">
        <x:v>time shift</x:v>
      </x:c>
      <x:c r="F120" t="str">
        <x:v>S</x:v>
      </x:c>
      <x:c r="G120" s="100" t="n">
        <x:v>3</x:v>
      </x:c>
      <x:c r="H120" s="100" t="n">
        <x:v>10</x:v>
      </x:c>
      <x:c r="I120" s="100" t="n">
        <x:v>250</x:v>
      </x:c>
      <x:c r="J120" s="100" t="n">
        <x:v>-0.044</x:v>
      </x:c>
      <x:c r="K120" s="100" t="n">
        <x:v>-0.04012931418619203</x:v>
      </x:c>
      <x:c r="L120" s="100" t="n">
        <x:v>-0.003870685813807964</x:v>
      </x:c>
      <x:c r="M120" s="100" t="n">
        <x:v>-11</x:v>
      </x:c>
      <x:c r="N120" s="100" t="n">
        <x:v>0.9572584971381223</x:v>
      </x:c>
      <x:c r="O120" s="101" t="b">
        <x:v>1</x:v>
      </x:c>
      <x:c r="P120" t="str">
        <x:v>/Users/jvidale/Documents/Research/FaultScanR/output/20260722_181326_2487/CI_40353552</x:v>
      </x:c>
    </x:row>
    <x:row r="121">
      <x:c r="A121" t="str">
        <x:v>CI_40353552</x:v>
      </x:c>
      <x:c r="B121" s="99" t="str">
        <x:v>00164</x:v>
      </x:c>
      <x:c r="C121" t="str">
        <x:v>T</x:v>
      </x:c>
      <x:c r="D121" t="str">
        <x:v>R</x:v>
      </x:c>
      <x:c r="E121" t="str">
        <x:v>time shift</x:v>
      </x:c>
      <x:c r="F121" t="str">
        <x:v>S</x:v>
      </x:c>
      <x:c r="G121" s="100" t="n">
        <x:v>3</x:v>
      </x:c>
      <x:c r="H121" s="100" t="n">
        <x:v>10</x:v>
      </x:c>
      <x:c r="I121" s="100" t="n">
        <x:v>250</x:v>
      </x:c>
      <x:c r="J121" s="100" t="n">
        <x:v>-0.032</x:v>
      </x:c>
      <x:c r="K121" s="100" t="n">
        <x:v>-0.03124321849203682</x:v>
      </x:c>
      <x:c r="L121" s="100" t="n">
        <x:v>-0.0007567815079631834</x:v>
      </x:c>
      <x:c r="M121" s="100" t="n">
        <x:v>-8</x:v>
      </x:c>
      <x:c r="N121" s="100" t="n">
        <x:v>0.9488334041913383</x:v>
      </x:c>
      <x:c r="O121" s="101" t="b">
        <x:v>1</x:v>
      </x:c>
      <x:c r="P121" t="str">
        <x:v>/Users/jvidale/Documents/Research/FaultScanR/output/20260722_181326_2487/CI_40353552</x:v>
      </x:c>
    </x:row>
    <x:row r="122">
      <x:c r="A122" t="str">
        <x:v>CI_40353552</x:v>
      </x:c>
      <x:c r="B122" s="99" t="str">
        <x:v>00165</x:v>
      </x:c>
      <x:c r="C122" t="str">
        <x:v>T</x:v>
      </x:c>
      <x:c r="D122" t="str">
        <x:v>R</x:v>
      </x:c>
      <x:c r="E122" t="str">
        <x:v>time shift</x:v>
      </x:c>
      <x:c r="F122" t="str">
        <x:v>S</x:v>
      </x:c>
      <x:c r="G122" s="100" t="n">
        <x:v>3</x:v>
      </x:c>
      <x:c r="H122" s="100" t="n">
        <x:v>10</x:v>
      </x:c>
      <x:c r="I122" s="100" t="n">
        <x:v>250</x:v>
      </x:c>
      <x:c r="J122" s="100" t="n">
        <x:v>-0.016</x:v>
      </x:c>
      <x:c r="K122" s="100" t="n">
        <x:v>-0.02086479212839887</x:v>
      </x:c>
      <x:c r="L122" s="100" t="n">
        <x:v>0.004864792128398868</x:v>
      </x:c>
      <x:c r="M122" s="100" t="n">
        <x:v>-4</x:v>
      </x:c>
      <x:c r="N122" s="100" t="n">
        <x:v>0.9327956717643842</x:v>
      </x:c>
      <x:c r="O122" s="101" t="b">
        <x:v>1</x:v>
      </x:c>
      <x:c r="P122" t="str">
        <x:v>/Users/jvidale/Documents/Research/FaultScanR/output/20260722_181326_2487/CI_40353552</x:v>
      </x:c>
    </x:row>
    <x:row r="123">
      <x:c r="A123" t="str">
        <x:v>CI_40353552</x:v>
      </x:c>
      <x:c r="B123" s="99" t="str">
        <x:v>00166</x:v>
      </x:c>
      <x:c r="C123" t="str">
        <x:v>T</x:v>
      </x:c>
      <x:c r="D123" t="str">
        <x:v>R</x:v>
      </x:c>
      <x:c r="E123" t="str">
        <x:v>time shift</x:v>
      </x:c>
      <x:c r="F123" t="str">
        <x:v>S</x:v>
      </x:c>
      <x:c r="G123" s="100" t="n">
        <x:v>3</x:v>
      </x:c>
      <x:c r="H123" s="100" t="n">
        <x:v>10</x:v>
      </x:c>
      <x:c r="I123" s="100" t="n">
        <x:v>250</x:v>
      </x:c>
      <x:c r="J123" s="100" t="n">
        <x:v>-0.02</x:v>
      </x:c>
      <x:c r="K123" s="100" t="n">
        <x:v>-0.01315542132724268</x:v>
      </x:c>
      <x:c r="L123" s="100" t="n">
        <x:v>-0.006844578672757323</x:v>
      </x:c>
      <x:c r="M123" s="100" t="n">
        <x:v>-5</x:v>
      </x:c>
      <x:c r="N123" s="100" t="n">
        <x:v>0.9881931748172942</x:v>
      </x:c>
      <x:c r="O123" s="101" t="b">
        <x:v>1</x:v>
      </x:c>
      <x:c r="P123" t="str">
        <x:v>/Users/jvidale/Documents/Research/FaultScanR/output/20260722_181326_2487/CI_40353552</x:v>
      </x:c>
    </x:row>
    <x:row r="124">
      <x:c r="A124" t="str">
        <x:v>CI_40353552</x:v>
      </x:c>
      <x:c r="B124" s="99" t="str">
        <x:v>00167</x:v>
      </x:c>
      <x:c r="C124" t="str">
        <x:v>T</x:v>
      </x:c>
      <x:c r="D124" t="str">
        <x:v>R</x:v>
      </x:c>
      <x:c r="E124" t="str">
        <x:v>time shift</x:v>
      </x:c>
      <x:c r="F124" t="str">
        <x:v>S</x:v>
      </x:c>
      <x:c r="G124" s="100" t="n">
        <x:v>3</x:v>
      </x:c>
      <x:c r="H124" s="100" t="n">
        <x:v>10</x:v>
      </x:c>
      <x:c r="I124" s="100" t="n">
        <x:v>250</x:v>
      </x:c>
      <x:c r="J124" s="100" t="n">
        <x:v>-0.02</x:v>
      </x:c>
      <x:c r="K124" s="100" t="n">
        <x:v>-0.004715085205584835</x:v>
      </x:c>
      <x:c r="L124" s="100" t="n">
        <x:v>-0.01528491479441517</x:v>
      </x:c>
      <x:c r="M124" s="100" t="n">
        <x:v>-5</x:v>
      </x:c>
      <x:c r="N124" s="100" t="n">
        <x:v>0.9667364164284545</x:v>
      </x:c>
      <x:c r="O124" s="101" t="b">
        <x:v>1</x:v>
      </x:c>
      <x:c r="P124" t="str">
        <x:v>/Users/jvidale/Documents/Research/FaultScanR/output/20260722_181326_2487/CI_40353552</x:v>
      </x:c>
    </x:row>
    <x:row r="125">
      <x:c r="A125" t="str">
        <x:v>CI_40353552</x:v>
      </x:c>
      <x:c r="B125" s="99" t="str">
        <x:v>00168</x:v>
      </x:c>
      <x:c r="C125" t="str">
        <x:v>T</x:v>
      </x:c>
      <x:c r="D125" t="str">
        <x:v>R</x:v>
      </x:c>
      <x:c r="E125" t="str">
        <x:v>time shift</x:v>
      </x:c>
      <x:c r="F125" t="str">
        <x:v>S</x:v>
      </x:c>
      <x:c r="G125" s="100" t="n">
        <x:v>3</x:v>
      </x:c>
      <x:c r="H125" s="100" t="n">
        <x:v>10</x:v>
      </x:c>
      <x:c r="I125" s="100" t="n">
        <x:v>250</x:v>
      </x:c>
      <x:c r="J125" s="100" t="n">
        <x:v>-0.012</x:v>
      </x:c>
      <x:c r="K125" s="100" t="n">
        <x:v>0.002163518265560604</x:v>
      </x:c>
      <x:c r="L125" s="100" t="n">
        <x:v>-0.0141635182655606</x:v>
      </x:c>
      <x:c r="M125" s="100" t="n">
        <x:v>-3</x:v>
      </x:c>
      <x:c r="N125" s="100" t="n">
        <x:v>0.9675710281693791</x:v>
      </x:c>
      <x:c r="O125" s="101" t="b">
        <x:v>1</x:v>
      </x:c>
      <x:c r="P125" t="str">
        <x:v>/Users/jvidale/Documents/Research/FaultScanR/output/20260722_181326_2487/CI_40353552</x:v>
      </x:c>
    </x:row>
    <x:row r="126">
      <x:c r="A126" t="str">
        <x:v>CI_40353552</x:v>
      </x:c>
      <x:c r="B126" s="99" t="str">
        <x:v>00169</x:v>
      </x:c>
      <x:c r="C126" t="str">
        <x:v>T</x:v>
      </x:c>
      <x:c r="D126" t="str">
        <x:v>R</x:v>
      </x:c>
      <x:c r="E126" t="str">
        <x:v>time shift</x:v>
      </x:c>
      <x:c r="F126" t="str">
        <x:v>S</x:v>
      </x:c>
      <x:c r="G126" s="100" t="n">
        <x:v>3</x:v>
      </x:c>
      <x:c r="H126" s="100" t="n">
        <x:v>10</x:v>
      </x:c>
      <x:c r="I126" s="100" t="n">
        <x:v>250</x:v>
      </x:c>
      <x:c r="J126" s="100" t="n">
        <x:v>0</x:v>
      </x:c>
      <x:c r="K126" s="100" t="n">
        <x:v>0.01441835448314777</x:v>
      </x:c>
      <x:c r="L126" s="100" t="n">
        <x:v>-0.01441835448314777</x:v>
      </x:c>
      <x:c r="M126" s="100" t="n">
        <x:v>0</x:v>
      </x:c>
      <x:c r="N126" s="100" t="n">
        <x:v>0.9615382304346115</x:v>
      </x:c>
      <x:c r="O126" s="101" t="b">
        <x:v>1</x:v>
      </x:c>
      <x:c r="P126" t="str">
        <x:v>/Users/jvidale/Documents/Research/FaultScanR/output/20260722_181326_2487/CI_40353552</x:v>
      </x:c>
    </x:row>
    <x:row r="127">
      <x:c r="A127" t="str">
        <x:v>CI_40353552</x:v>
      </x:c>
      <x:c r="B127" s="99" t="str">
        <x:v>00170</x:v>
      </x:c>
      <x:c r="C127" t="str">
        <x:v>T</x:v>
      </x:c>
      <x:c r="D127" t="str">
        <x:v>R</x:v>
      </x:c>
      <x:c r="E127" t="str">
        <x:v>time shift</x:v>
      </x:c>
      <x:c r="F127" t="str">
        <x:v>S</x:v>
      </x:c>
      <x:c r="G127" s="100" t="n">
        <x:v>3</x:v>
      </x:c>
      <x:c r="H127" s="100" t="n">
        <x:v>10</x:v>
      </x:c>
      <x:c r="I127" s="100" t="n">
        <x:v>250</x:v>
      </x:c>
      <x:c r="J127" s="100" t="n">
        <x:v>0.012</x:v>
      </x:c>
      <x:c r="K127" s="100" t="n">
        <x:v>0.02402042183057418</x:v>
      </x:c>
      <x:c r="L127" s="100" t="n">
        <x:v>-0.01202042183057418</x:v>
      </x:c>
      <x:c r="M127" s="100" t="n">
        <x:v>3</x:v>
      </x:c>
      <x:c r="N127" s="100" t="n">
        <x:v>0.930340067845468</x:v>
      </x:c>
      <x:c r="O127" s="101" t="b">
        <x:v>1</x:v>
      </x:c>
      <x:c r="P127" t="str">
        <x:v>/Users/jvidale/Documents/Research/FaultScanR/output/20260722_181326_2487/CI_40353552</x:v>
      </x:c>
    </x:row>
    <x:row r="128">
      <x:c r="A128" t="str">
        <x:v>CI_40353552</x:v>
      </x:c>
      <x:c r="B128" s="99" t="str">
        <x:v>00172</x:v>
      </x:c>
      <x:c r="C128" t="str">
        <x:v>T</x:v>
      </x:c>
      <x:c r="D128" t="str">
        <x:v>R</x:v>
      </x:c>
      <x:c r="E128" t="str">
        <x:v>time shift</x:v>
      </x:c>
      <x:c r="F128" t="str">
        <x:v>S</x:v>
      </x:c>
      <x:c r="G128" s="100" t="n">
        <x:v>3</x:v>
      </x:c>
      <x:c r="H128" s="100" t="n">
        <x:v>10</x:v>
      </x:c>
      <x:c r="I128" s="100" t="n">
        <x:v>250</x:v>
      </x:c>
      <x:c r="J128" s="100" t="n">
        <x:v>0.008</x:v>
      </x:c>
      <x:c r="K128" s="100" t="n">
        <x:v>0.03890657160765087</x:v>
      </x:c>
      <x:c r="L128" s="100" t="n">
        <x:v>-0.03090657160765087</x:v>
      </x:c>
      <x:c r="M128" s="100" t="n">
        <x:v>2</x:v>
      </x:c>
      <x:c r="N128" s="100" t="n">
        <x:v>0.9832416551064478</x:v>
      </x:c>
      <x:c r="O128" s="101" t="b">
        <x:v>1</x:v>
      </x:c>
      <x:c r="P128" t="str">
        <x:v>/Users/jvidale/Documents/Research/FaultScanR/output/20260722_181326_2487/CI_40353552</x:v>
      </x:c>
    </x:row>
    <x:row r="129">
      <x:c r="A129" t="str">
        <x:v>CI_40353552</x:v>
      </x:c>
      <x:c r="B129" s="99" t="str">
        <x:v>00173</x:v>
      </x:c>
      <x:c r="C129" t="str">
        <x:v>T</x:v>
      </x:c>
      <x:c r="D129" t="str">
        <x:v>R</x:v>
      </x:c>
      <x:c r="E129" t="str">
        <x:v>time shift</x:v>
      </x:c>
      <x:c r="F129" t="str">
        <x:v>S</x:v>
      </x:c>
      <x:c r="G129" s="100" t="n">
        <x:v>3</x:v>
      </x:c>
      <x:c r="H129" s="100" t="n">
        <x:v>10</x:v>
      </x:c>
      <x:c r="I129" s="100" t="n">
        <x:v>250</x:v>
      </x:c>
      <x:c r="J129" s="100" t="n">
        <x:v>0.012</x:v>
      </x:c>
      <x:c r="K129" s="100" t="n">
        <x:v>0.0496667120402563</x:v>
      </x:c>
      <x:c r="L129" s="100" t="n">
        <x:v>-0.0376667120402563</x:v>
      </x:c>
      <x:c r="M129" s="100" t="n">
        <x:v>3</x:v>
      </x:c>
      <x:c r="N129" s="100" t="n">
        <x:v>0.9948466367058083</x:v>
      </x:c>
      <x:c r="O129" s="101" t="b">
        <x:v>1</x:v>
      </x:c>
      <x:c r="P129" t="str">
        <x:v>/Users/jvidale/Documents/Research/FaultScanR/output/20260722_181326_2487/CI_40353552</x:v>
      </x:c>
    </x:row>
    <x:row r="130">
      <x:c r="A130" t="str">
        <x:v>CI_40353552</x:v>
      </x:c>
      <x:c r="B130" s="99" t="str">
        <x:v>00174</x:v>
      </x:c>
      <x:c r="C130" t="str">
        <x:v>T</x:v>
      </x:c>
      <x:c r="D130" t="str">
        <x:v>R</x:v>
      </x:c>
      <x:c r="E130" t="str">
        <x:v>time shift</x:v>
      </x:c>
      <x:c r="F130" t="str">
        <x:v>S</x:v>
      </x:c>
      <x:c r="G130" s="100" t="n">
        <x:v>3</x:v>
      </x:c>
      <x:c r="H130" s="100" t="n">
        <x:v>10</x:v>
      </x:c>
      <x:c r="I130" s="100" t="n">
        <x:v>250</x:v>
      </x:c>
      <x:c r="J130" s="100" t="n">
        <x:v>-0.012</x:v>
      </x:c>
      <x:c r="K130" s="100" t="n">
        <x:v>-0.05645382869132476</x:v>
      </x:c>
      <x:c r="L130" s="100" t="n">
        <x:v>0.04445382869132476</x:v>
      </x:c>
      <x:c r="M130" s="100" t="n">
        <x:v>-3</x:v>
      </x:c>
      <x:c r="N130" s="100" t="n">
        <x:v>0.6914222697923318</x:v>
      </x:c>
      <x:c r="O130" s="101" t="b">
        <x:v>1</x:v>
      </x:c>
      <x:c r="P130" t="str">
        <x:v>/Users/jvidale/Documents/Research/FaultScanR/output/20260722_181326_2487/CI_40353552</x:v>
      </x:c>
    </x:row>
    <x:row r="131">
      <x:c r="A131" t="str">
        <x:v>CI_40353552</x:v>
      </x:c>
      <x:c r="B131" s="99" t="str">
        <x:v>00175</x:v>
      </x:c>
      <x:c r="C131" t="str">
        <x:v>T</x:v>
      </x:c>
      <x:c r="D131" t="str">
        <x:v>R</x:v>
      </x:c>
      <x:c r="E131" t="str">
        <x:v>time shift</x:v>
      </x:c>
      <x:c r="F131" t="str">
        <x:v>S</x:v>
      </x:c>
      <x:c r="G131" s="100" t="n">
        <x:v>3</x:v>
      </x:c>
      <x:c r="H131" s="100" t="n">
        <x:v>10</x:v>
      </x:c>
      <x:c r="I131" s="100" t="n">
        <x:v>250</x:v>
      </x:c>
      <x:c r="J131" s="100" t="n">
        <x:v>-0.056</x:v>
      </x:c>
      <x:c r="K131" s="100" t="n">
        <x:v>-0.04867207985183697</x:v>
      </x:c>
      <x:c r="L131" s="100" t="n">
        <x:v>-0.007327920148163032</x:v>
      </x:c>
      <x:c r="M131" s="100" t="n">
        <x:v>-14</x:v>
      </x:c>
      <x:c r="N131" s="100" t="n">
        <x:v>0.5132107003211788</x:v>
      </x:c>
      <x:c r="O131" s="101" t="b">
        <x:v>0</x:v>
      </x:c>
      <x:c r="P131" t="str">
        <x:v>/Users/jvidale/Documents/Research/FaultScanR/output/20260722_181326_2487/CI_40353552</x:v>
      </x:c>
    </x:row>
    <x:row r="132">
      <x:c r="A132" t="str">
        <x:v>CI_40353552</x:v>
      </x:c>
      <x:c r="B132" s="99" t="str">
        <x:v>00176</x:v>
      </x:c>
      <x:c r="C132" t="str">
        <x:v>T</x:v>
      </x:c>
      <x:c r="D132" t="str">
        <x:v>R</x:v>
      </x:c>
      <x:c r="E132" t="str">
        <x:v>time shift</x:v>
      </x:c>
      <x:c r="F132" t="str">
        <x:v>S</x:v>
      </x:c>
      <x:c r="G132" s="100" t="n">
        <x:v>3</x:v>
      </x:c>
      <x:c r="H132" s="100" t="n">
        <x:v>10</x:v>
      </x:c>
      <x:c r="I132" s="100" t="n">
        <x:v>250</x:v>
      </x:c>
      <x:c r="J132" s="100" t="n">
        <x:v>-0.044</x:v>
      </x:c>
      <x:c r="K132" s="100" t="n">
        <x:v>-0.03971251152305388</x:v>
      </x:c>
      <x:c r="L132" s="100" t="n">
        <x:v>-0.004287488476946114</x:v>
      </x:c>
      <x:c r="M132" s="100" t="n">
        <x:v>-11</x:v>
      </x:c>
      <x:c r="N132" s="100" t="n">
        <x:v>0.7248063123417238</x:v>
      </x:c>
      <x:c r="O132" s="101" t="b">
        <x:v>1</x:v>
      </x:c>
      <x:c r="P132" t="str">
        <x:v>/Users/jvidale/Documents/Research/FaultScanR/output/20260722_181326_2487/CI_40353552</x:v>
      </x:c>
    </x:row>
    <x:row r="133">
      <x:c r="A133" t="str">
        <x:v>CI_40353552</x:v>
      </x:c>
      <x:c r="B133" s="99" t="str">
        <x:v>00177</x:v>
      </x:c>
      <x:c r="C133" t="str">
        <x:v>T</x:v>
      </x:c>
      <x:c r="D133" t="str">
        <x:v>R</x:v>
      </x:c>
      <x:c r="E133" t="str">
        <x:v>time shift</x:v>
      </x:c>
      <x:c r="F133" t="str">
        <x:v>S</x:v>
      </x:c>
      <x:c r="G133" s="100" t="n">
        <x:v>3</x:v>
      </x:c>
      <x:c r="H133" s="100" t="n">
        <x:v>10</x:v>
      </x:c>
      <x:c r="I133" s="100" t="n">
        <x:v>250</x:v>
      </x:c>
      <x:c r="J133" s="100" t="n">
        <x:v>-0.036</x:v>
      </x:c>
      <x:c r="K133" s="100" t="n">
        <x:v>-0.03265719308067183</x:v>
      </x:c>
      <x:c r="L133" s="100" t="n">
        <x:v>-0.003342806919328166</x:v>
      </x:c>
      <x:c r="M133" s="100" t="n">
        <x:v>-9</x:v>
      </x:c>
      <x:c r="N133" s="100" t="n">
        <x:v>0.8897327998167894</x:v>
      </x:c>
      <x:c r="O133" s="101" t="b">
        <x:v>1</x:v>
      </x:c>
      <x:c r="P133" t="str">
        <x:v>/Users/jvidale/Documents/Research/FaultScanR/output/20260722_181326_2487/CI_40353552</x:v>
      </x:c>
    </x:row>
    <x:row r="134">
      <x:c r="A134" t="str">
        <x:v>CI_40353552</x:v>
      </x:c>
      <x:c r="B134" s="99" t="str">
        <x:v>00178</x:v>
      </x:c>
      <x:c r="C134" t="str">
        <x:v>T</x:v>
      </x:c>
      <x:c r="D134" t="str">
        <x:v>R</x:v>
      </x:c>
      <x:c r="E134" t="str">
        <x:v>time shift</x:v>
      </x:c>
      <x:c r="F134" t="str">
        <x:v>S</x:v>
      </x:c>
      <x:c r="G134" s="100" t="n">
        <x:v>3</x:v>
      </x:c>
      <x:c r="H134" s="100" t="n">
        <x:v>10</x:v>
      </x:c>
      <x:c r="I134" s="100" t="n">
        <x:v>250</x:v>
      </x:c>
      <x:c r="J134" s="100" t="n">
        <x:v>-0.04</x:v>
      </x:c>
      <x:c r="K134" s="100" t="n">
        <x:v>-0.02404667269706096</x:v>
      </x:c>
      <x:c r="L134" s="100" t="n">
        <x:v>-0.01595332730293905</x:v>
      </x:c>
      <x:c r="M134" s="100" t="n">
        <x:v>-10</x:v>
      </x:c>
      <x:c r="N134" s="100" t="n">
        <x:v>0.8831467505820535</x:v>
      </x:c>
      <x:c r="O134" s="101" t="b">
        <x:v>1</x:v>
      </x:c>
      <x:c r="P134" t="str">
        <x:v>/Users/jvidale/Documents/Research/FaultScanR/output/20260722_181326_2487/CI_40353552</x:v>
      </x:c>
    </x:row>
    <x:row r="135">
      <x:c r="A135" t="str">
        <x:v>CI_40353552</x:v>
      </x:c>
      <x:c r="B135" s="99" t="str">
        <x:v>00180</x:v>
      </x:c>
      <x:c r="C135" t="str">
        <x:v>T</x:v>
      </x:c>
      <x:c r="D135" t="str">
        <x:v>R</x:v>
      </x:c>
      <x:c r="E135" t="str">
        <x:v>time shift</x:v>
      </x:c>
      <x:c r="F135" t="str">
        <x:v>S</x:v>
      </x:c>
      <x:c r="G135" s="100" t="n">
        <x:v>3</x:v>
      </x:c>
      <x:c r="H135" s="100" t="n">
        <x:v>10</x:v>
      </x:c>
      <x:c r="I135" s="100" t="n">
        <x:v>250</x:v>
      </x:c>
      <x:c r="J135" s="100" t="n">
        <x:v>-0.012</x:v>
      </x:c>
      <x:c r="K135" s="100" t="n">
        <x:v>-0.007316887909373015</x:v>
      </x:c>
      <x:c r="L135" s="100" t="n">
        <x:v>-0.004683112090626985</x:v>
      </x:c>
      <x:c r="M135" s="100" t="n">
        <x:v>-3</x:v>
      </x:c>
      <x:c r="N135" s="100" t="n">
        <x:v>0.9749227819260976</x:v>
      </x:c>
      <x:c r="O135" s="101" t="b">
        <x:v>1</x:v>
      </x:c>
      <x:c r="P135" t="str">
        <x:v>/Users/jvidale/Documents/Research/FaultScanR/output/20260722_181326_2487/CI_40353552</x:v>
      </x:c>
    </x:row>
    <x:row r="136">
      <x:c r="A136" t="str">
        <x:v>CI_40353552</x:v>
      </x:c>
      <x:c r="B136" s="99" t="str">
        <x:v>00181</x:v>
      </x:c>
      <x:c r="C136" t="str">
        <x:v>T</x:v>
      </x:c>
      <x:c r="D136" t="str">
        <x:v>R</x:v>
      </x:c>
      <x:c r="E136" t="str">
        <x:v>time shift</x:v>
      </x:c>
      <x:c r="F136" t="str">
        <x:v>S</x:v>
      </x:c>
      <x:c r="G136" s="100" t="n">
        <x:v>3</x:v>
      </x:c>
      <x:c r="H136" s="100" t="n">
        <x:v>10</x:v>
      </x:c>
      <x:c r="I136" s="100" t="n">
        <x:v>250</x:v>
      </x:c>
      <x:c r="J136" s="100" t="n">
        <x:v>0</x:v>
      </x:c>
      <x:c r="K136" s="100" t="n">
        <x:v>0</x:v>
      </x:c>
      <x:c r="L136" s="100" t="n">
        <x:v>0</x:v>
      </x:c>
      <x:c r="M136" s="100" t="n">
        <x:v>0</x:v>
      </x:c>
      <x:c r="N136" s="100" t="n">
        <x:v>0.9951860202336621</x:v>
      </x:c>
      <x:c r="O136" s="101" t="b">
        <x:v>1</x:v>
      </x:c>
      <x:c r="P136" t="str">
        <x:v>/Users/jvidale/Documents/Research/FaultScanR/output/20260722_181326_2487/CI_40353552</x:v>
      </x:c>
    </x:row>
    <x:row r="137">
      <x:c r="A137" t="str">
        <x:v>CI_40353552</x:v>
      </x:c>
      <x:c r="B137" s="99" t="str">
        <x:v>00182</x:v>
      </x:c>
      <x:c r="C137" t="str">
        <x:v>T</x:v>
      </x:c>
      <x:c r="D137" t="str">
        <x:v>R</x:v>
      </x:c>
      <x:c r="E137" t="str">
        <x:v>time shift</x:v>
      </x:c>
      <x:c r="F137" t="str">
        <x:v>S</x:v>
      </x:c>
      <x:c r="G137" s="100" t="n">
        <x:v>3</x:v>
      </x:c>
      <x:c r="H137" s="100" t="n">
        <x:v>10</x:v>
      </x:c>
      <x:c r="I137" s="100" t="n">
        <x:v>250</x:v>
      </x:c>
      <x:c r="J137" s="100" t="n">
        <x:v>0.012</x:v>
      </x:c>
      <x:c r="K137" s="100" t="n">
        <x:v>0.01010476226886503</x:v>
      </x:c>
      <x:c r="L137" s="100" t="n">
        <x:v>0.00189523773113497</x:v>
      </x:c>
      <x:c r="M137" s="100" t="n">
        <x:v>3</x:v>
      </x:c>
      <x:c r="N137" s="100" t="n">
        <x:v>0.9516061564996494</x:v>
      </x:c>
      <x:c r="O137" s="101" t="b">
        <x:v>1</x:v>
      </x:c>
      <x:c r="P137" t="str">
        <x:v>/Users/jvidale/Documents/Research/FaultScanR/output/20260722_181326_2487/CI_40353552</x:v>
      </x:c>
    </x:row>
    <x:row r="138">
      <x:c r="A138" t="str">
        <x:v>CI_40353552</x:v>
      </x:c>
      <x:c r="B138" s="99" t="str">
        <x:v>00183</x:v>
      </x:c>
      <x:c r="C138" t="str">
        <x:v>T</x:v>
      </x:c>
      <x:c r="D138" t="str">
        <x:v>R</x:v>
      </x:c>
      <x:c r="E138" t="str">
        <x:v>time shift</x:v>
      </x:c>
      <x:c r="F138" t="str">
        <x:v>S</x:v>
      </x:c>
      <x:c r="G138" s="100" t="n">
        <x:v>3</x:v>
      </x:c>
      <x:c r="H138" s="100" t="n">
        <x:v>10</x:v>
      </x:c>
      <x:c r="I138" s="100" t="n">
        <x:v>250</x:v>
      </x:c>
      <x:c r="J138" s="100" t="n">
        <x:v>0.008</x:v>
      </x:c>
      <x:c r="K138" s="100" t="n">
        <x:v>0.02202401286139999</x:v>
      </x:c>
      <x:c r="L138" s="100" t="n">
        <x:v>-0.01402401286139999</x:v>
      </x:c>
      <x:c r="M138" s="100" t="n">
        <x:v>2</x:v>
      </x:c>
      <x:c r="N138" s="100" t="n">
        <x:v>0.9873763177042713</x:v>
      </x:c>
      <x:c r="O138" s="101" t="b">
        <x:v>1</x:v>
      </x:c>
      <x:c r="P138" t="str">
        <x:v>/Users/jvidale/Documents/Research/FaultScanR/output/20260722_181326_2487/CI_40353552</x:v>
      </x:c>
    </x:row>
    <x:row r="139">
      <x:c r="A139" t="str">
        <x:v>CI_40353552</x:v>
      </x:c>
      <x:c r="B139" s="99" t="str">
        <x:v>00184</x:v>
      </x:c>
      <x:c r="C139" t="str">
        <x:v>T</x:v>
      </x:c>
      <x:c r="D139" t="str">
        <x:v>R</x:v>
      </x:c>
      <x:c r="E139" t="str">
        <x:v>time shift</x:v>
      </x:c>
      <x:c r="F139" t="str">
        <x:v>S</x:v>
      </x:c>
      <x:c r="G139" s="100" t="n">
        <x:v>3</x:v>
      </x:c>
      <x:c r="H139" s="100" t="n">
        <x:v>10</x:v>
      </x:c>
      <x:c r="I139" s="100" t="n">
        <x:v>250</x:v>
      </x:c>
      <x:c r="J139" s="100" t="n">
        <x:v>0.028</x:v>
      </x:c>
      <x:c r="K139" s="100" t="n">
        <x:v>0.03037563932223186</x:v>
      </x:c>
      <x:c r="L139" s="100" t="n">
        <x:v>-0.002375639322231862</x:v>
      </x:c>
      <x:c r="M139" s="100" t="n">
        <x:v>7</x:v>
      </x:c>
      <x:c r="N139" s="100" t="n">
        <x:v>0.9594870621094089</x:v>
      </x:c>
      <x:c r="O139" s="101" t="b">
        <x:v>1</x:v>
      </x:c>
      <x:c r="P139" t="str">
        <x:v>/Users/jvidale/Documents/Research/FaultScanR/output/20260722_181326_2487/CI_40353552</x:v>
      </x:c>
    </x:row>
    <x:row r="140">
      <x:c r="A140" t="str">
        <x:v>CI_40353552</x:v>
      </x:c>
      <x:c r="B140" s="99" t="str">
        <x:v>00185</x:v>
      </x:c>
      <x:c r="C140" t="str">
        <x:v>T</x:v>
      </x:c>
      <x:c r="D140" t="str">
        <x:v>R</x:v>
      </x:c>
      <x:c r="E140" t="str">
        <x:v>time shift</x:v>
      </x:c>
      <x:c r="F140" t="str">
        <x:v>S</x:v>
      </x:c>
      <x:c r="G140" s="100" t="n">
        <x:v>3</x:v>
      </x:c>
      <x:c r="H140" s="100" t="n">
        <x:v>10</x:v>
      </x:c>
      <x:c r="I140" s="100" t="n">
        <x:v>250</x:v>
      </x:c>
      <x:c r="J140" s="100" t="n">
        <x:v>0.032</x:v>
      </x:c>
      <x:c r="K140" s="100" t="n">
        <x:v>0.03725698332228333</x:v>
      </x:c>
      <x:c r="L140" s="100" t="n">
        <x:v>-0.005256983322283332</x:v>
      </x:c>
      <x:c r="M140" s="100" t="n">
        <x:v>8</x:v>
      </x:c>
      <x:c r="N140" s="100" t="n">
        <x:v>0.9820615127296664</x:v>
      </x:c>
      <x:c r="O140" s="101" t="b">
        <x:v>1</x:v>
      </x:c>
      <x:c r="P140" t="str">
        <x:v>/Users/jvidale/Documents/Research/FaultScanR/output/20260722_181326_2487/CI_40353552</x:v>
      </x:c>
    </x:row>
    <x:row r="141">
      <x:c r="A141" t="str">
        <x:v>CI_40353552</x:v>
      </x:c>
      <x:c r="B141" s="99" t="str">
        <x:v>00186</x:v>
      </x:c>
      <x:c r="C141" t="str">
        <x:v>T</x:v>
      </x:c>
      <x:c r="D141" t="str">
        <x:v>R</x:v>
      </x:c>
      <x:c r="E141" t="str">
        <x:v>time shift</x:v>
      </x:c>
      <x:c r="F141" t="str">
        <x:v>S</x:v>
      </x:c>
      <x:c r="G141" s="100" t="n">
        <x:v>3</x:v>
      </x:c>
      <x:c r="H141" s="100" t="n">
        <x:v>10</x:v>
      </x:c>
      <x:c r="I141" s="100" t="n">
        <x:v>250</x:v>
      </x:c>
      <x:c r="J141" s="100" t="n">
        <x:v>0.04</x:v>
      </x:c>
      <x:c r="K141" s="100" t="n">
        <x:v>0.04453116859377815</x:v>
      </x:c>
      <x:c r="L141" s="100" t="n">
        <x:v>-0.004531168593778147</x:v>
      </x:c>
      <x:c r="M141" s="100" t="n">
        <x:v>10</x:v>
      </x:c>
      <x:c r="N141" s="100" t="n">
        <x:v>0.9487394806499191</x:v>
      </x:c>
      <x:c r="O141" s="101" t="b">
        <x:v>1</x:v>
      </x:c>
      <x:c r="P141" t="str">
        <x:v>/Users/jvidale/Documents/Research/FaultScanR/output/20260722_181326_2487/CI_40353552</x:v>
      </x:c>
    </x:row>
    <x:row r="142">
      <x:c r="A142" t="str">
        <x:v>CI_40353552</x:v>
      </x:c>
      <x:c r="B142" s="99" t="str">
        <x:v>00187</x:v>
      </x:c>
      <x:c r="C142" t="str">
        <x:v>T</x:v>
      </x:c>
      <x:c r="D142" t="str">
        <x:v>R</x:v>
      </x:c>
      <x:c r="E142" t="str">
        <x:v>time shift</x:v>
      </x:c>
      <x:c r="F142" t="str">
        <x:v>S</x:v>
      </x:c>
      <x:c r="G142" s="100" t="n">
        <x:v>3</x:v>
      </x:c>
      <x:c r="H142" s="100" t="n">
        <x:v>10</x:v>
      </x:c>
      <x:c r="I142" s="100" t="n">
        <x:v>250</x:v>
      </x:c>
      <x:c r="J142" s="100" t="n">
        <x:v>0.032</x:v>
      </x:c>
      <x:c r="K142" s="100" t="n">
        <x:v>0.05409450807524596</x:v>
      </x:c>
      <x:c r="L142" s="100" t="n">
        <x:v>-0.02209450807524596</x:v>
      </x:c>
      <x:c r="M142" s="100" t="n">
        <x:v>8</x:v>
      </x:c>
      <x:c r="N142" s="100" t="n">
        <x:v>0.9906723186725432</x:v>
      </x:c>
      <x:c r="O142" s="101" t="b">
        <x:v>1</x:v>
      </x:c>
      <x:c r="P142" t="str">
        <x:v>/Users/jvidale/Documents/Research/FaultScanR/output/20260722_181326_2487/CI_40353552</x:v>
      </x:c>
    </x:row>
    <x:row r="143">
      <x:c r="A143" t="str">
        <x:v>CI_40353552</x:v>
      </x:c>
      <x:c r="B143" s="99" t="str">
        <x:v>00188</x:v>
      </x:c>
      <x:c r="C143" t="str">
        <x:v>T</x:v>
      </x:c>
      <x:c r="D143" t="str">
        <x:v>R</x:v>
      </x:c>
      <x:c r="E143" t="str">
        <x:v>time shift</x:v>
      </x:c>
      <x:c r="F143" t="str">
        <x:v>S</x:v>
      </x:c>
      <x:c r="G143" s="100" t="n">
        <x:v>3</x:v>
      </x:c>
      <x:c r="H143" s="100" t="n">
        <x:v>10</x:v>
      </x:c>
      <x:c r="I143" s="100" t="n">
        <x:v>250</x:v>
      </x:c>
      <x:c r="J143" s="100" t="n">
        <x:v>0.048</x:v>
      </x:c>
      <x:c r="K143" s="100" t="n">
        <x:v>0.06494896727890076</x:v>
      </x:c>
      <x:c r="L143" s="100" t="n">
        <x:v>-0.01694896727890076</x:v>
      </x:c>
      <x:c r="M143" s="100" t="n">
        <x:v>12</x:v>
      </x:c>
      <x:c r="N143" s="100" t="n">
        <x:v>0.9805001166687008</x:v>
      </x:c>
      <x:c r="O143" s="101" t="b">
        <x:v>1</x:v>
      </x:c>
      <x:c r="P143" t="str">
        <x:v>/Users/jvidale/Documents/Research/FaultScanR/output/20260722_181326_2487/CI_40353552</x:v>
      </x:c>
    </x:row>
    <x:row r="144">
      <x:c r="A144" t="str">
        <x:v>CI_40353552</x:v>
      </x:c>
      <x:c r="B144" s="99" t="str">
        <x:v>00189</x:v>
      </x:c>
      <x:c r="C144" t="str">
        <x:v>T</x:v>
      </x:c>
      <x:c r="D144" t="str">
        <x:v>R</x:v>
      </x:c>
      <x:c r="E144" t="str">
        <x:v>time shift</x:v>
      </x:c>
      <x:c r="F144" t="str">
        <x:v>S</x:v>
      </x:c>
      <x:c r="G144" s="100" t="n">
        <x:v>3</x:v>
      </x:c>
      <x:c r="H144" s="100" t="n">
        <x:v>10</x:v>
      </x:c>
      <x:c r="I144" s="100" t="n">
        <x:v>250</x:v>
      </x:c>
      <x:c r="J144" s="100" t="n">
        <x:v>0.044</x:v>
      </x:c>
      <x:c r="K144" s="100" t="n">
        <x:v>0.07245136061249191</x:v>
      </x:c>
      <x:c r="L144" s="100" t="n">
        <x:v>-0.02845136061249191</x:v>
      </x:c>
      <x:c r="M144" s="100" t="n">
        <x:v>11</x:v>
      </x:c>
      <x:c r="N144" s="100" t="n">
        <x:v>0.9976693889827356</x:v>
      </x:c>
      <x:c r="O144" s="101" t="b">
        <x:v>1</x:v>
      </x:c>
      <x:c r="P144" t="str">
        <x:v>/Users/jvidale/Documents/Research/FaultScanR/output/20260722_181326_2487/CI_40353552</x:v>
      </x:c>
    </x:row>
    <x:row r="145">
      <x:c r="A145" t="str">
        <x:v>CI_40353552</x:v>
      </x:c>
      <x:c r="B145" s="99" t="str">
        <x:v>00190</x:v>
      </x:c>
      <x:c r="C145" t="str">
        <x:v>T</x:v>
      </x:c>
      <x:c r="D145" t="str">
        <x:v>R</x:v>
      </x:c>
      <x:c r="E145" t="str">
        <x:v>time shift</x:v>
      </x:c>
      <x:c r="F145" t="str">
        <x:v>S</x:v>
      </x:c>
      <x:c r="G145" s="100" t="n">
        <x:v>3</x:v>
      </x:c>
      <x:c r="H145" s="100" t="n">
        <x:v>10</x:v>
      </x:c>
      <x:c r="I145" s="100" t="n">
        <x:v>250</x:v>
      </x:c>
      <x:c r="J145" s="100" t="n">
        <x:v>0.012</x:v>
      </x:c>
      <x:c r="K145" s="100" t="n">
        <x:v>-0.03417174192897043</x:v>
      </x:c>
      <x:c r="L145" s="100" t="n">
        <x:v>0.04617174192897043</x:v>
      </x:c>
      <x:c r="M145" s="100" t="n">
        <x:v>3</x:v>
      </x:c>
      <x:c r="N145" s="100" t="n">
        <x:v>0.4627043827081863</x:v>
      </x:c>
      <x:c r="O145" s="101" t="b">
        <x:v>0</x:v>
      </x:c>
      <x:c r="P145" t="str">
        <x:v>/Users/jvidale/Documents/Research/FaultScanR/output/20260722_181326_2487/CI_40353552</x:v>
      </x:c>
    </x:row>
    <x:row r="146">
      <x:c r="A146" t="str">
        <x:v>CI_40353552</x:v>
      </x:c>
      <x:c r="B146" s="99" t="str">
        <x:v>00191</x:v>
      </x:c>
      <x:c r="C146" t="str">
        <x:v>T</x:v>
      </x:c>
      <x:c r="D146" t="str">
        <x:v>R</x:v>
      </x:c>
      <x:c r="E146" t="str">
        <x:v>time shift</x:v>
      </x:c>
      <x:c r="F146" t="str">
        <x:v>S</x:v>
      </x:c>
      <x:c r="G146" s="100" t="n">
        <x:v>3</x:v>
      </x:c>
      <x:c r="H146" s="100" t="n">
        <x:v>10</x:v>
      </x:c>
      <x:c r="I146" s="100" t="n">
        <x:v>250</x:v>
      </x:c>
      <x:c r="J146" s="100" t="n">
        <x:v>-0.032</x:v>
      </x:c>
      <x:c r="K146" s="100" t="n">
        <x:v>-0.02457870087923997</x:v>
      </x:c>
      <x:c r="L146" s="100" t="n">
        <x:v>-0.007421299120760033</x:v>
      </x:c>
      <x:c r="M146" s="100" t="n">
        <x:v>-8</x:v>
      </x:c>
      <x:c r="N146" s="100" t="n">
        <x:v>0.649176651280295</x:v>
      </x:c>
      <x:c r="O146" s="101" t="b">
        <x:v>1</x:v>
      </x:c>
      <x:c r="P146" t="str">
        <x:v>/Users/jvidale/Documents/Research/FaultScanR/output/20260722_181326_2487/CI_40353552</x:v>
      </x:c>
    </x:row>
    <x:row r="147">
      <x:c r="A147" t="str">
        <x:v>CI_40353552</x:v>
      </x:c>
      <x:c r="B147" s="99" t="str">
        <x:v>00192</x:v>
      </x:c>
      <x:c r="C147" t="str">
        <x:v>T</x:v>
      </x:c>
      <x:c r="D147" t="str">
        <x:v>R</x:v>
      </x:c>
      <x:c r="E147" t="str">
        <x:v>time shift</x:v>
      </x:c>
      <x:c r="F147" t="str">
        <x:v>S</x:v>
      </x:c>
      <x:c r="G147" s="100" t="n">
        <x:v>3</x:v>
      </x:c>
      <x:c r="H147" s="100" t="n">
        <x:v>10</x:v>
      </x:c>
      <x:c r="I147" s="100" t="n">
        <x:v>250</x:v>
      </x:c>
      <x:c r="J147" s="100" t="n">
        <x:v>-0.016</x:v>
      </x:c>
      <x:c r="K147" s="100" t="n">
        <x:v>-0.01577063844334603</x:v>
      </x:c>
      <x:c r="L147" s="100" t="n">
        <x:v>-0.0002293615566539703</x:v>
      </x:c>
      <x:c r="M147" s="100" t="n">
        <x:v>-4</x:v>
      </x:c>
      <x:c r="N147" s="100" t="n">
        <x:v>0.8743390925321605</x:v>
      </x:c>
      <x:c r="O147" s="101" t="b">
        <x:v>1</x:v>
      </x:c>
      <x:c r="P147" t="str">
        <x:v>/Users/jvidale/Documents/Research/FaultScanR/output/20260722_181326_2487/CI_40353552</x:v>
      </x:c>
    </x:row>
    <x:row r="148">
      <x:c r="A148" t="str">
        <x:v>CI_40353552</x:v>
      </x:c>
      <x:c r="B148" s="99" t="str">
        <x:v>00194</x:v>
      </x:c>
      <x:c r="C148" t="str">
        <x:v>T</x:v>
      </x:c>
      <x:c r="D148" t="str">
        <x:v>R</x:v>
      </x:c>
      <x:c r="E148" t="str">
        <x:v>time shift</x:v>
      </x:c>
      <x:c r="F148" t="str">
        <x:v>S</x:v>
      </x:c>
      <x:c r="G148" s="100" t="n">
        <x:v>3</x:v>
      </x:c>
      <x:c r="H148" s="100" t="n">
        <x:v>10</x:v>
      </x:c>
      <x:c r="I148" s="100" t="n">
        <x:v>250</x:v>
      </x:c>
      <x:c r="J148" s="100" t="n">
        <x:v>-0.012</x:v>
      </x:c>
      <x:c r="K148" s="100" t="n">
        <x:v>-0.001326493964906028</x:v>
      </x:c>
      <x:c r="L148" s="100" t="n">
        <x:v>-0.01067350603509397</x:v>
      </x:c>
      <x:c r="M148" s="100" t="n">
        <x:v>-3</x:v>
      </x:c>
      <x:c r="N148" s="100" t="n">
        <x:v>0.9337649714214499</x:v>
      </x:c>
      <x:c r="O148" s="101" t="b">
        <x:v>1</x:v>
      </x:c>
      <x:c r="P148" t="str">
        <x:v>/Users/jvidale/Documents/Research/FaultScanR/output/20260722_181326_2487/CI_40353552</x:v>
      </x:c>
    </x:row>
    <x:row r="149">
      <x:c r="A149" t="str">
        <x:v>CI_40353552</x:v>
      </x:c>
      <x:c r="B149" s="99" t="str">
        <x:v>00195</x:v>
      </x:c>
      <x:c r="C149" t="str">
        <x:v>T</x:v>
      </x:c>
      <x:c r="D149" t="str">
        <x:v>R</x:v>
      </x:c>
      <x:c r="E149" t="str">
        <x:v>time shift</x:v>
      </x:c>
      <x:c r="F149" t="str">
        <x:v>S</x:v>
      </x:c>
      <x:c r="G149" s="100" t="n">
        <x:v>3</x:v>
      </x:c>
      <x:c r="H149" s="100" t="n">
        <x:v>10</x:v>
      </x:c>
      <x:c r="I149" s="100" t="n">
        <x:v>250</x:v>
      </x:c>
      <x:c r="J149" s="100" t="n">
        <x:v>-0.012</x:v>
      </x:c>
      <x:c r="K149" s="100" t="n">
        <x:v>0.00366799212416602</x:v>
      </x:c>
      <x:c r="L149" s="100" t="n">
        <x:v>-0.01566799212416602</x:v>
      </x:c>
      <x:c r="M149" s="100" t="n">
        <x:v>-3</x:v>
      </x:c>
      <x:c r="N149" s="100" t="n">
        <x:v>0.9796085227211314</x:v>
      </x:c>
      <x:c r="O149" s="101" t="b">
        <x:v>1</x:v>
      </x:c>
      <x:c r="P149" t="str">
        <x:v>/Users/jvidale/Documents/Research/FaultScanR/output/20260722_181326_2487/CI_40353552</x:v>
      </x:c>
    </x:row>
    <x:row r="150">
      <x:c r="A150" t="str">
        <x:v>CI_40353552</x:v>
      </x:c>
      <x:c r="B150" s="99" t="str">
        <x:v>00196</x:v>
      </x:c>
      <x:c r="C150" t="str">
        <x:v>T</x:v>
      </x:c>
      <x:c r="D150" t="str">
        <x:v>R</x:v>
      </x:c>
      <x:c r="E150" t="str">
        <x:v>time shift</x:v>
      </x:c>
      <x:c r="F150" t="str">
        <x:v>S</x:v>
      </x:c>
      <x:c r="G150" s="100" t="n">
        <x:v>3</x:v>
      </x:c>
      <x:c r="H150" s="100" t="n">
        <x:v>10</x:v>
      </x:c>
      <x:c r="I150" s="100" t="n">
        <x:v>250</x:v>
      </x:c>
      <x:c r="J150" s="100" t="n">
        <x:v>0</x:v>
      </x:c>
      <x:c r="K150" s="100" t="n">
        <x:v>0.01396858533681034</x:v>
      </x:c>
      <x:c r="L150" s="100" t="n">
        <x:v>-0.01396858533681034</x:v>
      </x:c>
      <x:c r="M150" s="100" t="n">
        <x:v>0</x:v>
      </x:c>
      <x:c r="N150" s="100" t="n">
        <x:v>0.9523811427415975</x:v>
      </x:c>
      <x:c r="O150" s="101" t="b">
        <x:v>1</x:v>
      </x:c>
      <x:c r="P150" t="str">
        <x:v>/Users/jvidale/Documents/Research/FaultScanR/output/20260722_181326_2487/CI_40353552</x:v>
      </x:c>
    </x:row>
    <x:row r="151">
      <x:c r="A151" t="str">
        <x:v>CI_40353552</x:v>
      </x:c>
      <x:c r="B151" s="99" t="str">
        <x:v>00197</x:v>
      </x:c>
      <x:c r="C151" t="str">
        <x:v>T</x:v>
      </x:c>
      <x:c r="D151" t="str">
        <x:v>R</x:v>
      </x:c>
      <x:c r="E151" t="str">
        <x:v>time shift</x:v>
      </x:c>
      <x:c r="F151" t="str">
        <x:v>S</x:v>
      </x:c>
      <x:c r="G151" s="100" t="n">
        <x:v>3</x:v>
      </x:c>
      <x:c r="H151" s="100" t="n">
        <x:v>10</x:v>
      </x:c>
      <x:c r="I151" s="100" t="n">
        <x:v>250</x:v>
      </x:c>
      <x:c r="J151" s="100" t="n">
        <x:v>0.036</x:v>
      </x:c>
      <x:c r="K151" s="100" t="n">
        <x:v>0.02276564658452518</x:v>
      </x:c>
      <x:c r="L151" s="100" t="n">
        <x:v>0.01323435341547482</x:v>
      </x:c>
      <x:c r="M151" s="100" t="n">
        <x:v>9</x:v>
      </x:c>
      <x:c r="N151" s="100" t="n">
        <x:v>0.6691981077263017</x:v>
      </x:c>
      <x:c r="O151" s="101" t="b">
        <x:v>1</x:v>
      </x:c>
      <x:c r="P151" t="str">
        <x:v>/Users/jvidale/Documents/Research/FaultScanR/output/20260722_181326_2487/CI_40353552</x:v>
      </x:c>
    </x:row>
    <x:row r="152">
      <x:c r="A152" t="str">
        <x:v>CI_40353552</x:v>
      </x:c>
      <x:c r="B152" s="99" t="str">
        <x:v>00198</x:v>
      </x:c>
      <x:c r="C152" t="str">
        <x:v>T</x:v>
      </x:c>
      <x:c r="D152" t="str">
        <x:v>R</x:v>
      </x:c>
      <x:c r="E152" t="str">
        <x:v>time shift</x:v>
      </x:c>
      <x:c r="F152" t="str">
        <x:v>S</x:v>
      </x:c>
      <x:c r="G152" s="100" t="n">
        <x:v>3</x:v>
      </x:c>
      <x:c r="H152" s="100" t="n">
        <x:v>10</x:v>
      </x:c>
      <x:c r="I152" s="100" t="n">
        <x:v>250</x:v>
      </x:c>
      <x:c r="J152" s="100" t="n">
        <x:v>0.016</x:v>
      </x:c>
      <x:c r="K152" s="100" t="n">
        <x:v>0.03158563083449817</x:v>
      </x:c>
      <x:c r="L152" s="100" t="n">
        <x:v>-0.01558563083449817</x:v>
      </x:c>
      <x:c r="M152" s="100" t="n">
        <x:v>4</x:v>
      </x:c>
      <x:c r="N152" s="100" t="n">
        <x:v>0.9790434706064387</x:v>
      </x:c>
      <x:c r="O152" s="101" t="b">
        <x:v>1</x:v>
      </x:c>
      <x:c r="P152" t="str">
        <x:v>/Users/jvidale/Documents/Research/FaultScanR/output/20260722_181326_2487/CI_40353552</x:v>
      </x:c>
    </x:row>
    <x:row r="153">
      <x:c r="A153" t="str">
        <x:v>CI_40353552</x:v>
      </x:c>
      <x:c r="B153" s="99" t="str">
        <x:v>00199</x:v>
      </x:c>
      <x:c r="C153" t="str">
        <x:v>T</x:v>
      </x:c>
      <x:c r="D153" t="str">
        <x:v>R</x:v>
      </x:c>
      <x:c r="E153" t="str">
        <x:v>time shift</x:v>
      </x:c>
      <x:c r="F153" t="str">
        <x:v>S</x:v>
      </x:c>
      <x:c r="G153" s="100" t="n">
        <x:v>3</x:v>
      </x:c>
      <x:c r="H153" s="100" t="n">
        <x:v>10</x:v>
      </x:c>
      <x:c r="I153" s="100" t="n">
        <x:v>250</x:v>
      </x:c>
      <x:c r="J153" s="100" t="n">
        <x:v>0.016</x:v>
      </x:c>
      <x:c r="K153" s="100" t="n">
        <x:v>0.04019154184312157</x:v>
      </x:c>
      <x:c r="L153" s="100" t="n">
        <x:v>-0.02419154184312157</x:v>
      </x:c>
      <x:c r="M153" s="100" t="n">
        <x:v>4</x:v>
      </x:c>
      <x:c r="N153" s="100" t="n">
        <x:v>0.9386799177636164</x:v>
      </x:c>
      <x:c r="O153" s="101" t="b">
        <x:v>1</x:v>
      </x:c>
      <x:c r="P153" t="str">
        <x:v>/Users/jvidale/Documents/Research/FaultScanR/output/20260722_181326_2487/CI_40353552</x:v>
      </x:c>
    </x:row>
    <x:row r="154">
      <x:c r="A154" t="str">
        <x:v>CI_40353552</x:v>
      </x:c>
      <x:c r="B154" s="99" t="str">
        <x:v>00200</x:v>
      </x:c>
      <x:c r="C154" t="str">
        <x:v>T</x:v>
      </x:c>
      <x:c r="D154" t="str">
        <x:v>R</x:v>
      </x:c>
      <x:c r="E154" t="str">
        <x:v>time shift</x:v>
      </x:c>
      <x:c r="F154" t="str">
        <x:v>S</x:v>
      </x:c>
      <x:c r="G154" s="100" t="n">
        <x:v>3</x:v>
      </x:c>
      <x:c r="H154" s="100" t="n">
        <x:v>10</x:v>
      </x:c>
      <x:c r="I154" s="100" t="n">
        <x:v>250</x:v>
      </x:c>
      <x:c r="J154" s="100" t="n">
        <x:v>0.036</x:v>
      </x:c>
      <x:c r="K154" s="100" t="n">
        <x:v>0.04881202337196644</x:v>
      </x:c>
      <x:c r="L154" s="100" t="n">
        <x:v>-0.01281202337196644</x:v>
      </x:c>
      <x:c r="M154" s="100" t="n">
        <x:v>9</x:v>
      </x:c>
      <x:c r="N154" s="100" t="n">
        <x:v>0.9919362784595925</x:v>
      </x:c>
      <x:c r="O154" s="101" t="b">
        <x:v>1</x:v>
      </x:c>
      <x:c r="P154" t="str">
        <x:v>/Users/jvidale/Documents/Research/FaultScanR/output/20260722_181326_2487/CI_40353552</x:v>
      </x:c>
    </x:row>
    <x:row r="155">
      <x:c r="A155" t="str">
        <x:v>CI_40353552</x:v>
      </x:c>
      <x:c r="B155" s="99" t="str">
        <x:v>00201</x:v>
      </x:c>
      <x:c r="C155" t="str">
        <x:v>T</x:v>
      </x:c>
      <x:c r="D155" t="str">
        <x:v>R</x:v>
      </x:c>
      <x:c r="E155" t="str">
        <x:v>time shift</x:v>
      </x:c>
      <x:c r="F155" t="str">
        <x:v>S</x:v>
      </x:c>
      <x:c r="G155" s="100" t="n">
        <x:v>3</x:v>
      </x:c>
      <x:c r="H155" s="100" t="n">
        <x:v>10</x:v>
      </x:c>
      <x:c r="I155" s="100" t="n">
        <x:v>250</x:v>
      </x:c>
      <x:c r="J155" s="100" t="n">
        <x:v>0.052</x:v>
      </x:c>
      <x:c r="K155" s="100" t="n">
        <x:v>0.05768546962109422</x:v>
      </x:c>
      <x:c r="L155" s="100" t="n">
        <x:v>-0.005685469621094223</x:v>
      </x:c>
      <x:c r="M155" s="100" t="n">
        <x:v>13</x:v>
      </x:c>
      <x:c r="N155" s="100" t="n">
        <x:v>0.9932384221166294</x:v>
      </x:c>
      <x:c r="O155" s="101" t="b">
        <x:v>1</x:v>
      </x:c>
      <x:c r="P155" t="str">
        <x:v>/Users/jvidale/Documents/Research/FaultScanR/output/20260722_181326_2487/CI_40353552</x:v>
      </x:c>
    </x:row>
    <x:row r="156">
      <x:c r="A156" t="str">
        <x:v>CI_40353552</x:v>
      </x:c>
      <x:c r="B156" s="99" t="str">
        <x:v>00202</x:v>
      </x:c>
      <x:c r="C156" t="str">
        <x:v>T</x:v>
      </x:c>
      <x:c r="D156" t="str">
        <x:v>R</x:v>
      </x:c>
      <x:c r="E156" t="str">
        <x:v>time shift</x:v>
      </x:c>
      <x:c r="F156" t="str">
        <x:v>S</x:v>
      </x:c>
      <x:c r="G156" s="100" t="n">
        <x:v>3</x:v>
      </x:c>
      <x:c r="H156" s="100" t="n">
        <x:v>10</x:v>
      </x:c>
      <x:c r="I156" s="100" t="n">
        <x:v>250</x:v>
      </x:c>
      <x:c r="J156" s="100" t="n">
        <x:v>0.06</x:v>
      </x:c>
      <x:c r="K156" s="100" t="n">
        <x:v>0.06619574091277514</x:v>
      </x:c>
      <x:c r="L156" s="100" t="n">
        <x:v>-0.006195740912775138</x:v>
      </x:c>
      <x:c r="M156" s="100" t="n">
        <x:v>15</x:v>
      </x:c>
      <x:c r="N156" s="100" t="n">
        <x:v>0.9738617302793435</x:v>
      </x:c>
      <x:c r="O156" s="101" t="b">
        <x:v>1</x:v>
      </x:c>
      <x:c r="P156" t="str">
        <x:v>/Users/jvidale/Documents/Research/FaultScanR/output/20260722_181326_2487/CI_40353552</x:v>
      </x:c>
    </x:row>
    <x:row r="157">
      <x:c r="A157" t="str">
        <x:v>CI_40353552</x:v>
      </x:c>
      <x:c r="B157" s="99" t="str">
        <x:v>00203</x:v>
      </x:c>
      <x:c r="C157" t="str">
        <x:v>T</x:v>
      </x:c>
      <x:c r="D157" t="str">
        <x:v>R</x:v>
      </x:c>
      <x:c r="E157" t="str">
        <x:v>time shift</x:v>
      </x:c>
      <x:c r="F157" t="str">
        <x:v>S</x:v>
      </x:c>
      <x:c r="G157" s="100" t="n">
        <x:v>3</x:v>
      </x:c>
      <x:c r="H157" s="100" t="n">
        <x:v>10</x:v>
      </x:c>
      <x:c r="I157" s="100" t="n">
        <x:v>250</x:v>
      </x:c>
      <x:c r="J157" s="100" t="n">
        <x:v>0.068</x:v>
      </x:c>
      <x:c r="K157" s="100" t="n">
        <x:v>0.07597179386647479</x:v>
      </x:c>
      <x:c r="L157" s="100" t="n">
        <x:v>-0.007971793866474786</x:v>
      </x:c>
      <x:c r="M157" s="100" t="n">
        <x:v>17</x:v>
      </x:c>
      <x:c r="N157" s="100" t="n">
        <x:v>0.9946943535219259</x:v>
      </x:c>
      <x:c r="O157" s="101" t="b">
        <x:v>1</x:v>
      </x:c>
      <x:c r="P157" t="str">
        <x:v>/Users/jvidale/Documents/Research/FaultScanR/output/20260722_181326_2487/CI_40353552</x:v>
      </x:c>
    </x:row>
    <x:row r="158">
      <x:c r="A158" t="str">
        <x:v>CI_40353552</x:v>
      </x:c>
      <x:c r="B158" s="99" t="str">
        <x:v>00204</x:v>
      </x:c>
      <x:c r="C158" t="str">
        <x:v>T</x:v>
      </x:c>
      <x:c r="D158" t="str">
        <x:v>R</x:v>
      </x:c>
      <x:c r="E158" t="str">
        <x:v>time shift</x:v>
      </x:c>
      <x:c r="F158" t="str">
        <x:v>S</x:v>
      </x:c>
      <x:c r="G158" s="100" t="n">
        <x:v>3</x:v>
      </x:c>
      <x:c r="H158" s="100" t="n">
        <x:v>10</x:v>
      </x:c>
      <x:c r="I158" s="100" t="n">
        <x:v>250</x:v>
      </x:c>
      <x:c r="J158" s="100" t="n">
        <x:v>0.08</x:v>
      </x:c>
      <x:c r="K158" s="100" t="n">
        <x:v>0.08559610271643514</x:v>
      </x:c>
      <x:c r="L158" s="100" t="n">
        <x:v>-0.005596102716435139</x:v>
      </x:c>
      <x:c r="M158" s="100" t="n">
        <x:v>20</x:v>
      </x:c>
      <x:c r="N158" s="100" t="n">
        <x:v>0.9645067321658858</x:v>
      </x:c>
      <x:c r="O158" s="101" t="b">
        <x:v>1</x:v>
      </x:c>
      <x:c r="P158" t="str">
        <x:v>/Users/jvidale/Documents/Research/FaultScanR/output/20260722_181326_2487/CI_40353552</x:v>
      </x:c>
    </x:row>
    <x:row r="159">
      <x:c r="A159" t="str">
        <x:v>CI_40353552</x:v>
      </x:c>
      <x:c r="B159" s="99" t="str">
        <x:v>00205</x:v>
      </x:c>
      <x:c r="C159" t="str">
        <x:v>T</x:v>
      </x:c>
      <x:c r="D159" t="str">
        <x:v>R</x:v>
      </x:c>
      <x:c r="E159" t="str">
        <x:v>time shift</x:v>
      </x:c>
      <x:c r="F159" t="str">
        <x:v>S</x:v>
      </x:c>
      <x:c r="G159" s="100" t="n">
        <x:v>3</x:v>
      </x:c>
      <x:c r="H159" s="100" t="n">
        <x:v>10</x:v>
      </x:c>
      <x:c r="I159" s="100" t="n">
        <x:v>250</x:v>
      </x:c>
      <x:c r="J159" s="100" t="n">
        <x:v>0.08</x:v>
      </x:c>
      <x:c r="K159" s="100" t="n">
        <x:v>0.0935856608558101</x:v>
      </x:c>
      <x:c r="L159" s="100" t="n">
        <x:v>-0.0135856608558101</x:v>
      </x:c>
      <x:c r="M159" s="100" t="n">
        <x:v>20</x:v>
      </x:c>
      <x:c r="N159" s="100" t="n">
        <x:v>0.9463113383363921</x:v>
      </x:c>
      <x:c r="O159" s="101" t="b">
        <x:v>1</x:v>
      </x:c>
      <x:c r="P159" t="str">
        <x:v>/Users/jvidale/Documents/Research/FaultScanR/output/20260722_181326_2487/CI_40353552</x:v>
      </x:c>
    </x:row>
    <x:row r="160">
      <x:c r="A160" t="str">
        <x:v>CI_40353552</x:v>
      </x:c>
      <x:c r="B160" s="99" t="str">
        <x:v>00206</x:v>
      </x:c>
      <x:c r="C160" t="str">
        <x:v>T</x:v>
      </x:c>
      <x:c r="D160" t="str">
        <x:v>R</x:v>
      </x:c>
      <x:c r="E160" t="str">
        <x:v>time shift</x:v>
      </x:c>
      <x:c r="F160" t="str">
        <x:v>S</x:v>
      </x:c>
      <x:c r="G160" s="100" t="n">
        <x:v>3</x:v>
      </x:c>
      <x:c r="H160" s="100" t="n">
        <x:v>10</x:v>
      </x:c>
      <x:c r="I160" s="100" t="n">
        <x:v>250</x:v>
      </x:c>
      <x:c r="J160" s="100" t="n">
        <x:v>-0.012</x:v>
      </x:c>
      <x:c r="K160" s="100" t="n">
        <x:v>-0.01329136420921895</x:v>
      </x:c>
      <x:c r="L160" s="100" t="n">
        <x:v>0.001291364209218947</x:v>
      </x:c>
      <x:c r="M160" s="100" t="n">
        <x:v>-3</x:v>
      </x:c>
      <x:c r="N160" s="100" t="n">
        <x:v>0.4660063082770012</x:v>
      </x:c>
      <x:c r="O160" s="101" t="b">
        <x:v>0</x:v>
      </x:c>
      <x:c r="P160" t="str">
        <x:v>/Users/jvidale/Documents/Research/FaultScanR/output/20260722_181326_2487/CI_40353552</x:v>
      </x:c>
    </x:row>
    <x:row r="161">
      <x:c r="A161" t="str">
        <x:v>CI_40353552</x:v>
      </x:c>
      <x:c r="B161" s="99" t="str">
        <x:v>00207</x:v>
      </x:c>
      <x:c r="C161" t="str">
        <x:v>T</x:v>
      </x:c>
      <x:c r="D161" t="str">
        <x:v>R</x:v>
      </x:c>
      <x:c r="E161" t="str">
        <x:v>time shift</x:v>
      </x:c>
      <x:c r="F161" t="str">
        <x:v>S</x:v>
      </x:c>
      <x:c r="G161" s="100" t="n">
        <x:v>3</x:v>
      </x:c>
      <x:c r="H161" s="100" t="n">
        <x:v>10</x:v>
      </x:c>
      <x:c r="I161" s="100" t="n">
        <x:v>250</x:v>
      </x:c>
      <x:c r="J161" s="100" t="n">
        <x:v>0</x:v>
      </x:c>
      <x:c r="K161" s="100" t="n">
        <x:v>-0.001269539192363389</x:v>
      </x:c>
      <x:c r="L161" s="100" t="n">
        <x:v>0.001269539192363389</x:v>
      </x:c>
      <x:c r="M161" s="100" t="n">
        <x:v>0</x:v>
      </x:c>
      <x:c r="N161" s="100" t="n">
        <x:v>0.8530547886057126</x:v>
      </x:c>
      <x:c r="O161" s="101" t="b">
        <x:v>1</x:v>
      </x:c>
      <x:c r="P161" t="str">
        <x:v>/Users/jvidale/Documents/Research/FaultScanR/output/20260722_181326_2487/CI_40353552</x:v>
      </x:c>
    </x:row>
    <x:row r="162">
      <x:c r="A162" t="str">
        <x:v>CI_40353552</x:v>
      </x:c>
      <x:c r="B162" s="99" t="str">
        <x:v>00209</x:v>
      </x:c>
      <x:c r="C162" t="str">
        <x:v>T</x:v>
      </x:c>
      <x:c r="D162" t="str">
        <x:v>R</x:v>
      </x:c>
      <x:c r="E162" t="str">
        <x:v>time shift</x:v>
      </x:c>
      <x:c r="F162" t="str">
        <x:v>S</x:v>
      </x:c>
      <x:c r="G162" s="100" t="n">
        <x:v>3</x:v>
      </x:c>
      <x:c r="H162" s="100" t="n">
        <x:v>10</x:v>
      </x:c>
      <x:c r="I162" s="100" t="n">
        <x:v>250</x:v>
      </x:c>
      <x:c r="J162" s="100" t="n">
        <x:v>0</x:v>
      </x:c>
      <x:c r="K162" s="100" t="n">
        <x:v>0.01396609725481657</x:v>
      </x:c>
      <x:c r="L162" s="100" t="n">
        <x:v>-0.01396609725481657</x:v>
      </x:c>
      <x:c r="M162" s="100" t="n">
        <x:v>0</x:v>
      </x:c>
      <x:c r="N162" s="100" t="n">
        <x:v>0.91822543250687</x:v>
      </x:c>
      <x:c r="O162" s="101" t="b">
        <x:v>1</x:v>
      </x:c>
      <x:c r="P162" t="str">
        <x:v>/Users/jvidale/Documents/Research/FaultScanR/output/20260722_181326_2487/CI_40353552</x:v>
      </x:c>
    </x:row>
    <x:row r="163">
      <x:c r="A163" t="str">
        <x:v>CI_40353552</x:v>
      </x:c>
      <x:c r="B163" s="99" t="str">
        <x:v>00210</x:v>
      </x:c>
      <x:c r="C163" t="str">
        <x:v>T</x:v>
      </x:c>
      <x:c r="D163" t="str">
        <x:v>R</x:v>
      </x:c>
      <x:c r="E163" t="str">
        <x:v>time shift</x:v>
      </x:c>
      <x:c r="F163" t="str">
        <x:v>S</x:v>
      </x:c>
      <x:c r="G163" s="100" t="n">
        <x:v>3</x:v>
      </x:c>
      <x:c r="H163" s="100" t="n">
        <x:v>10</x:v>
      </x:c>
      <x:c r="I163" s="100" t="n">
        <x:v>250</x:v>
      </x:c>
      <x:c r="J163" s="100" t="n">
        <x:v>0</x:v>
      </x:c>
      <x:c r="K163" s="100" t="n">
        <x:v>0.01743106341209</x:v>
      </x:c>
      <x:c r="L163" s="100" t="n">
        <x:v>-0.01743106341209</x:v>
      </x:c>
      <x:c r="M163" s="100" t="n">
        <x:v>0</x:v>
      </x:c>
      <x:c r="N163" s="100" t="n">
        <x:v>0.8963796003019849</x:v>
      </x:c>
      <x:c r="O163" s="101" t="b">
        <x:v>1</x:v>
      </x:c>
      <x:c r="P163" t="str">
        <x:v>/Users/jvidale/Documents/Research/FaultScanR/output/20260722_181326_2487/CI_40353552</x:v>
      </x:c>
    </x:row>
    <x:row r="164">
      <x:c r="A164" t="str">
        <x:v>CI_40353552</x:v>
      </x:c>
      <x:c r="B164" s="99" t="str">
        <x:v>00211</x:v>
      </x:c>
      <x:c r="C164" t="str">
        <x:v>T</x:v>
      </x:c>
      <x:c r="D164" t="str">
        <x:v>R</x:v>
      </x:c>
      <x:c r="E164" t="str">
        <x:v>time shift</x:v>
      </x:c>
      <x:c r="F164" t="str">
        <x:v>S</x:v>
      </x:c>
      <x:c r="G164" s="100" t="n">
        <x:v>3</x:v>
      </x:c>
      <x:c r="H164" s="100" t="n">
        <x:v>10</x:v>
      </x:c>
      <x:c r="I164" s="100" t="n">
        <x:v>250</x:v>
      </x:c>
      <x:c r="J164" s="100" t="n">
        <x:v>0.012</x:v>
      </x:c>
      <x:c r="K164" s="100" t="n">
        <x:v>0.02677876510233457</x:v>
      </x:c>
      <x:c r="L164" s="100" t="n">
        <x:v>-0.01477876510233457</x:v>
      </x:c>
      <x:c r="M164" s="100" t="n">
        <x:v>3</x:v>
      </x:c>
      <x:c r="N164" s="100" t="n">
        <x:v>0.9726991156782795</x:v>
      </x:c>
      <x:c r="O164" s="101" t="b">
        <x:v>1</x:v>
      </x:c>
      <x:c r="P164" t="str">
        <x:v>/Users/jvidale/Documents/Research/FaultScanR/output/20260722_181326_2487/CI_40353552</x:v>
      </x:c>
    </x:row>
    <x:row r="165">
      <x:c r="A165" t="str">
        <x:v>CI_40353552</x:v>
      </x:c>
      <x:c r="B165" s="99" t="str">
        <x:v>00212</x:v>
      </x:c>
      <x:c r="C165" t="str">
        <x:v>T</x:v>
      </x:c>
      <x:c r="D165" t="str">
        <x:v>R</x:v>
      </x:c>
      <x:c r="E165" t="str">
        <x:v>time shift</x:v>
      </x:c>
      <x:c r="F165" t="str">
        <x:v>S</x:v>
      </x:c>
      <x:c r="G165" s="100" t="n">
        <x:v>3</x:v>
      </x:c>
      <x:c r="H165" s="100" t="n">
        <x:v>10</x:v>
      </x:c>
      <x:c r="I165" s="100" t="n">
        <x:v>250</x:v>
      </x:c>
      <x:c r="J165" s="100" t="n">
        <x:v>0.02</x:v>
      </x:c>
      <x:c r="K165" s="100" t="n">
        <x:v>0.03610956650593522</x:v>
      </x:c>
      <x:c r="L165" s="100" t="n">
        <x:v>-0.01610956650593522</x:v>
      </x:c>
      <x:c r="M165" s="100" t="n">
        <x:v>5</x:v>
      </x:c>
      <x:c r="N165" s="100" t="n">
        <x:v>0.9484168210332647</x:v>
      </x:c>
      <x:c r="O165" s="101" t="b">
        <x:v>1</x:v>
      </x:c>
      <x:c r="P165" t="str">
        <x:v>/Users/jvidale/Documents/Research/FaultScanR/output/20260722_181326_2487/CI_40353552</x:v>
      </x:c>
    </x:row>
    <x:row r="166">
      <x:c r="A166" t="str">
        <x:v>CI_40353552</x:v>
      </x:c>
      <x:c r="B166" s="99" t="str">
        <x:v>00213</x:v>
      </x:c>
      <x:c r="C166" t="str">
        <x:v>T</x:v>
      </x:c>
      <x:c r="D166" t="str">
        <x:v>R</x:v>
      </x:c>
      <x:c r="E166" t="str">
        <x:v>time shift</x:v>
      </x:c>
      <x:c r="F166" t="str">
        <x:v>S</x:v>
      </x:c>
      <x:c r="G166" s="100" t="n">
        <x:v>3</x:v>
      </x:c>
      <x:c r="H166" s="100" t="n">
        <x:v>10</x:v>
      </x:c>
      <x:c r="I166" s="100" t="n">
        <x:v>250</x:v>
      </x:c>
      <x:c r="J166" s="100" t="n">
        <x:v>0.024</x:v>
      </x:c>
      <x:c r="K166" s="100" t="n">
        <x:v>0.04324716813747909</x:v>
      </x:c>
      <x:c r="L166" s="100" t="n">
        <x:v>-0.01924716813747909</x:v>
      </x:c>
      <x:c r="M166" s="100" t="n">
        <x:v>6</x:v>
      </x:c>
      <x:c r="N166" s="100" t="n">
        <x:v>0.997455235547712</x:v>
      </x:c>
      <x:c r="O166" s="101" t="b">
        <x:v>1</x:v>
      </x:c>
      <x:c r="P166" t="str">
        <x:v>/Users/jvidale/Documents/Research/FaultScanR/output/20260722_181326_2487/CI_40353552</x:v>
      </x:c>
    </x:row>
    <x:row r="167">
      <x:c r="A167" t="str">
        <x:v>CI_40353552</x:v>
      </x:c>
      <x:c r="B167" s="99" t="str">
        <x:v>00214</x:v>
      </x:c>
      <x:c r="C167" t="str">
        <x:v>T</x:v>
      </x:c>
      <x:c r="D167" t="str">
        <x:v>R</x:v>
      </x:c>
      <x:c r="E167" t="str">
        <x:v>time shift</x:v>
      </x:c>
      <x:c r="F167" t="str">
        <x:v>S</x:v>
      </x:c>
      <x:c r="G167" s="100" t="n">
        <x:v>3</x:v>
      </x:c>
      <x:c r="H167" s="100" t="n">
        <x:v>10</x:v>
      </x:c>
      <x:c r="I167" s="100" t="n">
        <x:v>250</x:v>
      </x:c>
      <x:c r="J167" s="100" t="n">
        <x:v>0.044</x:v>
      </x:c>
      <x:c r="K167" s="100" t="n">
        <x:v>0.06089956082169667</x:v>
      </x:c>
      <x:c r="L167" s="100" t="n">
        <x:v>-0.01689956082169668</x:v>
      </x:c>
      <x:c r="M167" s="100" t="n">
        <x:v>11</x:v>
      </x:c>
      <x:c r="N167" s="100" t="n">
        <x:v>0.9870678549115942</x:v>
      </x:c>
      <x:c r="O167" s="101" t="b">
        <x:v>1</x:v>
      </x:c>
      <x:c r="P167" t="str">
        <x:v>/Users/jvidale/Documents/Research/FaultScanR/output/20260722_181326_2487/CI_40353552</x:v>
      </x:c>
    </x:row>
    <x:row r="168">
      <x:c r="A168" t="str">
        <x:v>CI_40353552</x:v>
      </x:c>
      <x:c r="B168" s="99" t="str">
        <x:v>00215</x:v>
      </x:c>
      <x:c r="C168" t="str">
        <x:v>T</x:v>
      </x:c>
      <x:c r="D168" t="str">
        <x:v>R</x:v>
      </x:c>
      <x:c r="E168" t="str">
        <x:v>time shift</x:v>
      </x:c>
      <x:c r="F168" t="str">
        <x:v>S</x:v>
      </x:c>
      <x:c r="G168" s="100" t="n">
        <x:v>3</x:v>
      </x:c>
      <x:c r="H168" s="100" t="n">
        <x:v>10</x:v>
      </x:c>
      <x:c r="I168" s="100" t="n">
        <x:v>250</x:v>
      </x:c>
      <x:c r="J168" s="100" t="n">
        <x:v>0.048</x:v>
      </x:c>
      <x:c r="K168" s="100" t="n">
        <x:v>0.06174003841849451</x:v>
      </x:c>
      <x:c r="L168" s="100" t="n">
        <x:v>-0.01374003841849451</x:v>
      </x:c>
      <x:c r="M168" s="100" t="n">
        <x:v>12</x:v>
      </x:c>
      <x:c r="N168" s="100" t="n">
        <x:v>0.9725044696334679</x:v>
      </x:c>
      <x:c r="O168" s="101" t="b">
        <x:v>1</x:v>
      </x:c>
      <x:c r="P168" t="str">
        <x:v>/Users/jvidale/Documents/Research/FaultScanR/output/20260722_181326_2487/CI_40353552</x:v>
      </x:c>
    </x:row>
    <x:row r="169">
      <x:c r="A169" t="str">
        <x:v>CI_40353552</x:v>
      </x:c>
      <x:c r="B169" s="99" t="str">
        <x:v>00216</x:v>
      </x:c>
      <x:c r="C169" t="str">
        <x:v>T</x:v>
      </x:c>
      <x:c r="D169" t="str">
        <x:v>R</x:v>
      </x:c>
      <x:c r="E169" t="str">
        <x:v>time shift</x:v>
      </x:c>
      <x:c r="F169" t="str">
        <x:v>S</x:v>
      </x:c>
      <x:c r="G169" s="100" t="n">
        <x:v>3</x:v>
      </x:c>
      <x:c r="H169" s="100" t="n">
        <x:v>10</x:v>
      </x:c>
      <x:c r="I169" s="100" t="n">
        <x:v>250</x:v>
      </x:c>
      <x:c r="J169" s="100" t="n">
        <x:v>0.06</x:v>
      </x:c>
      <x:c r="K169" s="100" t="n">
        <x:v>0.07140874708434986</x:v>
      </x:c>
      <x:c r="L169" s="100" t="n">
        <x:v>-0.01140874708434986</x:v>
      </x:c>
      <x:c r="M169" s="100" t="n">
        <x:v>15</x:v>
      </x:c>
      <x:c r="N169" s="100" t="n">
        <x:v>0.99067779571315</x:v>
      </x:c>
      <x:c r="O169" s="101" t="b">
        <x:v>1</x:v>
      </x:c>
      <x:c r="P169" t="str">
        <x:v>/Users/jvidale/Documents/Research/FaultScanR/output/20260722_181326_2487/CI_40353552</x:v>
      </x:c>
    </x:row>
    <x:row r="170">
      <x:c r="A170" t="str">
        <x:v>CI_40353552</x:v>
      </x:c>
      <x:c r="B170" s="99" t="str">
        <x:v>00217</x:v>
      </x:c>
      <x:c r="C170" t="str">
        <x:v>T</x:v>
      </x:c>
      <x:c r="D170" t="str">
        <x:v>R</x:v>
      </x:c>
      <x:c r="E170" t="str">
        <x:v>time shift</x:v>
      </x:c>
      <x:c r="F170" t="str">
        <x:v>S</x:v>
      </x:c>
      <x:c r="G170" s="100" t="n">
        <x:v>3</x:v>
      </x:c>
      <x:c r="H170" s="100" t="n">
        <x:v>10</x:v>
      </x:c>
      <x:c r="I170" s="100" t="n">
        <x:v>250</x:v>
      </x:c>
      <x:c r="J170" s="100" t="n">
        <x:v>0.068</x:v>
      </x:c>
      <x:c r="K170" s="100" t="n">
        <x:v>0.08025765983667998</x:v>
      </x:c>
      <x:c r="L170" s="100" t="n">
        <x:v>-0.01225765983667998</x:v>
      </x:c>
      <x:c r="M170" s="100" t="n">
        <x:v>17</x:v>
      </x:c>
      <x:c r="N170" s="100" t="n">
        <x:v>0.9817515444418683</x:v>
      </x:c>
      <x:c r="O170" s="101" t="b">
        <x:v>1</x:v>
      </x:c>
      <x:c r="P170" t="str">
        <x:v>/Users/jvidale/Documents/Research/FaultScanR/output/20260722_181326_2487/CI_40353552</x:v>
      </x:c>
    </x:row>
    <x:row r="171">
      <x:c r="A171" t="str">
        <x:v>CI_40353552</x:v>
      </x:c>
      <x:c r="B171" s="99" t="str">
        <x:v>00218</x:v>
      </x:c>
      <x:c r="C171" t="str">
        <x:v>T</x:v>
      </x:c>
      <x:c r="D171" t="str">
        <x:v>R</x:v>
      </x:c>
      <x:c r="E171" t="str">
        <x:v>time shift</x:v>
      </x:c>
      <x:c r="F171" t="str">
        <x:v>S</x:v>
      </x:c>
      <x:c r="G171" s="100" t="n">
        <x:v>3</x:v>
      </x:c>
      <x:c r="H171" s="100" t="n">
        <x:v>10</x:v>
      </x:c>
      <x:c r="I171" s="100" t="n">
        <x:v>250</x:v>
      </x:c>
      <x:c r="J171" s="100" t="n">
        <x:v>0.076</x:v>
      </x:c>
      <x:c r="K171" s="100" t="n">
        <x:v>0.09151745420377733</x:v>
      </x:c>
      <x:c r="L171" s="100" t="n">
        <x:v>-0.01551745420377733</x:v>
      </x:c>
      <x:c r="M171" s="100" t="n">
        <x:v>19</x:v>
      </x:c>
      <x:c r="N171" s="100" t="n">
        <x:v>0.9740364433565311</x:v>
      </x:c>
      <x:c r="O171" s="101" t="b">
        <x:v>1</x:v>
      </x:c>
      <x:c r="P171" t="str">
        <x:v>/Users/jvidale/Documents/Research/FaultScanR/output/20260722_181326_2487/CI_40353552</x:v>
      </x:c>
    </x:row>
    <x:row r="172">
      <x:c r="A172" t="str">
        <x:v>CI_40353552</x:v>
      </x:c>
      <x:c r="B172" s="99" t="str">
        <x:v>00219</x:v>
      </x:c>
      <x:c r="C172" t="str">
        <x:v>T</x:v>
      </x:c>
      <x:c r="D172" t="str">
        <x:v>R</x:v>
      </x:c>
      <x:c r="E172" t="str">
        <x:v>time shift</x:v>
      </x:c>
      <x:c r="F172" t="str">
        <x:v>S</x:v>
      </x:c>
      <x:c r="G172" s="100" t="n">
        <x:v>3</x:v>
      </x:c>
      <x:c r="H172" s="100" t="n">
        <x:v>10</x:v>
      </x:c>
      <x:c r="I172" s="100" t="n">
        <x:v>250</x:v>
      </x:c>
      <x:c r="J172" s="100" t="n">
        <x:v>0.092</x:v>
      </x:c>
      <x:c r="K172" s="100" t="n">
        <x:v>0.09897367554066516</x:v>
      </x:c>
      <x:c r="L172" s="100" t="n">
        <x:v>-0.006973675540665164</x:v>
      </x:c>
      <x:c r="M172" s="100" t="n">
        <x:v>23</x:v>
      </x:c>
      <x:c r="N172" s="100" t="n">
        <x:v>0.9852062581375476</x:v>
      </x:c>
      <x:c r="O172" s="101" t="b">
        <x:v>1</x:v>
      </x:c>
      <x:c r="P172" t="str">
        <x:v>/Users/jvidale/Documents/Research/FaultScanR/output/20260722_181326_2487/CI_40353552</x:v>
      </x:c>
    </x:row>
    <x:row r="173">
      <x:c r="A173" t="str">
        <x:v>CI_40353552</x:v>
      </x:c>
      <x:c r="B173" s="99" t="str">
        <x:v>00220</x:v>
      </x:c>
      <x:c r="C173" t="str">
        <x:v>T</x:v>
      </x:c>
      <x:c r="D173" t="str">
        <x:v>R</x:v>
      </x:c>
      <x:c r="E173" t="str">
        <x:v>time shift</x:v>
      </x:c>
      <x:c r="F173" t="str">
        <x:v>S</x:v>
      </x:c>
      <x:c r="G173" s="100" t="n">
        <x:v>3</x:v>
      </x:c>
      <x:c r="H173" s="100" t="n">
        <x:v>10</x:v>
      </x:c>
      <x:c r="I173" s="100" t="n">
        <x:v>250</x:v>
      </x:c>
      <x:c r="J173" s="100" t="n">
        <x:v>0.104</x:v>
      </x:c>
      <x:c r="K173" s="100" t="n">
        <x:v>0.108286234068192</x:v>
      </x:c>
      <x:c r="L173" s="100" t="n">
        <x:v>-0.004286234068192049</x:v>
      </x:c>
      <x:c r="M173" s="100" t="n">
        <x:v>26</x:v>
      </x:c>
      <x:c r="N173" s="100" t="n">
        <x:v>0.9503654986378759</x:v>
      </x:c>
      <x:c r="O173" s="101" t="b">
        <x:v>1</x:v>
      </x:c>
      <x:c r="P173" t="str">
        <x:v>/Users/jvidale/Documents/Research/FaultScanR/output/20260722_181326_2487/CI_40353552</x:v>
      </x:c>
    </x:row>
    <x:row r="174">
      <x:c r="A174" t="str">
        <x:v>CI_40353552</x:v>
      </x:c>
      <x:c r="B174" s="99" t="str">
        <x:v>00221</x:v>
      </x:c>
      <x:c r="C174" t="str">
        <x:v>T</x:v>
      </x:c>
      <x:c r="D174" t="str">
        <x:v>R</x:v>
      </x:c>
      <x:c r="E174" t="str">
        <x:v>time shift</x:v>
      </x:c>
      <x:c r="F174" t="str">
        <x:v>S</x:v>
      </x:c>
      <x:c r="G174" s="100" t="n">
        <x:v>3</x:v>
      </x:c>
      <x:c r="H174" s="100" t="n">
        <x:v>10</x:v>
      </x:c>
      <x:c r="I174" s="100" t="n">
        <x:v>250</x:v>
      </x:c>
      <x:c r="J174" s="100" t="n">
        <x:v>0.112</x:v>
      </x:c>
      <x:c r="K174" s="100" t="n">
        <x:v>0.1176521568598261</x:v>
      </x:c>
      <x:c r="L174" s="100" t="n">
        <x:v>-0.005652156859826105</x:v>
      </x:c>
      <x:c r="M174" s="100" t="n">
        <x:v>28</x:v>
      </x:c>
      <x:c r="N174" s="100" t="n">
        <x:v>0.8986014383390155</x:v>
      </x:c>
      <x:c r="O174" s="101" t="b">
        <x:v>1</x:v>
      </x:c>
      <x:c r="P174" t="str">
        <x:v>/Users/jvidale/Documents/Research/FaultScanR/output/20260722_181326_2487/CI_40353552</x:v>
      </x:c>
    </x:row>
    <x:row r="175">
      <x:c r="A175" t="str">
        <x:v>CI_40353552</x:v>
      </x:c>
      <x:c r="B175" s="99" t="str">
        <x:v>00222</x:v>
      </x:c>
      <x:c r="C175" t="str">
        <x:v>T</x:v>
      </x:c>
      <x:c r="D175" t="str">
        <x:v>R</x:v>
      </x:c>
      <x:c r="E175" t="str">
        <x:v>time shift</x:v>
      </x:c>
      <x:c r="F175" t="str">
        <x:v>S</x:v>
      </x:c>
      <x:c r="G175" s="100" t="n">
        <x:v>3</x:v>
      </x:c>
      <x:c r="H175" s="100" t="n">
        <x:v>10</x:v>
      </x:c>
      <x:c r="I175" s="100" t="n">
        <x:v>250</x:v>
      </x:c>
      <x:c r="J175" s="100" t="n">
        <x:v>0.012</x:v>
      </x:c>
      <x:c r="K175" s="100" t="n">
        <x:v>0.0115233746198049</x:v>
      </x:c>
      <x:c r="L175" s="100" t="n">
        <x:v>0.0004766253801950955</x:v>
      </x:c>
      <x:c r="M175" s="100" t="n">
        <x:v>3</x:v>
      </x:c>
      <x:c r="N175" s="100" t="n">
        <x:v>0.8440398916877278</x:v>
      </x:c>
      <x:c r="O175" s="101" t="b">
        <x:v>1</x:v>
      </x:c>
      <x:c r="P175" t="str">
        <x:v>/Users/jvidale/Documents/Research/FaultScanR/output/20260722_181326_2487/CI_40353552</x:v>
      </x:c>
    </x:row>
    <x:row r="176">
      <x:c r="A176" t="str">
        <x:v>CI_40353552</x:v>
      </x:c>
      <x:c r="B176" s="99" t="str">
        <x:v>00223</x:v>
      </x:c>
      <x:c r="C176" t="str">
        <x:v>T</x:v>
      </x:c>
      <x:c r="D176" t="str">
        <x:v>R</x:v>
      </x:c>
      <x:c r="E176" t="str">
        <x:v>time shift</x:v>
      </x:c>
      <x:c r="F176" t="str">
        <x:v>S</x:v>
      </x:c>
      <x:c r="G176" s="100" t="n">
        <x:v>3</x:v>
      </x:c>
      <x:c r="H176" s="100" t="n">
        <x:v>10</x:v>
      </x:c>
      <x:c r="I176" s="100" t="n">
        <x:v>250</x:v>
      </x:c>
      <x:c r="J176" s="100" t="n">
        <x:v>0.012</x:v>
      </x:c>
      <x:c r="K176" s="100" t="n">
        <x:v>0.01794555350701099</x:v>
      </x:c>
      <x:c r="L176" s="100" t="n">
        <x:v>-0.005945553507010991</x:v>
      </x:c>
      <x:c r="M176" s="100" t="n">
        <x:v>3</x:v>
      </x:c>
      <x:c r="N176" s="100" t="n">
        <x:v>0.9434154966408025</x:v>
      </x:c>
      <x:c r="O176" s="101" t="b">
        <x:v>1</x:v>
      </x:c>
      <x:c r="P176" t="str">
        <x:v>/Users/jvidale/Documents/Research/FaultScanR/output/20260722_181326_2487/CI_40353552</x:v>
      </x:c>
    </x:row>
    <x:row r="177">
      <x:c r="A177" t="str">
        <x:v>CI_40353552</x:v>
      </x:c>
      <x:c r="B177" s="99" t="str">
        <x:v>00225</x:v>
      </x:c>
      <x:c r="C177" t="str">
        <x:v>T</x:v>
      </x:c>
      <x:c r="D177" t="str">
        <x:v>R</x:v>
      </x:c>
      <x:c r="E177" t="str">
        <x:v>time shift</x:v>
      </x:c>
      <x:c r="F177" t="str">
        <x:v>S</x:v>
      </x:c>
      <x:c r="G177" s="100" t="n">
        <x:v>3</x:v>
      </x:c>
      <x:c r="H177" s="100" t="n">
        <x:v>10</x:v>
      </x:c>
      <x:c r="I177" s="100" t="n">
        <x:v>250</x:v>
      </x:c>
      <x:c r="J177" s="100" t="n">
        <x:v>0.02</x:v>
      </x:c>
      <x:c r="K177" s="100" t="n">
        <x:v>0.03588179855884022</x:v>
      </x:c>
      <x:c r="L177" s="100" t="n">
        <x:v>-0.01588179855884022</x:v>
      </x:c>
      <x:c r="M177" s="100" t="n">
        <x:v>5</x:v>
      </x:c>
      <x:c r="N177" s="100" t="n">
        <x:v>0.9169977543467149</x:v>
      </x:c>
      <x:c r="O177" s="101" t="b">
        <x:v>1</x:v>
      </x:c>
      <x:c r="P177" t="str">
        <x:v>/Users/jvidale/Documents/Research/FaultScanR/output/20260722_181326_2487/CI_40353552</x:v>
      </x:c>
    </x:row>
    <x:row r="178">
      <x:c r="A178" t="str">
        <x:v>CI_40353552</x:v>
      </x:c>
      <x:c r="B178" s="99" t="str">
        <x:v>00226</x:v>
      </x:c>
      <x:c r="C178" t="str">
        <x:v>T</x:v>
      </x:c>
      <x:c r="D178" t="str">
        <x:v>R</x:v>
      </x:c>
      <x:c r="E178" t="str">
        <x:v>time shift</x:v>
      </x:c>
      <x:c r="F178" t="str">
        <x:v>S</x:v>
      </x:c>
      <x:c r="G178" s="100" t="n">
        <x:v>3</x:v>
      </x:c>
      <x:c r="H178" s="100" t="n">
        <x:v>10</x:v>
      </x:c>
      <x:c r="I178" s="100" t="n">
        <x:v>250</x:v>
      </x:c>
      <x:c r="J178" s="100" t="n">
        <x:v>0.032</x:v>
      </x:c>
      <x:c r="K178" s="100" t="n">
        <x:v>0.04306172634772665</x:v>
      </x:c>
      <x:c r="L178" s="100" t="n">
        <x:v>-0.01106172634772665</x:v>
      </x:c>
      <x:c r="M178" s="100" t="n">
        <x:v>8</x:v>
      </x:c>
      <x:c r="N178" s="100" t="n">
        <x:v>0.9101393595213235</x:v>
      </x:c>
      <x:c r="O178" s="101" t="b">
        <x:v>1</x:v>
      </x:c>
      <x:c r="P178" t="str">
        <x:v>/Users/jvidale/Documents/Research/FaultScanR/output/20260722_181326_2487/CI_40353552</x:v>
      </x:c>
    </x:row>
    <x:row r="179">
      <x:c r="A179" t="str">
        <x:v>CI_40353552</x:v>
      </x:c>
      <x:c r="B179" s="99" t="str">
        <x:v>00227</x:v>
      </x:c>
      <x:c r="C179" t="str">
        <x:v>T</x:v>
      </x:c>
      <x:c r="D179" t="str">
        <x:v>R</x:v>
      </x:c>
      <x:c r="E179" t="str">
        <x:v>time shift</x:v>
      </x:c>
      <x:c r="F179" t="str">
        <x:v>S</x:v>
      </x:c>
      <x:c r="G179" s="100" t="n">
        <x:v>3</x:v>
      </x:c>
      <x:c r="H179" s="100" t="n">
        <x:v>10</x:v>
      </x:c>
      <x:c r="I179" s="100" t="n">
        <x:v>250</x:v>
      </x:c>
      <x:c r="J179" s="100" t="n">
        <x:v>0.04</x:v>
      </x:c>
      <x:c r="K179" s="100" t="n">
        <x:v>0.05074968759610599</x:v>
      </x:c>
      <x:c r="L179" s="100" t="n">
        <x:v>-0.01074968759610598</x:v>
      </x:c>
      <x:c r="M179" s="100" t="n">
        <x:v>10</x:v>
      </x:c>
      <x:c r="N179" s="100" t="n">
        <x:v>0.9162346158676988</x:v>
      </x:c>
      <x:c r="O179" s="101" t="b">
        <x:v>1</x:v>
      </x:c>
      <x:c r="P179" t="str">
        <x:v>/Users/jvidale/Documents/Research/FaultScanR/output/20260722_181326_2487/CI_40353552</x:v>
      </x:c>
    </x:row>
    <x:row r="180">
      <x:c r="A180" t="str">
        <x:v>CI_40353552</x:v>
      </x:c>
      <x:c r="B180" s="99" t="str">
        <x:v>00228</x:v>
      </x:c>
      <x:c r="C180" t="str">
        <x:v>T</x:v>
      </x:c>
      <x:c r="D180" t="str">
        <x:v>R</x:v>
      </x:c>
      <x:c r="E180" t="str">
        <x:v>time shift</x:v>
      </x:c>
      <x:c r="F180" t="str">
        <x:v>S</x:v>
      </x:c>
      <x:c r="G180" s="100" t="n">
        <x:v>3</x:v>
      </x:c>
      <x:c r="H180" s="100" t="n">
        <x:v>10</x:v>
      </x:c>
      <x:c r="I180" s="100" t="n">
        <x:v>250</x:v>
      </x:c>
      <x:c r="J180" s="100" t="n">
        <x:v>0.04</x:v>
      </x:c>
      <x:c r="K180" s="100" t="n">
        <x:v>0.06077091035650461</x:v>
      </x:c>
      <x:c r="L180" s="100" t="n">
        <x:v>-0.02077091035650461</x:v>
      </x:c>
      <x:c r="M180" s="100" t="n">
        <x:v>10</x:v>
      </x:c>
      <x:c r="N180" s="100" t="n">
        <x:v>0.8102632236194858</x:v>
      </x:c>
      <x:c r="O180" s="101" t="b">
        <x:v>1</x:v>
      </x:c>
      <x:c r="P180" t="str">
        <x:v>/Users/jvidale/Documents/Research/FaultScanR/output/20260722_181326_2487/CI_40353552</x:v>
      </x:c>
    </x:row>
    <x:row r="181">
      <x:c r="A181" t="str">
        <x:v>CI_40353552</x:v>
      </x:c>
      <x:c r="B181" s="99" t="str">
        <x:v>00229</x:v>
      </x:c>
      <x:c r="C181" t="str">
        <x:v>T</x:v>
      </x:c>
      <x:c r="D181" t="str">
        <x:v>R</x:v>
      </x:c>
      <x:c r="E181" t="str">
        <x:v>time shift</x:v>
      </x:c>
      <x:c r="F181" t="str">
        <x:v>S</x:v>
      </x:c>
      <x:c r="G181" s="100" t="n">
        <x:v>3</x:v>
      </x:c>
      <x:c r="H181" s="100" t="n">
        <x:v>10</x:v>
      </x:c>
      <x:c r="I181" s="100" t="n">
        <x:v>250</x:v>
      </x:c>
      <x:c r="J181" s="100" t="n">
        <x:v>0.044</x:v>
      </x:c>
      <x:c r="K181" s="100" t="n">
        <x:v>0.06804532163643451</x:v>
      </x:c>
      <x:c r="L181" s="100" t="n">
        <x:v>-0.02404532163643451</x:v>
      </x:c>
      <x:c r="M181" s="100" t="n">
        <x:v>11</x:v>
      </x:c>
      <x:c r="N181" s="100" t="n">
        <x:v>0.983342602379723</x:v>
      </x:c>
      <x:c r="O181" s="101" t="b">
        <x:v>1</x:v>
      </x:c>
      <x:c r="P181" t="str">
        <x:v>/Users/jvidale/Documents/Research/FaultScanR/output/20260722_181326_2487/CI_40353552</x:v>
      </x:c>
    </x:row>
    <x:row r="182">
      <x:c r="A182" t="str">
        <x:v>CI_40353552</x:v>
      </x:c>
      <x:c r="B182" s="99" t="str">
        <x:v>00230</x:v>
      </x:c>
      <x:c r="C182" t="str">
        <x:v>T</x:v>
      </x:c>
      <x:c r="D182" t="str">
        <x:v>R</x:v>
      </x:c>
      <x:c r="E182" t="str">
        <x:v>time shift</x:v>
      </x:c>
      <x:c r="F182" t="str">
        <x:v>S</x:v>
      </x:c>
      <x:c r="G182" s="100" t="n">
        <x:v>3</x:v>
      </x:c>
      <x:c r="H182" s="100" t="n">
        <x:v>10</x:v>
      </x:c>
      <x:c r="I182" s="100" t="n">
        <x:v>250</x:v>
      </x:c>
      <x:c r="J182" s="100" t="n">
        <x:v>0.06</x:v>
      </x:c>
      <x:c r="K182" s="100" t="n">
        <x:v>0.07749545979079553</x:v>
      </x:c>
      <x:c r="L182" s="100" t="n">
        <x:v>-0.01749545979079553</x:v>
      </x:c>
      <x:c r="M182" s="100" t="n">
        <x:v>15</x:v>
      </x:c>
      <x:c r="N182" s="100" t="n">
        <x:v>0.9872673404951197</x:v>
      </x:c>
      <x:c r="O182" s="101" t="b">
        <x:v>1</x:v>
      </x:c>
      <x:c r="P182" t="str">
        <x:v>/Users/jvidale/Documents/Research/FaultScanR/output/20260722_181326_2487/CI_40353552</x:v>
      </x:c>
    </x:row>
    <x:row r="183">
      <x:c r="A183" t="str">
        <x:v>CI_40353552</x:v>
      </x:c>
      <x:c r="B183" s="99" t="str">
        <x:v>00231</x:v>
      </x:c>
      <x:c r="C183" t="str">
        <x:v>T</x:v>
      </x:c>
      <x:c r="D183" t="str">
        <x:v>R</x:v>
      </x:c>
      <x:c r="E183" t="str">
        <x:v>time shift</x:v>
      </x:c>
      <x:c r="F183" t="str">
        <x:v>S</x:v>
      </x:c>
      <x:c r="G183" s="100" t="n">
        <x:v>3</x:v>
      </x:c>
      <x:c r="H183" s="100" t="n">
        <x:v>10</x:v>
      </x:c>
      <x:c r="I183" s="100" t="n">
        <x:v>250</x:v>
      </x:c>
      <x:c r="J183" s="100" t="n">
        <x:v>0.068</x:v>
      </x:c>
      <x:c r="K183" s="100" t="n">
        <x:v>0.0857717624622909</x:v>
      </x:c>
      <x:c r="L183" s="100" t="n">
        <x:v>-0.0177717624622909</x:v>
      </x:c>
      <x:c r="M183" s="100" t="n">
        <x:v>17</x:v>
      </x:c>
      <x:c r="N183" s="100" t="n">
        <x:v>0.9842178357207261</x:v>
      </x:c>
      <x:c r="O183" s="101" t="b">
        <x:v>1</x:v>
      </x:c>
      <x:c r="P183" t="str">
        <x:v>/Users/jvidale/Documents/Research/FaultScanR/output/20260722_181326_2487/CI_40353552</x:v>
      </x:c>
    </x:row>
    <x:row r="184">
      <x:c r="A184" t="str">
        <x:v>CI_40353552</x:v>
      </x:c>
      <x:c r="B184" s="99" t="str">
        <x:v>00232</x:v>
      </x:c>
      <x:c r="C184" t="str">
        <x:v>T</x:v>
      </x:c>
      <x:c r="D184" t="str">
        <x:v>R</x:v>
      </x:c>
      <x:c r="E184" t="str">
        <x:v>time shift</x:v>
      </x:c>
      <x:c r="F184" t="str">
        <x:v>S</x:v>
      </x:c>
      <x:c r="G184" s="100" t="n">
        <x:v>3</x:v>
      </x:c>
      <x:c r="H184" s="100" t="n">
        <x:v>10</x:v>
      </x:c>
      <x:c r="I184" s="100" t="n">
        <x:v>250</x:v>
      </x:c>
      <x:c r="J184" s="100" t="n">
        <x:v>0.072</x:v>
      </x:c>
      <x:c r="K184" s="100" t="n">
        <x:v>0.08864247383109713</x:v>
      </x:c>
      <x:c r="L184" s="100" t="n">
        <x:v>-0.01664247383109714</x:v>
      </x:c>
      <x:c r="M184" s="100" t="n">
        <x:v>18</x:v>
      </x:c>
      <x:c r="N184" s="100" t="n">
        <x:v>0.9854257922034658</x:v>
      </x:c>
      <x:c r="O184" s="101" t="b">
        <x:v>1</x:v>
      </x:c>
      <x:c r="P184" t="str">
        <x:v>/Users/jvidale/Documents/Research/FaultScanR/output/20260722_181326_2487/CI_40353552</x:v>
      </x:c>
    </x:row>
    <x:row r="185">
      <x:c r="A185" t="str">
        <x:v>CI_40353552</x:v>
      </x:c>
      <x:c r="B185" s="99" t="str">
        <x:v>00233</x:v>
      </x:c>
      <x:c r="C185" t="str">
        <x:v>T</x:v>
      </x:c>
      <x:c r="D185" t="str">
        <x:v>R</x:v>
      </x:c>
      <x:c r="E185" t="str">
        <x:v>time shift</x:v>
      </x:c>
      <x:c r="F185" t="str">
        <x:v>S</x:v>
      </x:c>
      <x:c r="G185" s="100" t="n">
        <x:v>3</x:v>
      </x:c>
      <x:c r="H185" s="100" t="n">
        <x:v>10</x:v>
      </x:c>
      <x:c r="I185" s="100" t="n">
        <x:v>250</x:v>
      </x:c>
      <x:c r="J185" s="100" t="n">
        <x:v>0.088</x:v>
      </x:c>
      <x:c r="K185" s="100" t="n">
        <x:v>0.1021683995644223</x:v>
      </x:c>
      <x:c r="L185" s="100" t="n">
        <x:v>-0.01416839956442226</x:v>
      </x:c>
      <x:c r="M185" s="100" t="n">
        <x:v>22</x:v>
      </x:c>
      <x:c r="N185" s="100" t="n">
        <x:v>0.9752122798874437</x:v>
      </x:c>
      <x:c r="O185" s="101" t="b">
        <x:v>1</x:v>
      </x:c>
      <x:c r="P185" t="str">
        <x:v>/Users/jvidale/Documents/Research/FaultScanR/output/20260722_181326_2487/CI_40353552</x:v>
      </x:c>
    </x:row>
    <x:row r="186">
      <x:c r="A186" t="str">
        <x:v>CI_40353552</x:v>
      </x:c>
      <x:c r="B186" s="99" t="str">
        <x:v>00234</x:v>
      </x:c>
      <x:c r="C186" t="str">
        <x:v>T</x:v>
      </x:c>
      <x:c r="D186" t="str">
        <x:v>R</x:v>
      </x:c>
      <x:c r="E186" t="str">
        <x:v>time shift</x:v>
      </x:c>
      <x:c r="F186" t="str">
        <x:v>S</x:v>
      </x:c>
      <x:c r="G186" s="100" t="n">
        <x:v>3</x:v>
      </x:c>
      <x:c r="H186" s="100" t="n">
        <x:v>10</x:v>
      </x:c>
      <x:c r="I186" s="100" t="n">
        <x:v>250</x:v>
      </x:c>
      <x:c r="J186" s="100" t="n">
        <x:v>0.1</x:v>
      </x:c>
      <x:c r="K186" s="100" t="n">
        <x:v>0.1108153498420315</x:v>
      </x:c>
      <x:c r="L186" s="100" t="n">
        <x:v>-0.01081534984203145</x:v>
      </x:c>
      <x:c r="M186" s="100" t="n">
        <x:v>25</x:v>
      </x:c>
      <x:c r="N186" s="100" t="n">
        <x:v>0.9247591007659541</x:v>
      </x:c>
      <x:c r="O186" s="101" t="b">
        <x:v>1</x:v>
      </x:c>
      <x:c r="P186" t="str">
        <x:v>/Users/jvidale/Documents/Research/FaultScanR/output/20260722_181326_2487/CI_40353552</x:v>
      </x:c>
    </x:row>
    <x:row r="187">
      <x:c r="A187" t="str">
        <x:v>CI_40353552</x:v>
      </x:c>
      <x:c r="B187" s="99" t="str">
        <x:v>00235</x:v>
      </x:c>
      <x:c r="C187" t="str">
        <x:v>T</x:v>
      </x:c>
      <x:c r="D187" t="str">
        <x:v>R</x:v>
      </x:c>
      <x:c r="E187" t="str">
        <x:v>time shift</x:v>
      </x:c>
      <x:c r="F187" t="str">
        <x:v>S</x:v>
      </x:c>
      <x:c r="G187" s="100" t="n">
        <x:v>3</x:v>
      </x:c>
      <x:c r="H187" s="100" t="n">
        <x:v>10</x:v>
      </x:c>
      <x:c r="I187" s="100" t="n">
        <x:v>250</x:v>
      </x:c>
      <x:c r="J187" s="100" t="n">
        <x:v>0.104</x:v>
      </x:c>
      <x:c r="K187" s="100" t="n">
        <x:v>0.1208174277591025</x:v>
      </x:c>
      <x:c r="L187" s="100" t="n">
        <x:v>-0.01681742775910254</x:v>
      </x:c>
      <x:c r="M187" s="100" t="n">
        <x:v>26</x:v>
      </x:c>
      <x:c r="N187" s="100" t="n">
        <x:v>0.9971681268082511</x:v>
      </x:c>
      <x:c r="O187" s="101" t="b">
        <x:v>1</x:v>
      </x:c>
      <x:c r="P187" t="str">
        <x:v>/Users/jvidale/Documents/Research/FaultScanR/output/20260722_181326_2487/CI_40353552</x:v>
      </x:c>
    </x:row>
    <x:row r="188">
      <x:c r="A188" t="str">
        <x:v>CI_40353552</x:v>
      </x:c>
      <x:c r="B188" s="99" t="str">
        <x:v>00236</x:v>
      </x:c>
      <x:c r="C188" t="str">
        <x:v>T</x:v>
      </x:c>
      <x:c r="D188" t="str">
        <x:v>R</x:v>
      </x:c>
      <x:c r="E188" t="str">
        <x:v>time shift</x:v>
      </x:c>
      <x:c r="F188" t="str">
        <x:v>S</x:v>
      </x:c>
      <x:c r="G188" s="100" t="n">
        <x:v>3</x:v>
      </x:c>
      <x:c r="H188" s="100" t="n">
        <x:v>10</x:v>
      </x:c>
      <x:c r="I188" s="100" t="n">
        <x:v>250</x:v>
      </x:c>
      <x:c r="J188" s="100" t="n">
        <x:v>0.128</x:v>
      </x:c>
      <x:c r="K188" s="100" t="n">
        <x:v>0.1296973070737932</x:v>
      </x:c>
      <x:c r="L188" s="100" t="n">
        <x:v>-0.001697307073793231</x:v>
      </x:c>
      <x:c r="M188" s="100" t="n">
        <x:v>32</x:v>
      </x:c>
      <x:c r="N188" s="100" t="n">
        <x:v>0.9717928952652725</x:v>
      </x:c>
      <x:c r="O188" s="101" t="b">
        <x:v>1</x:v>
      </x:c>
      <x:c r="P188" t="str">
        <x:v>/Users/jvidale/Documents/Research/FaultScanR/output/20260722_181326_2487/CI_40353552</x:v>
      </x:c>
    </x:row>
    <x:row r="189">
      <x:c r="A189" t="str">
        <x:v>CI_40353552</x:v>
      </x:c>
      <x:c r="B189" s="99" t="str">
        <x:v>00237</x:v>
      </x:c>
      <x:c r="C189" t="str">
        <x:v>T</x:v>
      </x:c>
      <x:c r="D189" t="str">
        <x:v>R</x:v>
      </x:c>
      <x:c r="E189" t="str">
        <x:v>time shift</x:v>
      </x:c>
      <x:c r="F189" t="str">
        <x:v>S</x:v>
      </x:c>
      <x:c r="G189" s="100" t="n">
        <x:v>3</x:v>
      </x:c>
      <x:c r="H189" s="100" t="n">
        <x:v>10</x:v>
      </x:c>
      <x:c r="I189" s="100" t="n">
        <x:v>250</x:v>
      </x:c>
      <x:c r="J189" s="100" t="n">
        <x:v>0.124</x:v>
      </x:c>
      <x:c r="K189" s="100" t="n">
        <x:v>0.1422015649685218</x:v>
      </x:c>
      <x:c r="L189" s="100" t="n">
        <x:v>-0.01820156496852177</x:v>
      </x:c>
      <x:c r="M189" s="100" t="n">
        <x:v>31</x:v>
      </x:c>
      <x:c r="N189" s="100" t="n">
        <x:v>0.9849240425377794</x:v>
      </x:c>
      <x:c r="O189" s="101" t="b">
        <x:v>1</x:v>
      </x:c>
      <x:c r="P189" t="str">
        <x:v>/Users/jvidale/Documents/Research/FaultScanR/output/20260722_181326_2487/CI_40353552</x:v>
      </x:c>
    </x:row>
    <x:row r="190">
      <x:c r="A190" t="str">
        <x:v>CI_40353552</x:v>
      </x:c>
      <x:c r="B190" s="99" t="str">
        <x:v>00238</x:v>
      </x:c>
      <x:c r="C190" t="str">
        <x:v>T</x:v>
      </x:c>
      <x:c r="D190" t="str">
        <x:v>R</x:v>
      </x:c>
      <x:c r="E190" t="str">
        <x:v>time shift</x:v>
      </x:c>
      <x:c r="F190" t="str">
        <x:v>S</x:v>
      </x:c>
      <x:c r="G190" s="100" t="n">
        <x:v>3</x:v>
      </x:c>
      <x:c r="H190" s="100" t="n">
        <x:v>10</x:v>
      </x:c>
      <x:c r="I190" s="100" t="n">
        <x:v>250</x:v>
      </x:c>
      <x:c r="J190" s="100" t="n">
        <x:v>0.024</x:v>
      </x:c>
      <x:c r="K190" s="100" t="n">
        <x:v>0.03193423266757112</x:v>
      </x:c>
      <x:c r="L190" s="100" t="n">
        <x:v>-0.007934232667571116</x:v>
      </x:c>
      <x:c r="M190" s="100" t="n">
        <x:v>6</x:v>
      </x:c>
      <x:c r="N190" s="100" t="n">
        <x:v>0.8272047855543995</x:v>
      </x:c>
      <x:c r="O190" s="101" t="b">
        <x:v>1</x:v>
      </x:c>
      <x:c r="P190" t="str">
        <x:v>/Users/jvidale/Documents/Research/FaultScanR/output/20260722_181326_2487/CI_40353552</x:v>
      </x:c>
    </x:row>
    <x:row r="191">
      <x:c r="A191" t="str">
        <x:v>CI_40353552</x:v>
      </x:c>
      <x:c r="B191" s="99" t="str">
        <x:v>00239</x:v>
      </x:c>
      <x:c r="C191" t="str">
        <x:v>T</x:v>
      </x:c>
      <x:c r="D191" t="str">
        <x:v>R</x:v>
      </x:c>
      <x:c r="E191" t="str">
        <x:v>time shift</x:v>
      </x:c>
      <x:c r="F191" t="str">
        <x:v>S</x:v>
      </x:c>
      <x:c r="G191" s="100" t="n">
        <x:v>3</x:v>
      </x:c>
      <x:c r="H191" s="100" t="n">
        <x:v>10</x:v>
      </x:c>
      <x:c r="I191" s="100" t="n">
        <x:v>250</x:v>
      </x:c>
      <x:c r="J191" s="100" t="n">
        <x:v>0.04</x:v>
      </x:c>
      <x:c r="K191" s="100" t="n">
        <x:v>0.04409318334953127</x:v>
      </x:c>
      <x:c r="L191" s="100" t="n">
        <x:v>-0.004093183349531272</x:v>
      </x:c>
      <x:c r="M191" s="100" t="n">
        <x:v>10</x:v>
      </x:c>
      <x:c r="N191" s="100" t="n">
        <x:v>0.9769440402501233</x:v>
      </x:c>
      <x:c r="O191" s="101" t="b">
        <x:v>1</x:v>
      </x:c>
      <x:c r="P191" t="str">
        <x:v>/Users/jvidale/Documents/Research/FaultScanR/output/20260722_181326_2487/CI_40353552</x:v>
      </x:c>
    </x:row>
    <x:row r="192">
      <x:c r="A192" t="str">
        <x:v>CI_40353552</x:v>
      </x:c>
      <x:c r="B192" s="99" t="str">
        <x:v>00240</x:v>
      </x:c>
      <x:c r="C192" t="str">
        <x:v>T</x:v>
      </x:c>
      <x:c r="D192" t="str">
        <x:v>R</x:v>
      </x:c>
      <x:c r="E192" t="str">
        <x:v>time shift</x:v>
      </x:c>
      <x:c r="F192" t="str">
        <x:v>S</x:v>
      </x:c>
      <x:c r="G192" s="100" t="n">
        <x:v>3</x:v>
      </x:c>
      <x:c r="H192" s="100" t="n">
        <x:v>10</x:v>
      </x:c>
      <x:c r="I192" s="100" t="n">
        <x:v>250</x:v>
      </x:c>
      <x:c r="J192" s="100" t="n">
        <x:v>0.036</x:v>
      </x:c>
      <x:c r="K192" s="100" t="n">
        <x:v>0.05075139647865168</x:v>
      </x:c>
      <x:c r="L192" s="100" t="n">
        <x:v>-0.01475139647865168</x:v>
      </x:c>
      <x:c r="M192" s="100" t="n">
        <x:v>9</x:v>
      </x:c>
      <x:c r="N192" s="100" t="n">
        <x:v>0.8979901703555374</x:v>
      </x:c>
      <x:c r="O192" s="101" t="b">
        <x:v>1</x:v>
      </x:c>
      <x:c r="P192" t="str">
        <x:v>/Users/jvidale/Documents/Research/FaultScanR/output/20260722_181326_2487/CI_40353552</x:v>
      </x:c>
    </x:row>
    <x:row r="193">
      <x:c r="A193" t="str">
        <x:v>CI_40353552</x:v>
      </x:c>
      <x:c r="B193" s="99" t="str">
        <x:v>00241</x:v>
      </x:c>
      <x:c r="C193" t="str">
        <x:v>T</x:v>
      </x:c>
      <x:c r="D193" t="str">
        <x:v>R</x:v>
      </x:c>
      <x:c r="E193" t="str">
        <x:v>time shift</x:v>
      </x:c>
      <x:c r="F193" t="str">
        <x:v>S</x:v>
      </x:c>
      <x:c r="G193" s="100" t="n">
        <x:v>3</x:v>
      </x:c>
      <x:c r="H193" s="100" t="n">
        <x:v>10</x:v>
      </x:c>
      <x:c r="I193" s="100" t="n">
        <x:v>250</x:v>
      </x:c>
      <x:c r="J193" s="100" t="n">
        <x:v>0.04</x:v>
      </x:c>
      <x:c r="K193" s="100" t="n">
        <x:v>0.05301540193796761</x:v>
      </x:c>
      <x:c r="L193" s="100" t="n">
        <x:v>-0.01301540193796761</x:v>
      </x:c>
      <x:c r="M193" s="100" t="n">
        <x:v>10</x:v>
      </x:c>
      <x:c r="N193" s="100" t="n">
        <x:v>0.9509054178427849</x:v>
      </x:c>
      <x:c r="O193" s="101" t="b">
        <x:v>1</x:v>
      </x:c>
      <x:c r="P193" t="str">
        <x:v>/Users/jvidale/Documents/Research/FaultScanR/output/20260722_181326_2487/CI_40353552</x:v>
      </x:c>
    </x:row>
    <x:row r="194">
      <x:c r="A194" t="str">
        <x:v>CI_40353552</x:v>
      </x:c>
      <x:c r="B194" s="99" t="str">
        <x:v>00242</x:v>
      </x:c>
      <x:c r="C194" t="str">
        <x:v>T</x:v>
      </x:c>
      <x:c r="D194" t="str">
        <x:v>R</x:v>
      </x:c>
      <x:c r="E194" t="str">
        <x:v>time shift</x:v>
      </x:c>
      <x:c r="F194" t="str">
        <x:v>S</x:v>
      </x:c>
      <x:c r="G194" s="100" t="n">
        <x:v>3</x:v>
      </x:c>
      <x:c r="H194" s="100" t="n">
        <x:v>10</x:v>
      </x:c>
      <x:c r="I194" s="100" t="n">
        <x:v>250</x:v>
      </x:c>
      <x:c r="J194" s="100" t="n">
        <x:v>0.052</x:v>
      </x:c>
      <x:c r="K194" s="100" t="n">
        <x:v>0.06402100877776729</x:v>
      </x:c>
      <x:c r="L194" s="100" t="n">
        <x:v>-0.01202100877776729</x:v>
      </x:c>
      <x:c r="M194" s="100" t="n">
        <x:v>13</x:v>
      </x:c>
      <x:c r="N194" s="100" t="n">
        <x:v>0.9540188707265862</x:v>
      </x:c>
      <x:c r="O194" s="101" t="b">
        <x:v>1</x:v>
      </x:c>
      <x:c r="P194" t="str">
        <x:v>/Users/jvidale/Documents/Research/FaultScanR/output/20260722_181326_2487/CI_40353552</x:v>
      </x:c>
    </x:row>
    <x:row r="195">
      <x:c r="A195" t="str">
        <x:v>CI_40353552</x:v>
      </x:c>
      <x:c r="B195" s="99" t="str">
        <x:v>00243</x:v>
      </x:c>
      <x:c r="C195" t="str">
        <x:v>T</x:v>
      </x:c>
      <x:c r="D195" t="str">
        <x:v>R</x:v>
      </x:c>
      <x:c r="E195" t="str">
        <x:v>time shift</x:v>
      </x:c>
      <x:c r="F195" t="str">
        <x:v>S</x:v>
      </x:c>
      <x:c r="G195" s="100" t="n">
        <x:v>3</x:v>
      </x:c>
      <x:c r="H195" s="100" t="n">
        <x:v>10</x:v>
      </x:c>
      <x:c r="I195" s="100" t="n">
        <x:v>250</x:v>
      </x:c>
      <x:c r="J195" s="100" t="n">
        <x:v>0.052</x:v>
      </x:c>
      <x:c r="K195" s="100" t="n">
        <x:v>0.07481513946410168</x:v>
      </x:c>
      <x:c r="L195" s="100" t="n">
        <x:v>-0.02281513946410168</x:v>
      </x:c>
      <x:c r="M195" s="100" t="n">
        <x:v>13</x:v>
      </x:c>
      <x:c r="N195" s="100" t="n">
        <x:v>0.8909874283796697</x:v>
      </x:c>
      <x:c r="O195" s="101" t="b">
        <x:v>1</x:v>
      </x:c>
      <x:c r="P195" t="str">
        <x:v>/Users/jvidale/Documents/Research/FaultScanR/output/20260722_181326_2487/CI_40353552</x:v>
      </x:c>
    </x:row>
    <x:row r="196">
      <x:c r="A196" t="str">
        <x:v>CI_40353552</x:v>
      </x:c>
      <x:c r="B196" s="99" t="str">
        <x:v>00244</x:v>
      </x:c>
      <x:c r="C196" t="str">
        <x:v>T</x:v>
      </x:c>
      <x:c r="D196" t="str">
        <x:v>R</x:v>
      </x:c>
      <x:c r="E196" t="str">
        <x:v>time shift</x:v>
      </x:c>
      <x:c r="F196" t="str">
        <x:v>S</x:v>
      </x:c>
      <x:c r="G196" s="100" t="n">
        <x:v>3</x:v>
      </x:c>
      <x:c r="H196" s="100" t="n">
        <x:v>10</x:v>
      </x:c>
      <x:c r="I196" s="100" t="n">
        <x:v>250</x:v>
      </x:c>
      <x:c r="J196" s="100" t="n">
        <x:v>0.06</x:v>
      </x:c>
      <x:c r="K196" s="100" t="n">
        <x:v>0.08231026022820931</x:v>
      </x:c>
      <x:c r="L196" s="100" t="n">
        <x:v>-0.02231026022820931</x:v>
      </x:c>
      <x:c r="M196" s="100" t="n">
        <x:v>15</x:v>
      </x:c>
      <x:c r="N196" s="100" t="n">
        <x:v>0.9025119192745672</x:v>
      </x:c>
      <x:c r="O196" s="101" t="b">
        <x:v>1</x:v>
      </x:c>
      <x:c r="P196" t="str">
        <x:v>/Users/jvidale/Documents/Research/FaultScanR/output/20260722_181326_2487/CI_40353552</x:v>
      </x:c>
    </x:row>
    <x:row r="197">
      <x:c r="A197" t="str">
        <x:v>CI_40353552</x:v>
      </x:c>
      <x:c r="B197" s="99" t="str">
        <x:v>00245</x:v>
      </x:c>
      <x:c r="C197" t="str">
        <x:v>T</x:v>
      </x:c>
      <x:c r="D197" t="str">
        <x:v>R</x:v>
      </x:c>
      <x:c r="E197" t="str">
        <x:v>time shift</x:v>
      </x:c>
      <x:c r="F197" t="str">
        <x:v>S</x:v>
      </x:c>
      <x:c r="G197" s="100" t="n">
        <x:v>3</x:v>
      </x:c>
      <x:c r="H197" s="100" t="n">
        <x:v>10</x:v>
      </x:c>
      <x:c r="I197" s="100" t="n">
        <x:v>250</x:v>
      </x:c>
      <x:c r="J197" s="100" t="n">
        <x:v>0.072</x:v>
      </x:c>
      <x:c r="K197" s="100" t="n">
        <x:v>0.09064196552180714</x:v>
      </x:c>
      <x:c r="L197" s="100" t="n">
        <x:v>-0.01864196552180715</x:v>
      </x:c>
      <x:c r="M197" s="100" t="n">
        <x:v>18</x:v>
      </x:c>
      <x:c r="N197" s="100" t="n">
        <x:v>0.9311089782391405</x:v>
      </x:c>
      <x:c r="O197" s="101" t="b">
        <x:v>1</x:v>
      </x:c>
      <x:c r="P197" t="str">
        <x:v>/Users/jvidale/Documents/Research/FaultScanR/output/20260722_181326_2487/CI_40353552</x:v>
      </x:c>
    </x:row>
    <x:row r="198">
      <x:c r="A198" t="str">
        <x:v>CI_40353552</x:v>
      </x:c>
      <x:c r="B198" s="99" t="str">
        <x:v>00246</x:v>
      </x:c>
      <x:c r="C198" t="str">
        <x:v>T</x:v>
      </x:c>
      <x:c r="D198" t="str">
        <x:v>R</x:v>
      </x:c>
      <x:c r="E198" t="str">
        <x:v>time shift</x:v>
      </x:c>
      <x:c r="F198" t="str">
        <x:v>S</x:v>
      </x:c>
      <x:c r="G198" s="100" t="n">
        <x:v>3</x:v>
      </x:c>
      <x:c r="H198" s="100" t="n">
        <x:v>10</x:v>
      </x:c>
      <x:c r="I198" s="100" t="n">
        <x:v>250</x:v>
      </x:c>
      <x:c r="J198" s="100" t="n">
        <x:v>0.076</x:v>
      </x:c>
      <x:c r="K198" s="100" t="n">
        <x:v>0.09808625023750661</x:v>
      </x:c>
      <x:c r="L198" s="100" t="n">
        <x:v>-0.02208625023750661</x:v>
      </x:c>
      <x:c r="M198" s="100" t="n">
        <x:v>19</x:v>
      </x:c>
      <x:c r="N198" s="100" t="n">
        <x:v>0.9817842996107691</x:v>
      </x:c>
      <x:c r="O198" s="101" t="b">
        <x:v>1</x:v>
      </x:c>
      <x:c r="P198" t="str">
        <x:v>/Users/jvidale/Documents/Research/FaultScanR/output/20260722_181326_2487/CI_40353552</x:v>
      </x:c>
    </x:row>
    <x:row r="199">
      <x:c r="A199" t="str">
        <x:v>CI_40353552</x:v>
      </x:c>
      <x:c r="B199" s="99" t="str">
        <x:v>00247</x:v>
      </x:c>
      <x:c r="C199" t="str">
        <x:v>T</x:v>
      </x:c>
      <x:c r="D199" t="str">
        <x:v>R</x:v>
      </x:c>
      <x:c r="E199" t="str">
        <x:v>time shift</x:v>
      </x:c>
      <x:c r="F199" t="str">
        <x:v>S</x:v>
      </x:c>
      <x:c r="G199" s="100" t="n">
        <x:v>3</x:v>
      </x:c>
      <x:c r="H199" s="100" t="n">
        <x:v>10</x:v>
      </x:c>
      <x:c r="I199" s="100" t="n">
        <x:v>250</x:v>
      </x:c>
      <x:c r="J199" s="100" t="n">
        <x:v>0.092</x:v>
      </x:c>
      <x:c r="K199" s="100" t="n">
        <x:v>0.1079549355551155</x:v>
      </x:c>
      <x:c r="L199" s="100" t="n">
        <x:v>-0.01595493555511548</x:v>
      </x:c>
      <x:c r="M199" s="100" t="n">
        <x:v>23</x:v>
      </x:c>
      <x:c r="N199" s="100" t="n">
        <x:v>0.9727803843259761</x:v>
      </x:c>
      <x:c r="O199" s="101" t="b">
        <x:v>1</x:v>
      </x:c>
      <x:c r="P199" t="str">
        <x:v>/Users/jvidale/Documents/Research/FaultScanR/output/20260722_181326_2487/CI_40353552</x:v>
      </x:c>
    </x:row>
    <x:row r="200">
      <x:c r="A200" t="str">
        <x:v>CI_40353552</x:v>
      </x:c>
      <x:c r="B200" s="99" t="str">
        <x:v>00248</x:v>
      </x:c>
      <x:c r="C200" t="str">
        <x:v>T</x:v>
      </x:c>
      <x:c r="D200" t="str">
        <x:v>R</x:v>
      </x:c>
      <x:c r="E200" t="str">
        <x:v>time shift</x:v>
      </x:c>
      <x:c r="F200" t="str">
        <x:v>S</x:v>
      </x:c>
      <x:c r="G200" s="100" t="n">
        <x:v>3</x:v>
      </x:c>
      <x:c r="H200" s="100" t="n">
        <x:v>10</x:v>
      </x:c>
      <x:c r="I200" s="100" t="n">
        <x:v>250</x:v>
      </x:c>
      <x:c r="J200" s="100" t="n">
        <x:v>0.1</x:v>
      </x:c>
      <x:c r="K200" s="100" t="n">
        <x:v>0.1188924498679942</x:v>
      </x:c>
      <x:c r="L200" s="100" t="n">
        <x:v>-0.01889244986799418</x:v>
      </x:c>
      <x:c r="M200" s="100" t="n">
        <x:v>25</x:v>
      </x:c>
      <x:c r="N200" s="100" t="n">
        <x:v>0.9792981825681887</x:v>
      </x:c>
      <x:c r="O200" s="101" t="b">
        <x:v>1</x:v>
      </x:c>
      <x:c r="P200" t="str">
        <x:v>/Users/jvidale/Documents/Research/FaultScanR/output/20260722_181326_2487/CI_40353552</x:v>
      </x:c>
    </x:row>
    <x:row r="201">
      <x:c r="A201" t="str">
        <x:v>CI_40353552</x:v>
      </x:c>
      <x:c r="B201" s="99" t="str">
        <x:v>00249</x:v>
      </x:c>
      <x:c r="C201" t="str">
        <x:v>T</x:v>
      </x:c>
      <x:c r="D201" t="str">
        <x:v>R</x:v>
      </x:c>
      <x:c r="E201" t="str">
        <x:v>time shift</x:v>
      </x:c>
      <x:c r="F201" t="str">
        <x:v>S</x:v>
      </x:c>
      <x:c r="G201" s="100" t="n">
        <x:v>3</x:v>
      </x:c>
      <x:c r="H201" s="100" t="n">
        <x:v>10</x:v>
      </x:c>
      <x:c r="I201" s="100" t="n">
        <x:v>250</x:v>
      </x:c>
      <x:c r="J201" s="100" t="n">
        <x:v>0.1</x:v>
      </x:c>
      <x:c r="K201" s="100" t="n">
        <x:v>0.1261953007066525</x:v>
      </x:c>
      <x:c r="L201" s="100" t="n">
        <x:v>-0.02619530070665252</x:v>
      </x:c>
      <x:c r="M201" s="100" t="n">
        <x:v>25</x:v>
      </x:c>
      <x:c r="N201" s="100" t="n">
        <x:v>0.9797412047134044</x:v>
      </x:c>
      <x:c r="O201" s="101" t="b">
        <x:v>1</x:v>
      </x:c>
      <x:c r="P201" t="str">
        <x:v>/Users/jvidale/Documents/Research/FaultScanR/output/20260722_181326_2487/CI_40353552</x:v>
      </x:c>
    </x:row>
    <x:row r="202">
      <x:c r="A202" t="str">
        <x:v>CI_40353552</x:v>
      </x:c>
      <x:c r="B202" s="99" t="str">
        <x:v>00250</x:v>
      </x:c>
      <x:c r="C202" t="str">
        <x:v>T</x:v>
      </x:c>
      <x:c r="D202" t="str">
        <x:v>R</x:v>
      </x:c>
      <x:c r="E202" t="str">
        <x:v>time shift</x:v>
      </x:c>
      <x:c r="F202" t="str">
        <x:v>S</x:v>
      </x:c>
      <x:c r="G202" s="100" t="n">
        <x:v>3</x:v>
      </x:c>
      <x:c r="H202" s="100" t="n">
        <x:v>10</x:v>
      </x:c>
      <x:c r="I202" s="100" t="n">
        <x:v>250</x:v>
      </x:c>
      <x:c r="J202" s="100" t="n">
        <x:v>0.116</x:v>
      </x:c>
      <x:c r="K202" s="100" t="n">
        <x:v>0.13342211967956</x:v>
      </x:c>
      <x:c r="L202" s="100" t="n">
        <x:v>-0.01742211967955996</x:v>
      </x:c>
      <x:c r="M202" s="100" t="n">
        <x:v>29</x:v>
      </x:c>
      <x:c r="N202" s="100" t="n">
        <x:v>0.9696663720003453</x:v>
      </x:c>
      <x:c r="O202" s="101" t="b">
        <x:v>1</x:v>
      </x:c>
      <x:c r="P202" t="str">
        <x:v>/Users/jvidale/Documents/Research/FaultScanR/output/20260722_181326_2487/CI_40353552</x:v>
      </x:c>
    </x:row>
    <x:row r="203">
      <x:c r="A203" t="str">
        <x:v>CI_40353552</x:v>
      </x:c>
      <x:c r="B203" s="99" t="str">
        <x:v>00251</x:v>
      </x:c>
      <x:c r="C203" t="str">
        <x:v>T</x:v>
      </x:c>
      <x:c r="D203" t="str">
        <x:v>R</x:v>
      </x:c>
      <x:c r="E203" t="str">
        <x:v>time shift</x:v>
      </x:c>
      <x:c r="F203" t="str">
        <x:v>S</x:v>
      </x:c>
      <x:c r="G203" s="100" t="n">
        <x:v>3</x:v>
      </x:c>
      <x:c r="H203" s="100" t="n">
        <x:v>10</x:v>
      </x:c>
      <x:c r="I203" s="100" t="n">
        <x:v>250</x:v>
      </x:c>
      <x:c r="J203" s="100" t="n">
        <x:v>0.132</x:v>
      </x:c>
      <x:c r="K203" s="100" t="n">
        <x:v>0.1443179660615481</x:v>
      </x:c>
      <x:c r="L203" s="100" t="n">
        <x:v>-0.01231796606154811</x:v>
      </x:c>
      <x:c r="M203" s="100" t="n">
        <x:v>33</x:v>
      </x:c>
      <x:c r="N203" s="100" t="n">
        <x:v>0.9701291579160592</x:v>
      </x:c>
      <x:c r="O203" s="101" t="b">
        <x:v>1</x:v>
      </x:c>
      <x:c r="P203" t="str">
        <x:v>/Users/jvidale/Documents/Research/FaultScanR/output/20260722_181326_2487/CI_40353552</x:v>
      </x:c>
    </x:row>
    <x:row r="204">
      <x:c r="A204" t="str">
        <x:v>CI_40353552</x:v>
      </x:c>
      <x:c r="B204" s="99" t="str">
        <x:v>00252</x:v>
      </x:c>
      <x:c r="C204" t="str">
        <x:v>T</x:v>
      </x:c>
      <x:c r="D204" t="str">
        <x:v>R</x:v>
      </x:c>
      <x:c r="E204" t="str">
        <x:v>time shift</x:v>
      </x:c>
      <x:c r="F204" t="str">
        <x:v>S</x:v>
      </x:c>
      <x:c r="G204" s="100" t="n">
        <x:v>3</x:v>
      </x:c>
      <x:c r="H204" s="100" t="n">
        <x:v>10</x:v>
      </x:c>
      <x:c r="I204" s="100" t="n">
        <x:v>250</x:v>
      </x:c>
      <x:c r="J204" s="100" t="n">
        <x:v>0.144</x:v>
      </x:c>
      <x:c r="K204" s="100" t="n">
        <x:v>0.1553165024413579</x:v>
      </x:c>
      <x:c r="L204" s="100" t="n">
        <x:v>-0.01131650244135787</x:v>
      </x:c>
      <x:c r="M204" s="100" t="n">
        <x:v>36</x:v>
      </x:c>
      <x:c r="N204" s="100" t="n">
        <x:v>0.9704577799434846</x:v>
      </x:c>
      <x:c r="O204" s="101" t="b">
        <x:v>1</x:v>
      </x:c>
      <x:c r="P204" t="str">
        <x:v>/Users/jvidale/Documents/Research/FaultScanR/output/20260722_181326_2487/CI_40353552</x:v>
      </x:c>
    </x:row>
    <x:row r="205">
      <x:c r="A205" t="str">
        <x:v>CI_40353552</x:v>
      </x:c>
      <x:c r="B205" s="99" t="str">
        <x:v>00253</x:v>
      </x:c>
      <x:c r="C205" t="str">
        <x:v>T</x:v>
      </x:c>
      <x:c r="D205" t="str">
        <x:v>R</x:v>
      </x:c>
      <x:c r="E205" t="str">
        <x:v>time shift</x:v>
      </x:c>
      <x:c r="F205" t="str">
        <x:v>S</x:v>
      </x:c>
      <x:c r="G205" s="100" t="n">
        <x:v>3</x:v>
      </x:c>
      <x:c r="H205" s="100" t="n">
        <x:v>10</x:v>
      </x:c>
      <x:c r="I205" s="100" t="n">
        <x:v>250</x:v>
      </x:c>
      <x:c r="J205" s="100" t="n">
        <x:v>0.136</x:v>
      </x:c>
      <x:c r="K205" s="100" t="n">
        <x:v>0.1614072279223802</x:v>
      </x:c>
      <x:c r="L205" s="100" t="n">
        <x:v>-0.02540722792238015</x:v>
      </x:c>
      <x:c r="M205" s="100" t="n">
        <x:v>34</x:v>
      </x:c>
      <x:c r="N205" s="100" t="n">
        <x:v>0.9856373859251195</x:v>
      </x:c>
      <x:c r="O205" s="101" t="b">
        <x:v>1</x:v>
      </x:c>
      <x:c r="P205" t="str">
        <x:v>/Users/jvidale/Documents/Research/FaultScanR/output/20260722_181326_2487/CI_40353552</x:v>
      </x:c>
    </x:row>
    <x:row r="206">
      <x:c r="A206" t="str">
        <x:v>CI_40353552</x:v>
      </x:c>
      <x:c r="B206" s="99" t="str">
        <x:v>00254</x:v>
      </x:c>
      <x:c r="C206" t="str">
        <x:v>T</x:v>
      </x:c>
      <x:c r="D206" t="str">
        <x:v>R</x:v>
      </x:c>
      <x:c r="E206" t="str">
        <x:v>time shift</x:v>
      </x:c>
      <x:c r="F206" t="str">
        <x:v>S</x:v>
      </x:c>
      <x:c r="G206" s="100" t="n">
        <x:v>3</x:v>
      </x:c>
      <x:c r="H206" s="100" t="n">
        <x:v>10</x:v>
      </x:c>
      <x:c r="I206" s="100" t="n">
        <x:v>250</x:v>
      </x:c>
      <x:c r="J206" s="100" t="n">
        <x:v>0.04</x:v>
      </x:c>
      <x:c r="K206" s="100" t="n">
        <x:v>0.05749066379268353</x:v>
      </x:c>
      <x:c r="L206" s="100" t="n">
        <x:v>-0.01749066379268353</x:v>
      </x:c>
      <x:c r="M206" s="100" t="n">
        <x:v>10</x:v>
      </x:c>
      <x:c r="N206" s="100" t="n">
        <x:v>0.910352374666503</x:v>
      </x:c>
      <x:c r="O206" s="101" t="b">
        <x:v>1</x:v>
      </x:c>
      <x:c r="P206" t="str">
        <x:v>/Users/jvidale/Documents/Research/FaultScanR/output/20260722_181326_2487/CI_40353552</x:v>
      </x:c>
    </x:row>
    <x:row r="207">
      <x:c r="A207" t="str">
        <x:v>CI_40353552</x:v>
      </x:c>
      <x:c r="B207" s="99" t="str">
        <x:v>00255</x:v>
      </x:c>
      <x:c r="C207" t="str">
        <x:v>T</x:v>
      </x:c>
      <x:c r="D207" t="str">
        <x:v>R</x:v>
      </x:c>
      <x:c r="E207" t="str">
        <x:v>time shift</x:v>
      </x:c>
      <x:c r="F207" t="str">
        <x:v>S</x:v>
      </x:c>
      <x:c r="G207" s="100" t="n">
        <x:v>3</x:v>
      </x:c>
      <x:c r="H207" s="100" t="n">
        <x:v>10</x:v>
      </x:c>
      <x:c r="I207" s="100" t="n">
        <x:v>250</x:v>
      </x:c>
      <x:c r="J207" s="100" t="n">
        <x:v>0.048</x:v>
      </x:c>
      <x:c r="K207" s="100" t="n">
        <x:v>0.06523842005272673</x:v>
      </x:c>
      <x:c r="L207" s="100" t="n">
        <x:v>-0.01723842005272673</x:v>
      </x:c>
      <x:c r="M207" s="100" t="n">
        <x:v>12</x:v>
      </x:c>
      <x:c r="N207" s="100" t="n">
        <x:v>0.9531353403534579</x:v>
      </x:c>
      <x:c r="O207" s="101" t="b">
        <x:v>1</x:v>
      </x:c>
      <x:c r="P207" t="str">
        <x:v>/Users/jvidale/Documents/Research/FaultScanR/output/20260722_181326_2487/CI_40353552</x:v>
      </x:c>
    </x:row>
    <x:row r="208">
      <x:c r="A208" t="str">
        <x:v>CI_40353552</x:v>
      </x:c>
      <x:c r="B208" s="99" t="str">
        <x:v>00256</x:v>
      </x:c>
      <x:c r="C208" t="str">
        <x:v>T</x:v>
      </x:c>
      <x:c r="D208" t="str">
        <x:v>R</x:v>
      </x:c>
      <x:c r="E208" t="str">
        <x:v>time shift</x:v>
      </x:c>
      <x:c r="F208" t="str">
        <x:v>S</x:v>
      </x:c>
      <x:c r="G208" s="100" t="n">
        <x:v>3</x:v>
      </x:c>
      <x:c r="H208" s="100" t="n">
        <x:v>10</x:v>
      </x:c>
      <x:c r="I208" s="100" t="n">
        <x:v>250</x:v>
      </x:c>
      <x:c r="J208" s="100" t="n">
        <x:v>0.056</x:v>
      </x:c>
      <x:c r="K208" s="100" t="n">
        <x:v>0.07269341327940548</x:v>
      </x:c>
      <x:c r="L208" s="100" t="n">
        <x:v>-0.01669341327940548</x:v>
      </x:c>
      <x:c r="M208" s="100" t="n">
        <x:v>14</x:v>
      </x:c>
      <x:c r="N208" s="100" t="n">
        <x:v>0.9375909128103164</x:v>
      </x:c>
      <x:c r="O208" s="101" t="b">
        <x:v>1</x:v>
      </x:c>
      <x:c r="P208" t="str">
        <x:v>/Users/jvidale/Documents/Research/FaultScanR/output/20260722_181326_2487/CI_40353552</x:v>
      </x:c>
    </x:row>
    <x:row r="209">
      <x:c r="A209" t="str">
        <x:v>CI_40353552</x:v>
      </x:c>
      <x:c r="B209" s="99" t="str">
        <x:v>00257</x:v>
      </x:c>
      <x:c r="C209" t="str">
        <x:v>T</x:v>
      </x:c>
      <x:c r="D209" t="str">
        <x:v>R</x:v>
      </x:c>
      <x:c r="E209" t="str">
        <x:v>time shift</x:v>
      </x:c>
      <x:c r="F209" t="str">
        <x:v>S</x:v>
      </x:c>
      <x:c r="G209" s="100" t="n">
        <x:v>3</x:v>
      </x:c>
      <x:c r="H209" s="100" t="n">
        <x:v>10</x:v>
      </x:c>
      <x:c r="I209" s="100" t="n">
        <x:v>250</x:v>
      </x:c>
      <x:c r="J209" s="100" t="n">
        <x:v>0.06</x:v>
      </x:c>
      <x:c r="K209" s="100" t="n">
        <x:v>0.07969051856003695</x:v>
      </x:c>
      <x:c r="L209" s="100" t="n">
        <x:v>-0.01969051856003695</x:v>
      </x:c>
      <x:c r="M209" s="100" t="n">
        <x:v>15</x:v>
      </x:c>
      <x:c r="N209" s="100" t="n">
        <x:v>0.9114526467443781</x:v>
      </x:c>
      <x:c r="O209" s="101" t="b">
        <x:v>1</x:v>
      </x:c>
      <x:c r="P209" t="str">
        <x:v>/Users/jvidale/Documents/Research/FaultScanR/output/20260722_181326_2487/CI_40353552</x:v>
      </x:c>
    </x:row>
    <x:row r="210">
      <x:c r="A210" t="str">
        <x:v>CI_40353552</x:v>
      </x:c>
      <x:c r="B210" s="99" t="str">
        <x:v>00258</x:v>
      </x:c>
      <x:c r="C210" t="str">
        <x:v>T</x:v>
      </x:c>
      <x:c r="D210" t="str">
        <x:v>R</x:v>
      </x:c>
      <x:c r="E210" t="str">
        <x:v>time shift</x:v>
      </x:c>
      <x:c r="F210" t="str">
        <x:v>S</x:v>
      </x:c>
      <x:c r="G210" s="100" t="n">
        <x:v>3</x:v>
      </x:c>
      <x:c r="H210" s="100" t="n">
        <x:v>10</x:v>
      </x:c>
      <x:c r="I210" s="100" t="n">
        <x:v>250</x:v>
      </x:c>
      <x:c r="J210" s="100" t="n">
        <x:v>0.064</x:v>
      </x:c>
      <x:c r="K210" s="100" t="n">
        <x:v>0.08696109228987048</x:v>
      </x:c>
      <x:c r="L210" s="100" t="n">
        <x:v>-0.02296109228987048</x:v>
      </x:c>
      <x:c r="M210" s="100" t="n">
        <x:v>16</x:v>
      </x:c>
      <x:c r="N210" s="100" t="n">
        <x:v>0.9536685172691649</x:v>
      </x:c>
      <x:c r="O210" s="101" t="b">
        <x:v>1</x:v>
      </x:c>
      <x:c r="P210" t="str">
        <x:v>/Users/jvidale/Documents/Research/FaultScanR/output/20260722_181326_2487/CI_40353552</x:v>
      </x:c>
    </x:row>
    <x:row r="211">
      <x:c r="A211" t="str">
        <x:v>CI_40353552</x:v>
      </x:c>
      <x:c r="B211" s="99" t="str">
        <x:v>00259</x:v>
      </x:c>
      <x:c r="C211" t="str">
        <x:v>T</x:v>
      </x:c>
      <x:c r="D211" t="str">
        <x:v>R</x:v>
      </x:c>
      <x:c r="E211" t="str">
        <x:v>time shift</x:v>
      </x:c>
      <x:c r="F211" t="str">
        <x:v>S</x:v>
      </x:c>
      <x:c r="G211" s="100" t="n">
        <x:v>3</x:v>
      </x:c>
      <x:c r="H211" s="100" t="n">
        <x:v>10</x:v>
      </x:c>
      <x:c r="I211" s="100" t="n">
        <x:v>250</x:v>
      </x:c>
      <x:c r="J211" s="100" t="n">
        <x:v>0.072</x:v>
      </x:c>
      <x:c r="K211" s="100" t="n">
        <x:v>0.09443675120499417</x:v>
      </x:c>
      <x:c r="L211" s="100" t="n">
        <x:v>-0.02243675120499418</x:v>
      </x:c>
      <x:c r="M211" s="100" t="n">
        <x:v>18</x:v>
      </x:c>
      <x:c r="N211" s="100" t="n">
        <x:v>0.9573043745323898</x:v>
      </x:c>
      <x:c r="O211" s="101" t="b">
        <x:v>1</x:v>
      </x:c>
      <x:c r="P211" t="str">
        <x:v>/Users/jvidale/Documents/Research/FaultScanR/output/20260722_181326_2487/CI_40353552</x:v>
      </x:c>
    </x:row>
    <x:row r="212">
      <x:c r="A212" t="str">
        <x:v>CI_40353552</x:v>
      </x:c>
      <x:c r="B212" s="99" t="str">
        <x:v>00260</x:v>
      </x:c>
      <x:c r="C212" t="str">
        <x:v>T</x:v>
      </x:c>
      <x:c r="D212" t="str">
        <x:v>R</x:v>
      </x:c>
      <x:c r="E212" t="str">
        <x:v>time shift</x:v>
      </x:c>
      <x:c r="F212" t="str">
        <x:v>S</x:v>
      </x:c>
      <x:c r="G212" s="100" t="n">
        <x:v>3</x:v>
      </x:c>
      <x:c r="H212" s="100" t="n">
        <x:v>10</x:v>
      </x:c>
      <x:c r="I212" s="100" t="n">
        <x:v>250</x:v>
      </x:c>
      <x:c r="J212" s="100" t="n">
        <x:v>0.084</x:v>
      </x:c>
      <x:c r="K212" s="100" t="n">
        <x:v>0.1033824595557133</x:v>
      </x:c>
      <x:c r="L212" s="100" t="n">
        <x:v>-0.01938245955571334</x:v>
      </x:c>
      <x:c r="M212" s="100" t="n">
        <x:v>21</x:v>
      </x:c>
      <x:c r="N212" s="100" t="n">
        <x:v>0.8257621998311337</x:v>
      </x:c>
      <x:c r="O212" s="101" t="b">
        <x:v>1</x:v>
      </x:c>
      <x:c r="P212" t="str">
        <x:v>/Users/jvidale/Documents/Research/FaultScanR/output/20260722_181326_2487/CI_40353552</x:v>
      </x:c>
    </x:row>
    <x:row r="213">
      <x:c r="A213" t="str">
        <x:v>CI_40353552</x:v>
      </x:c>
      <x:c r="B213" s="99" t="str">
        <x:v>00261</x:v>
      </x:c>
      <x:c r="C213" t="str">
        <x:v>T</x:v>
      </x:c>
      <x:c r="D213" t="str">
        <x:v>R</x:v>
      </x:c>
      <x:c r="E213" t="str">
        <x:v>time shift</x:v>
      </x:c>
      <x:c r="F213" t="str">
        <x:v>S</x:v>
      </x:c>
      <x:c r="G213" s="100" t="n">
        <x:v>3</x:v>
      </x:c>
      <x:c r="H213" s="100" t="n">
        <x:v>10</x:v>
      </x:c>
      <x:c r="I213" s="100" t="n">
        <x:v>250</x:v>
      </x:c>
      <x:c r="J213" s="100" t="n">
        <x:v>0.096</x:v>
      </x:c>
      <x:c r="K213" s="100" t="n">
        <x:v>0.11321583075941</x:v>
      </x:c>
      <x:c r="L213" s="100" t="n">
        <x:v>-0.01721583075940999</x:v>
      </x:c>
      <x:c r="M213" s="100" t="n">
        <x:v>24</x:v>
      </x:c>
      <x:c r="N213" s="100" t="n">
        <x:v>0.8711069029001879</x:v>
      </x:c>
      <x:c r="O213" s="101" t="b">
        <x:v>1</x:v>
      </x:c>
      <x:c r="P213" t="str">
        <x:v>/Users/jvidale/Documents/Research/FaultScanR/output/20260722_181326_2487/CI_40353552</x:v>
      </x:c>
    </x:row>
    <x:row r="214">
      <x:c r="A214" t="str">
        <x:v>CI_40353552</x:v>
      </x:c>
      <x:c r="B214" s="99" t="str">
        <x:v>00262</x:v>
      </x:c>
      <x:c r="C214" t="str">
        <x:v>T</x:v>
      </x:c>
      <x:c r="D214" t="str">
        <x:v>R</x:v>
      </x:c>
      <x:c r="E214" t="str">
        <x:v>time shift</x:v>
      </x:c>
      <x:c r="F214" t="str">
        <x:v>S</x:v>
      </x:c>
      <x:c r="G214" s="100" t="n">
        <x:v>3</x:v>
      </x:c>
      <x:c r="H214" s="100" t="n">
        <x:v>10</x:v>
      </x:c>
      <x:c r="I214" s="100" t="n">
        <x:v>250</x:v>
      </x:c>
      <x:c r="J214" s="100" t="n">
        <x:v>0.108</x:v>
      </x:c>
      <x:c r="K214" s="100" t="n">
        <x:v>0.1211827332282791</x:v>
      </x:c>
      <x:c r="L214" s="100" t="n">
        <x:v>-0.01318273322827911</x:v>
      </x:c>
      <x:c r="M214" s="100" t="n">
        <x:v>27</x:v>
      </x:c>
      <x:c r="N214" s="100" t="n">
        <x:v>0.9419516948564509</x:v>
      </x:c>
      <x:c r="O214" s="101" t="b">
        <x:v>1</x:v>
      </x:c>
      <x:c r="P214" t="str">
        <x:v>/Users/jvidale/Documents/Research/FaultScanR/output/20260722_181326_2487/CI_40353552</x:v>
      </x:c>
    </x:row>
    <x:row r="215">
      <x:c r="A215" t="str">
        <x:v>CI_40353552</x:v>
      </x:c>
      <x:c r="B215" s="99" t="str">
        <x:v>00263</x:v>
      </x:c>
      <x:c r="C215" t="str">
        <x:v>T</x:v>
      </x:c>
      <x:c r="D215" t="str">
        <x:v>R</x:v>
      </x:c>
      <x:c r="E215" t="str">
        <x:v>time shift</x:v>
      </x:c>
      <x:c r="F215" t="str">
        <x:v>S</x:v>
      </x:c>
      <x:c r="G215" s="100" t="n">
        <x:v>3</x:v>
      </x:c>
      <x:c r="H215" s="100" t="n">
        <x:v>10</x:v>
      </x:c>
      <x:c r="I215" s="100" t="n">
        <x:v>250</x:v>
      </x:c>
      <x:c r="J215" s="100" t="n">
        <x:v>0.112</x:v>
      </x:c>
      <x:c r="K215" s="100" t="n">
        <x:v>0.1298143923749979</x:v>
      </x:c>
      <x:c r="L215" s="100" t="n">
        <x:v>-0.01781439237499792</x:v>
      </x:c>
      <x:c r="M215" s="100" t="n">
        <x:v>28</x:v>
      </x:c>
      <x:c r="N215" s="100" t="n">
        <x:v>0.8574831348509677</x:v>
      </x:c>
      <x:c r="O215" s="101" t="b">
        <x:v>1</x:v>
      </x:c>
      <x:c r="P215" t="str">
        <x:v>/Users/jvidale/Documents/Research/FaultScanR/output/20260722_181326_2487/CI_40353552</x:v>
      </x:c>
    </x:row>
    <x:row r="216">
      <x:c r="A216" t="str">
        <x:v>CI_40353552</x:v>
      </x:c>
      <x:c r="B216" s="99" t="str">
        <x:v>00265</x:v>
      </x:c>
      <x:c r="C216" t="str">
        <x:v>T</x:v>
      </x:c>
      <x:c r="D216" t="str">
        <x:v>R</x:v>
      </x:c>
      <x:c r="E216" t="str">
        <x:v>time shift</x:v>
      </x:c>
      <x:c r="F216" t="str">
        <x:v>S</x:v>
      </x:c>
      <x:c r="G216" s="100" t="n">
        <x:v>3</x:v>
      </x:c>
      <x:c r="H216" s="100" t="n">
        <x:v>10</x:v>
      </x:c>
      <x:c r="I216" s="100" t="n">
        <x:v>250</x:v>
      </x:c>
      <x:c r="J216" s="100" t="n">
        <x:v>0.12</x:v>
      </x:c>
      <x:c r="K216" s="100" t="n">
        <x:v>0.1467796450296603</x:v>
      </x:c>
      <x:c r="L216" s="100" t="n">
        <x:v>-0.02677964502966035</x:v>
      </x:c>
      <x:c r="M216" s="100" t="n">
        <x:v>30</x:v>
      </x:c>
      <x:c r="N216" s="100" t="n">
        <x:v>0.9848937238688104</x:v>
      </x:c>
      <x:c r="O216" s="101" t="b">
        <x:v>1</x:v>
      </x:c>
      <x:c r="P216" t="str">
        <x:v>/Users/jvidale/Documents/Research/FaultScanR/output/20260722_181326_2487/CI_40353552</x:v>
      </x:c>
    </x:row>
    <x:row r="217">
      <x:c r="A217" t="str">
        <x:v>CI_40353552</x:v>
      </x:c>
      <x:c r="B217" s="99" t="str">
        <x:v>00266</x:v>
      </x:c>
      <x:c r="C217" t="str">
        <x:v>T</x:v>
      </x:c>
      <x:c r="D217" t="str">
        <x:v>R</x:v>
      </x:c>
      <x:c r="E217" t="str">
        <x:v>time shift</x:v>
      </x:c>
      <x:c r="F217" t="str">
        <x:v>S</x:v>
      </x:c>
      <x:c r="G217" s="100" t="n">
        <x:v>3</x:v>
      </x:c>
      <x:c r="H217" s="100" t="n">
        <x:v>10</x:v>
      </x:c>
      <x:c r="I217" s="100" t="n">
        <x:v>250</x:v>
      </x:c>
      <x:c r="J217" s="100" t="n">
        <x:v>0.136</x:v>
      </x:c>
      <x:c r="K217" s="100" t="n">
        <x:v>0.1554360993891342</x:v>
      </x:c>
      <x:c r="L217" s="100" t="n">
        <x:v>-0.01943609938913415</x:v>
      </x:c>
      <x:c r="M217" s="100" t="n">
        <x:v>34</x:v>
      </x:c>
      <x:c r="N217" s="100" t="n">
        <x:v>0.977682232179715</x:v>
      </x:c>
      <x:c r="O217" s="101" t="b">
        <x:v>1</x:v>
      </x:c>
      <x:c r="P217" t="str">
        <x:v>/Users/jvidale/Documents/Research/FaultScanR/output/20260722_181326_2487/CI_40353552</x:v>
      </x:c>
    </x:row>
    <x:row r="218">
      <x:c r="A218" t="str">
        <x:v>CI_40353552</x:v>
      </x:c>
      <x:c r="B218" s="99" t="str">
        <x:v>00267</x:v>
      </x:c>
      <x:c r="C218" t="str">
        <x:v>T</x:v>
      </x:c>
      <x:c r="D218" t="str">
        <x:v>R</x:v>
      </x:c>
      <x:c r="E218" t="str">
        <x:v>time shift</x:v>
      </x:c>
      <x:c r="F218" t="str">
        <x:v>S</x:v>
      </x:c>
      <x:c r="G218" s="100" t="n">
        <x:v>3</x:v>
      </x:c>
      <x:c r="H218" s="100" t="n">
        <x:v>10</x:v>
      </x:c>
      <x:c r="I218" s="100" t="n">
        <x:v>250</x:v>
      </x:c>
      <x:c r="J218" s="100" t="n">
        <x:v>0.156</x:v>
      </x:c>
      <x:c r="K218" s="100" t="n">
        <x:v>0.1647048340490267</x:v>
      </x:c>
      <x:c r="L218" s="100" t="n">
        <x:v>-0.008704834049026694</x:v>
      </x:c>
      <x:c r="M218" s="100" t="n">
        <x:v>39</x:v>
      </x:c>
      <x:c r="N218" s="100" t="n">
        <x:v>0.9106449904773006</x:v>
      </x:c>
      <x:c r="O218" s="101" t="b">
        <x:v>1</x:v>
      </x:c>
      <x:c r="P218" t="str">
        <x:v>/Users/jvidale/Documents/Research/FaultScanR/output/20260722_181326_2487/CI_40353552</x:v>
      </x:c>
    </x:row>
    <x:row r="219">
      <x:c r="A219" t="str">
        <x:v>CI_40353552</x:v>
      </x:c>
      <x:c r="B219" s="99" t="str">
        <x:v>00268</x:v>
      </x:c>
      <x:c r="C219" t="str">
        <x:v>T</x:v>
      </x:c>
      <x:c r="D219" t="str">
        <x:v>R</x:v>
      </x:c>
      <x:c r="E219" t="str">
        <x:v>time shift</x:v>
      </x:c>
      <x:c r="F219" t="str">
        <x:v>S</x:v>
      </x:c>
      <x:c r="G219" s="100" t="n">
        <x:v>3</x:v>
      </x:c>
      <x:c r="H219" s="100" t="n">
        <x:v>10</x:v>
      </x:c>
      <x:c r="I219" s="100" t="n">
        <x:v>250</x:v>
      </x:c>
      <x:c r="J219" s="100" t="n">
        <x:v>0.156</x:v>
      </x:c>
      <x:c r="K219" s="100" t="n">
        <x:v>0.172309340071445</x:v>
      </x:c>
      <x:c r="L219" s="100" t="n">
        <x:v>-0.01630934007144505</x:v>
      </x:c>
      <x:c r="M219" s="100" t="n">
        <x:v>39</x:v>
      </x:c>
      <x:c r="N219" s="100" t="n">
        <x:v>0.9747044176183527</x:v>
      </x:c>
      <x:c r="O219" s="101" t="b">
        <x:v>1</x:v>
      </x:c>
      <x:c r="P219" t="str">
        <x:v>/Users/jvidale/Documents/Research/FaultScanR/output/20260722_181326_2487/CI_40353552</x:v>
      </x:c>
    </x:row>
    <x:row r="220">
      <x:c r="A220" t="str">
        <x:v>CI_40353552</x:v>
      </x:c>
      <x:c r="B220" s="99" t="str">
        <x:v>00269</x:v>
      </x:c>
      <x:c r="C220" t="str">
        <x:v>T</x:v>
      </x:c>
      <x:c r="D220" t="str">
        <x:v>R</x:v>
      </x:c>
      <x:c r="E220" t="str">
        <x:v>time shift</x:v>
      </x:c>
      <x:c r="F220" t="str">
        <x:v>S</x:v>
      </x:c>
      <x:c r="G220" s="100" t="n">
        <x:v>3</x:v>
      </x:c>
      <x:c r="H220" s="100" t="n">
        <x:v>10</x:v>
      </x:c>
      <x:c r="I220" s="100" t="n">
        <x:v>250</x:v>
      </x:c>
      <x:c r="J220" s="100" t="n">
        <x:v>0.152</x:v>
      </x:c>
      <x:c r="K220" s="100" t="n">
        <x:v>0.1824140611405731</x:v>
      </x:c>
      <x:c r="L220" s="100" t="n">
        <x:v>-0.03041406114057313</x:v>
      </x:c>
      <x:c r="M220" s="100" t="n">
        <x:v>38</x:v>
      </x:c>
      <x:c r="N220" s="100" t="n">
        <x:v>0.9941073364212513</x:v>
      </x:c>
      <x:c r="O220" s="101" t="b">
        <x:v>1</x:v>
      </x:c>
      <x:c r="P220" t="str">
        <x:v>/Users/jvidale/Documents/Research/FaultScanR/output/20260722_181326_2487/CI_40353552</x:v>
      </x:c>
    </x:row>
    <x:row r="221">
      <x:c r="A221" t="str">
        <x:v>CI_40353552</x:v>
      </x:c>
      <x:c r="B221" s="99" t="str">
        <x:v>00270</x:v>
      </x:c>
      <x:c r="C221" t="str">
        <x:v>T</x:v>
      </x:c>
      <x:c r="D221" t="str">
        <x:v>R</x:v>
      </x:c>
      <x:c r="E221" t="str">
        <x:v>time shift</x:v>
      </x:c>
      <x:c r="F221" t="str">
        <x:v>S</x:v>
      </x:c>
      <x:c r="G221" s="100" t="n">
        <x:v>3</x:v>
      </x:c>
      <x:c r="H221" s="100" t="n">
        <x:v>10</x:v>
      </x:c>
      <x:c r="I221" s="100" t="n">
        <x:v>250</x:v>
      </x:c>
      <x:c r="J221" s="100" t="n">
        <x:v>0.06</x:v>
      </x:c>
      <x:c r="K221" s="100" t="n">
        <x:v>0.07973306542646341</x:v>
      </x:c>
      <x:c r="L221" s="100" t="n">
        <x:v>-0.01973306542646341</x:v>
      </x:c>
      <x:c r="M221" s="100" t="n">
        <x:v>15</x:v>
      </x:c>
      <x:c r="N221" s="100" t="n">
        <x:v>0.8632617570645046</x:v>
      </x:c>
      <x:c r="O221" s="101" t="b">
        <x:v>1</x:v>
      </x:c>
      <x:c r="P221" t="str">
        <x:v>/Users/jvidale/Documents/Research/FaultScanR/output/20260722_181326_2487/CI_40353552</x:v>
      </x:c>
    </x:row>
    <x:row r="222">
      <x:c r="A222" t="str">
        <x:v>CI_40353552</x:v>
      </x:c>
      <x:c r="B222" s="99" t="str">
        <x:v>00271</x:v>
      </x:c>
      <x:c r="C222" t="str">
        <x:v>T</x:v>
      </x:c>
      <x:c r="D222" t="str">
        <x:v>R</x:v>
      </x:c>
      <x:c r="E222" t="str">
        <x:v>time shift</x:v>
      </x:c>
      <x:c r="F222" t="str">
        <x:v>S</x:v>
      </x:c>
      <x:c r="G222" s="100" t="n">
        <x:v>3</x:v>
      </x:c>
      <x:c r="H222" s="100" t="n">
        <x:v>10</x:v>
      </x:c>
      <x:c r="I222" s="100" t="n">
        <x:v>250</x:v>
      </x:c>
      <x:c r="J222" s="100" t="n">
        <x:v>0.076</x:v>
      </x:c>
      <x:c r="K222" s="100" t="n">
        <x:v>0.08840395916646937</x:v>
      </x:c>
      <x:c r="L222" s="100" t="n">
        <x:v>-0.01240395916646937</x:v>
      </x:c>
      <x:c r="M222" s="100" t="n">
        <x:v>19</x:v>
      </x:c>
      <x:c r="N222" s="100" t="n">
        <x:v>0.9941239693422964</x:v>
      </x:c>
      <x:c r="O222" s="101" t="b">
        <x:v>1</x:v>
      </x:c>
      <x:c r="P222" t="str">
        <x:v>/Users/jvidale/Documents/Research/FaultScanR/output/20260722_181326_2487/CI_40353552</x:v>
      </x:c>
    </x:row>
    <x:row r="223">
      <x:c r="A223" t="str">
        <x:v>CI_40353552</x:v>
      </x:c>
      <x:c r="B223" s="99" t="str">
        <x:v>00272</x:v>
      </x:c>
      <x:c r="C223" t="str">
        <x:v>T</x:v>
      </x:c>
      <x:c r="D223" t="str">
        <x:v>R</x:v>
      </x:c>
      <x:c r="E223" t="str">
        <x:v>time shift</x:v>
      </x:c>
      <x:c r="F223" t="str">
        <x:v>S</x:v>
      </x:c>
      <x:c r="G223" s="100" t="n">
        <x:v>3</x:v>
      </x:c>
      <x:c r="H223" s="100" t="n">
        <x:v>10</x:v>
      </x:c>
      <x:c r="I223" s="100" t="n">
        <x:v>250</x:v>
      </x:c>
      <x:c r="J223" s="100" t="n">
        <x:v>0.076</x:v>
      </x:c>
      <x:c r="K223" s="100" t="n">
        <x:v>0.094981817329864</x:v>
      </x:c>
      <x:c r="L223" s="100" t="n">
        <x:v>-0.018981817329864</x:v>
      </x:c>
      <x:c r="M223" s="100" t="n">
        <x:v>19</x:v>
      </x:c>
      <x:c r="N223" s="100" t="n">
        <x:v>0.9650478750537934</x:v>
      </x:c>
      <x:c r="O223" s="101" t="b">
        <x:v>1</x:v>
      </x:c>
      <x:c r="P223" t="str">
        <x:v>/Users/jvidale/Documents/Research/FaultScanR/output/20260722_181326_2487/CI_40353552</x:v>
      </x:c>
    </x:row>
    <x:row r="224">
      <x:c r="A224" t="str">
        <x:v>CI_40353552</x:v>
      </x:c>
      <x:c r="B224" s="99" t="str">
        <x:v>00273</x:v>
      </x:c>
      <x:c r="C224" t="str">
        <x:v>T</x:v>
      </x:c>
      <x:c r="D224" t="str">
        <x:v>R</x:v>
      </x:c>
      <x:c r="E224" t="str">
        <x:v>time shift</x:v>
      </x:c>
      <x:c r="F224" t="str">
        <x:v>S</x:v>
      </x:c>
      <x:c r="G224" s="100" t="n">
        <x:v>3</x:v>
      </x:c>
      <x:c r="H224" s="100" t="n">
        <x:v>10</x:v>
      </x:c>
      <x:c r="I224" s="100" t="n">
        <x:v>250</x:v>
      </x:c>
      <x:c r="J224" s="100" t="n">
        <x:v>0.08</x:v>
      </x:c>
      <x:c r="K224" s="100" t="n">
        <x:v>0.1027146432078299</x:v>
      </x:c>
      <x:c r="L224" s="100" t="n">
        <x:v>-0.02271464320782986</x:v>
      </x:c>
      <x:c r="M224" s="100" t="n">
        <x:v>20</x:v>
      </x:c>
      <x:c r="N224" s="100" t="n">
        <x:v>0.9636365835778564</x:v>
      </x:c>
      <x:c r="O224" s="101" t="b">
        <x:v>1</x:v>
      </x:c>
      <x:c r="P224" t="str">
        <x:v>/Users/jvidale/Documents/Research/FaultScanR/output/20260722_181326_2487/CI_40353552</x:v>
      </x:c>
    </x:row>
    <x:row r="225">
      <x:c r="A225" t="str">
        <x:v>CI_40353552</x:v>
      </x:c>
      <x:c r="B225" s="99" t="str">
        <x:v>00274</x:v>
      </x:c>
      <x:c r="C225" t="str">
        <x:v>T</x:v>
      </x:c>
      <x:c r="D225" t="str">
        <x:v>R</x:v>
      </x:c>
      <x:c r="E225" t="str">
        <x:v>time shift</x:v>
      </x:c>
      <x:c r="F225" t="str">
        <x:v>S</x:v>
      </x:c>
      <x:c r="G225" s="100" t="n">
        <x:v>3</x:v>
      </x:c>
      <x:c r="H225" s="100" t="n">
        <x:v>10</x:v>
      </x:c>
      <x:c r="I225" s="100" t="n">
        <x:v>250</x:v>
      </x:c>
      <x:c r="J225" s="100" t="n">
        <x:v>0.088</x:v>
      </x:c>
      <x:c r="K225" s="100" t="n">
        <x:v>0.1093830952984467</x:v>
      </x:c>
      <x:c r="L225" s="100" t="n">
        <x:v>-0.0213830952984467</x:v>
      </x:c>
      <x:c r="M225" s="100" t="n">
        <x:v>22</x:v>
      </x:c>
      <x:c r="N225" s="100" t="n">
        <x:v>0.9454956452433064</x:v>
      </x:c>
      <x:c r="O225" s="101" t="b">
        <x:v>1</x:v>
      </x:c>
      <x:c r="P225" t="str">
        <x:v>/Users/jvidale/Documents/Research/FaultScanR/output/20260722_181326_2487/CI_40353552</x:v>
      </x:c>
    </x:row>
    <x:row r="226">
      <x:c r="A226" t="str">
        <x:v>CI_40353552</x:v>
      </x:c>
      <x:c r="B226" s="99" t="str">
        <x:v>00275</x:v>
      </x:c>
      <x:c r="C226" t="str">
        <x:v>T</x:v>
      </x:c>
      <x:c r="D226" t="str">
        <x:v>R</x:v>
      </x:c>
      <x:c r="E226" t="str">
        <x:v>time shift</x:v>
      </x:c>
      <x:c r="F226" t="str">
        <x:v>S</x:v>
      </x:c>
      <x:c r="G226" s="100" t="n">
        <x:v>3</x:v>
      </x:c>
      <x:c r="H226" s="100" t="n">
        <x:v>10</x:v>
      </x:c>
      <x:c r="I226" s="100" t="n">
        <x:v>250</x:v>
      </x:c>
      <x:c r="J226" s="100" t="n">
        <x:v>0.088</x:v>
      </x:c>
      <x:c r="K226" s="100" t="n">
        <x:v>0.1172708363354991</x:v>
      </x:c>
      <x:c r="L226" s="100" t="n">
        <x:v>-0.02927083633549907</x:v>
      </x:c>
      <x:c r="M226" s="100" t="n">
        <x:v>22</x:v>
      </x:c>
      <x:c r="N226" s="100" t="n">
        <x:v>0.8299992204069582</x:v>
      </x:c>
      <x:c r="O226" s="101" t="b">
        <x:v>1</x:v>
      </x:c>
      <x:c r="P226" t="str">
        <x:v>/Users/jvidale/Documents/Research/FaultScanR/output/20260722_181326_2487/CI_40353552</x:v>
      </x:c>
    </x:row>
    <x:row r="227">
      <x:c r="A227" t="str">
        <x:v>CI_40353552</x:v>
      </x:c>
      <x:c r="B227" s="99" t="str">
        <x:v>00276</x:v>
      </x:c>
      <x:c r="C227" t="str">
        <x:v>T</x:v>
      </x:c>
      <x:c r="D227" t="str">
        <x:v>R</x:v>
      </x:c>
      <x:c r="E227" t="str">
        <x:v>time shift</x:v>
      </x:c>
      <x:c r="F227" t="str">
        <x:v>S</x:v>
      </x:c>
      <x:c r="G227" s="100" t="n">
        <x:v>3</x:v>
      </x:c>
      <x:c r="H227" s="100" t="n">
        <x:v>10</x:v>
      </x:c>
      <x:c r="I227" s="100" t="n">
        <x:v>250</x:v>
      </x:c>
      <x:c r="J227" s="100" t="n">
        <x:v>0.104</x:v>
      </x:c>
      <x:c r="K227" s="100" t="n">
        <x:v>0.1256464997214293</x:v>
      </x:c>
      <x:c r="L227" s="100" t="n">
        <x:v>-0.02164649972142928</x:v>
      </x:c>
      <x:c r="M227" s="100" t="n">
        <x:v>26</x:v>
      </x:c>
      <x:c r="N227" s="100" t="n">
        <x:v>0.9797894068440373</x:v>
      </x:c>
      <x:c r="O227" s="101" t="b">
        <x:v>1</x:v>
      </x:c>
      <x:c r="P227" t="str">
        <x:v>/Users/jvidale/Documents/Research/FaultScanR/output/20260722_181326_2487/CI_40353552</x:v>
      </x:c>
    </x:row>
    <x:row r="228">
      <x:c r="A228" t="str">
        <x:v>CI_40353552</x:v>
      </x:c>
      <x:c r="B228" s="99" t="str">
        <x:v>00277</x:v>
      </x:c>
      <x:c r="C228" t="str">
        <x:v>T</x:v>
      </x:c>
      <x:c r="D228" t="str">
        <x:v>R</x:v>
      </x:c>
      <x:c r="E228" t="str">
        <x:v>time shift</x:v>
      </x:c>
      <x:c r="F228" t="str">
        <x:v>S</x:v>
      </x:c>
      <x:c r="G228" s="100" t="n">
        <x:v>3</x:v>
      </x:c>
      <x:c r="H228" s="100" t="n">
        <x:v>10</x:v>
      </x:c>
      <x:c r="I228" s="100" t="n">
        <x:v>250</x:v>
      </x:c>
      <x:c r="J228" s="100" t="n">
        <x:v>0.112</x:v>
      </x:c>
      <x:c r="K228" s="100" t="n">
        <x:v>0.1350993605254827</x:v>
      </x:c>
      <x:c r="L228" s="100" t="n">
        <x:v>-0.02309936052548266</x:v>
      </x:c>
      <x:c r="M228" s="100" t="n">
        <x:v>28</x:v>
      </x:c>
      <x:c r="N228" s="100" t="n">
        <x:v>0.9341284038021664</x:v>
      </x:c>
      <x:c r="O228" s="101" t="b">
        <x:v>1</x:v>
      </x:c>
      <x:c r="P228" t="str">
        <x:v>/Users/jvidale/Documents/Research/FaultScanR/output/20260722_181326_2487/CI_40353552</x:v>
      </x:c>
    </x:row>
    <x:row r="229">
      <x:c r="A229" t="str">
        <x:v>CI_40353552</x:v>
      </x:c>
      <x:c r="B229" s="99" t="str">
        <x:v>00278</x:v>
      </x:c>
      <x:c r="C229" t="str">
        <x:v>T</x:v>
      </x:c>
      <x:c r="D229" t="str">
        <x:v>R</x:v>
      </x:c>
      <x:c r="E229" t="str">
        <x:v>time shift</x:v>
      </x:c>
      <x:c r="F229" t="str">
        <x:v>S</x:v>
      </x:c>
      <x:c r="G229" s="100" t="n">
        <x:v>3</x:v>
      </x:c>
      <x:c r="H229" s="100" t="n">
        <x:v>10</x:v>
      </x:c>
      <x:c r="I229" s="100" t="n">
        <x:v>250</x:v>
      </x:c>
      <x:c r="J229" s="100" t="n">
        <x:v>0.12</x:v>
      </x:c>
      <x:c r="K229" s="100" t="n">
        <x:v>0.1449361560745093</x:v>
      </x:c>
      <x:c r="L229" s="100" t="n">
        <x:v>-0.02493615607450927</x:v>
      </x:c>
      <x:c r="M229" s="100" t="n">
        <x:v>30</x:v>
      </x:c>
      <x:c r="N229" s="100" t="n">
        <x:v>0.8483143982079702</x:v>
      </x:c>
      <x:c r="O229" s="101" t="b">
        <x:v>1</x:v>
      </x:c>
      <x:c r="P229" t="str">
        <x:v>/Users/jvidale/Documents/Research/FaultScanR/output/20260722_181326_2487/CI_40353552</x:v>
      </x:c>
    </x:row>
    <x:row r="230">
      <x:c r="A230" t="str">
        <x:v>CI_40353552</x:v>
      </x:c>
      <x:c r="B230" s="99" t="str">
        <x:v>00279</x:v>
      </x:c>
      <x:c r="C230" t="str">
        <x:v>T</x:v>
      </x:c>
      <x:c r="D230" t="str">
        <x:v>R</x:v>
      </x:c>
      <x:c r="E230" t="str">
        <x:v>time shift</x:v>
      </x:c>
      <x:c r="F230" t="str">
        <x:v>S</x:v>
      </x:c>
      <x:c r="G230" s="100" t="n">
        <x:v>3</x:v>
      </x:c>
      <x:c r="H230" s="100" t="n">
        <x:v>10</x:v>
      </x:c>
      <x:c r="I230" s="100" t="n">
        <x:v>250</x:v>
      </x:c>
      <x:c r="J230" s="100" t="n">
        <x:v>0.128</x:v>
      </x:c>
      <x:c r="K230" s="100" t="n">
        <x:v>0.1502151791541193</x:v>
      </x:c>
      <x:c r="L230" s="100" t="n">
        <x:v>-0.0222151791541193</x:v>
      </x:c>
      <x:c r="M230" s="100" t="n">
        <x:v>32</x:v>
      </x:c>
      <x:c r="N230" s="100" t="n">
        <x:v>0.9362451377076251</x:v>
      </x:c>
      <x:c r="O230" s="101" t="b">
        <x:v>1</x:v>
      </x:c>
      <x:c r="P230" t="str">
        <x:v>/Users/jvidale/Documents/Research/FaultScanR/output/20260722_181326_2487/CI_40353552</x:v>
      </x:c>
    </x:row>
    <x:row r="231">
      <x:c r="A231" t="str">
        <x:v>CI_40353552</x:v>
      </x:c>
      <x:c r="B231" s="99" t="str">
        <x:v>00281</x:v>
      </x:c>
      <x:c r="C231" t="str">
        <x:v>T</x:v>
      </x:c>
      <x:c r="D231" t="str">
        <x:v>R</x:v>
      </x:c>
      <x:c r="E231" t="str">
        <x:v>time shift</x:v>
      </x:c>
      <x:c r="F231" t="str">
        <x:v>S</x:v>
      </x:c>
      <x:c r="G231" s="100" t="n">
        <x:v>3</x:v>
      </x:c>
      <x:c r="H231" s="100" t="n">
        <x:v>10</x:v>
      </x:c>
      <x:c r="I231" s="100" t="n">
        <x:v>250</x:v>
      </x:c>
      <x:c r="J231" s="100" t="n">
        <x:v>0.152</x:v>
      </x:c>
      <x:c r="K231" s="100" t="n">
        <x:v>0.167340971794296</x:v>
      </x:c>
      <x:c r="L231" s="100" t="n">
        <x:v>-0.01534097179429597</x:v>
      </x:c>
      <x:c r="M231" s="100" t="n">
        <x:v>38</x:v>
      </x:c>
      <x:c r="N231" s="100" t="n">
        <x:v>0.9609590991864775</x:v>
      </x:c>
      <x:c r="O231" s="101" t="b">
        <x:v>1</x:v>
      </x:c>
      <x:c r="P231" t="str">
        <x:v>/Users/jvidale/Documents/Research/FaultScanR/output/20260722_181326_2487/CI_40353552</x:v>
      </x:c>
    </x:row>
    <x:row r="232">
      <x:c r="A232" t="str">
        <x:v>CI_40353552</x:v>
      </x:c>
      <x:c r="B232" s="99" t="str">
        <x:v>00282</x:v>
      </x:c>
      <x:c r="C232" t="str">
        <x:v>T</x:v>
      </x:c>
      <x:c r="D232" t="str">
        <x:v>R</x:v>
      </x:c>
      <x:c r="E232" t="str">
        <x:v>time shift</x:v>
      </x:c>
      <x:c r="F232" t="str">
        <x:v>S</x:v>
      </x:c>
      <x:c r="G232" s="100" t="n">
        <x:v>3</x:v>
      </x:c>
      <x:c r="H232" s="100" t="n">
        <x:v>10</x:v>
      </x:c>
      <x:c r="I232" s="100" t="n">
        <x:v>250</x:v>
      </x:c>
      <x:c r="J232" s="100" t="n">
        <x:v>0.156</x:v>
      </x:c>
      <x:c r="K232" s="100" t="n">
        <x:v>0.1786510706127622</x:v>
      </x:c>
      <x:c r="L232" s="100" t="n">
        <x:v>-0.0226510706127622</x:v>
      </x:c>
      <x:c r="M232" s="100" t="n">
        <x:v>39</x:v>
      </x:c>
      <x:c r="N232" s="100" t="n">
        <x:v>0.9542959661423864</x:v>
      </x:c>
      <x:c r="O232" s="101" t="b">
        <x:v>1</x:v>
      </x:c>
      <x:c r="P232" t="str">
        <x:v>/Users/jvidale/Documents/Research/FaultScanR/output/20260722_181326_2487/CI_40353552</x:v>
      </x:c>
    </x:row>
    <x:row r="233">
      <x:c r="A233" t="str">
        <x:v>CI_40353552</x:v>
      </x:c>
      <x:c r="B233" s="99" t="str">
        <x:v>00283</x:v>
      </x:c>
      <x:c r="C233" t="str">
        <x:v>T</x:v>
      </x:c>
      <x:c r="D233" t="str">
        <x:v>R</x:v>
      </x:c>
      <x:c r="E233" t="str">
        <x:v>time shift</x:v>
      </x:c>
      <x:c r="F233" t="str">
        <x:v>S</x:v>
      </x:c>
      <x:c r="G233" s="100" t="n">
        <x:v>3</x:v>
      </x:c>
      <x:c r="H233" s="100" t="n">
        <x:v>10</x:v>
      </x:c>
      <x:c r="I233" s="100" t="n">
        <x:v>250</x:v>
      </x:c>
      <x:c r="J233" s="100" t="n">
        <x:v>0.164</x:v>
      </x:c>
      <x:c r="K233" s="100" t="n">
        <x:v>0.1853741188452043</x:v>
      </x:c>
      <x:c r="L233" s="100" t="n">
        <x:v>-0.02137411884520427</x:v>
      </x:c>
      <x:c r="M233" s="100" t="n">
        <x:v>41</x:v>
      </x:c>
      <x:c r="N233" s="100" t="n">
        <x:v>0.9718193007334582</x:v>
      </x:c>
      <x:c r="O233" s="101" t="b">
        <x:v>1</x:v>
      </x:c>
      <x:c r="P233" t="str">
        <x:v>/Users/jvidale/Documents/Research/FaultScanR/output/20260722_181326_2487/CI_40353552</x:v>
      </x:c>
    </x:row>
    <x:row r="234">
      <x:c r="A234" t="str">
        <x:v>CI_40353552</x:v>
      </x:c>
      <x:c r="B234" s="99" t="str">
        <x:v>00284</x:v>
      </x:c>
      <x:c r="C234" t="str">
        <x:v>T</x:v>
      </x:c>
      <x:c r="D234" t="str">
        <x:v>R</x:v>
      </x:c>
      <x:c r="E234" t="str">
        <x:v>time shift</x:v>
      </x:c>
      <x:c r="F234" t="str">
        <x:v>S</x:v>
      </x:c>
      <x:c r="G234" s="100" t="n">
        <x:v>3</x:v>
      </x:c>
      <x:c r="H234" s="100" t="n">
        <x:v>10</x:v>
      </x:c>
      <x:c r="I234" s="100" t="n">
        <x:v>250</x:v>
      </x:c>
      <x:c r="J234" s="100" t="n">
        <x:v>0.172</x:v>
      </x:c>
      <x:c r="K234" s="100" t="n">
        <x:v>0.1964997901143688</x:v>
      </x:c>
      <x:c r="L234" s="100" t="n">
        <x:v>-0.02449979011436881</x:v>
      </x:c>
      <x:c r="M234" s="100" t="n">
        <x:v>43</x:v>
      </x:c>
      <x:c r="N234" s="100" t="n">
        <x:v>0.980930842154493</x:v>
      </x:c>
      <x:c r="O234" s="101" t="b">
        <x:v>1</x:v>
      </x:c>
      <x:c r="P234" t="str">
        <x:v>/Users/jvidale/Documents/Research/FaultScanR/output/20260722_181326_2487/CI_40353552</x:v>
      </x:c>
    </x:row>
    <x:row r="235">
      <x:c r="A235" t="str">
        <x:v>CI_40353552</x:v>
      </x:c>
      <x:c r="B235" s="99" t="str">
        <x:v>00285</x:v>
      </x:c>
      <x:c r="C235" t="str">
        <x:v>T</x:v>
      </x:c>
      <x:c r="D235" t="str">
        <x:v>R</x:v>
      </x:c>
      <x:c r="E235" t="str">
        <x:v>time shift</x:v>
      </x:c>
      <x:c r="F235" t="str">
        <x:v>S</x:v>
      </x:c>
      <x:c r="G235" s="100" t="n">
        <x:v>3</x:v>
      </x:c>
      <x:c r="H235" s="100" t="n">
        <x:v>10</x:v>
      </x:c>
      <x:c r="I235" s="100" t="n">
        <x:v>250</x:v>
      </x:c>
      <x:c r="J235" s="100" t="n">
        <x:v>0.172</x:v>
      </x:c>
      <x:c r="K235" s="100" t="n">
        <x:v>0.2054618818768903</x:v>
      </x:c>
      <x:c r="L235" s="100" t="n">
        <x:v>-0.03346188187689031</x:v>
      </x:c>
      <x:c r="M235" s="100" t="n">
        <x:v>43</x:v>
      </x:c>
      <x:c r="N235" s="100" t="n">
        <x:v>0.9941488068399654</x:v>
      </x:c>
      <x:c r="O235" s="101" t="b">
        <x:v>1</x:v>
      </x:c>
      <x:c r="P235" t="str">
        <x:v>/Users/jvidale/Documents/Research/FaultScanR/output/20260722_181326_2487/CI_40353552</x:v>
      </x:c>
    </x:row>
    <x:row r="236">
      <x:c r="A236" t="str">
        <x:v>CI_40353552</x:v>
      </x:c>
      <x:c r="B236" s="99" t="str">
        <x:v>00286</x:v>
      </x:c>
      <x:c r="C236" t="str">
        <x:v>T</x:v>
      </x:c>
      <x:c r="D236" t="str">
        <x:v>R</x:v>
      </x:c>
      <x:c r="E236" t="str">
        <x:v>time shift</x:v>
      </x:c>
      <x:c r="F236" t="str">
        <x:v>S</x:v>
      </x:c>
      <x:c r="G236" s="100" t="n">
        <x:v>3</x:v>
      </x:c>
      <x:c r="H236" s="100" t="n">
        <x:v>10</x:v>
      </x:c>
      <x:c r="I236" s="100" t="n">
        <x:v>250</x:v>
      </x:c>
      <x:c r="J236" s="100" t="n">
        <x:v>0.084</x:v>
      </x:c>
      <x:c r="K236" s="100" t="n">
        <x:v>0.1035394256037065</x:v>
      </x:c>
      <x:c r="L236" s="100" t="n">
        <x:v>-0.01953942560370654</x:v>
      </x:c>
      <x:c r="M236" s="100" t="n">
        <x:v>21</x:v>
      </x:c>
      <x:c r="N236" s="100" t="n">
        <x:v>0.9843518829293558</x:v>
      </x:c>
      <x:c r="O236" s="101" t="b">
        <x:v>1</x:v>
      </x:c>
      <x:c r="P236" t="str">
        <x:v>/Users/jvidale/Documents/Research/FaultScanR/output/20260722_181326_2487/CI_40353552</x:v>
      </x:c>
    </x:row>
    <x:row r="237">
      <x:c r="A237" t="str">
        <x:v>CI_40353552</x:v>
      </x:c>
      <x:c r="B237" s="99" t="str">
        <x:v>00287</x:v>
      </x:c>
      <x:c r="C237" t="str">
        <x:v>T</x:v>
      </x:c>
      <x:c r="D237" t="str">
        <x:v>R</x:v>
      </x:c>
      <x:c r="E237" t="str">
        <x:v>time shift</x:v>
      </x:c>
      <x:c r="F237" t="str">
        <x:v>S</x:v>
      </x:c>
      <x:c r="G237" s="100" t="n">
        <x:v>3</x:v>
      </x:c>
      <x:c r="H237" s="100" t="n">
        <x:v>10</x:v>
      </x:c>
      <x:c r="I237" s="100" t="n">
        <x:v>250</x:v>
      </x:c>
      <x:c r="J237" s="100" t="n">
        <x:v>0.092</x:v>
      </x:c>
      <x:c r="K237" s="100" t="n">
        <x:v>0.1086551626098187</x:v>
      </x:c>
      <x:c r="L237" s="100" t="n">
        <x:v>-0.01665516260981867</x:v>
      </x:c>
      <x:c r="M237" s="100" t="n">
        <x:v>23</x:v>
      </x:c>
      <x:c r="N237" s="100" t="n">
        <x:v>0.9578619022576617</x:v>
      </x:c>
      <x:c r="O237" s="101" t="b">
        <x:v>1</x:v>
      </x:c>
      <x:c r="P237" t="str">
        <x:v>/Users/jvidale/Documents/Research/FaultScanR/output/20260722_181326_2487/CI_40353552</x:v>
      </x:c>
    </x:row>
    <x:row r="238">
      <x:c r="A238" t="str">
        <x:v>CI_40353552</x:v>
      </x:c>
      <x:c r="B238" s="99" t="str">
        <x:v>00288</x:v>
      </x:c>
      <x:c r="C238" t="str">
        <x:v>T</x:v>
      </x:c>
      <x:c r="D238" t="str">
        <x:v>R</x:v>
      </x:c>
      <x:c r="E238" t="str">
        <x:v>time shift</x:v>
      </x:c>
      <x:c r="F238" t="str">
        <x:v>S</x:v>
      </x:c>
      <x:c r="G238" s="100" t="n">
        <x:v>3</x:v>
      </x:c>
      <x:c r="H238" s="100" t="n">
        <x:v>10</x:v>
      </x:c>
      <x:c r="I238" s="100" t="n">
        <x:v>250</x:v>
      </x:c>
      <x:c r="J238" s="100" t="n">
        <x:v>0.088</x:v>
      </x:c>
      <x:c r="K238" s="100" t="n">
        <x:v>0.1155386165796806</x:v>
      </x:c>
      <x:c r="L238" s="100" t="n">
        <x:v>-0.02753861657968057</x:v>
      </x:c>
      <x:c r="M238" s="100" t="n">
        <x:v>22</x:v>
      </x:c>
      <x:c r="N238" s="100" t="n">
        <x:v>0.9316241847956875</x:v>
      </x:c>
      <x:c r="O238" s="101" t="b">
        <x:v>1</x:v>
      </x:c>
      <x:c r="P238" t="str">
        <x:v>/Users/jvidale/Documents/Research/FaultScanR/output/20260722_181326_2487/CI_40353552</x:v>
      </x:c>
    </x:row>
    <x:row r="239">
      <x:c r="A239" t="str">
        <x:v>CI_40353552</x:v>
      </x:c>
      <x:c r="B239" s="99" t="str">
        <x:v>00289</x:v>
      </x:c>
      <x:c r="C239" t="str">
        <x:v>T</x:v>
      </x:c>
      <x:c r="D239" t="str">
        <x:v>R</x:v>
      </x:c>
      <x:c r="E239" t="str">
        <x:v>time shift</x:v>
      </x:c>
      <x:c r="F239" t="str">
        <x:v>S</x:v>
      </x:c>
      <x:c r="G239" s="100" t="n">
        <x:v>3</x:v>
      </x:c>
      <x:c r="H239" s="100" t="n">
        <x:v>10</x:v>
      </x:c>
      <x:c r="I239" s="100" t="n">
        <x:v>250</x:v>
      </x:c>
      <x:c r="J239" s="100" t="n">
        <x:v>0.096</x:v>
      </x:c>
      <x:c r="K239" s="100" t="n">
        <x:v>0.1258556313150301</x:v>
      </x:c>
      <x:c r="L239" s="100" t="n">
        <x:v>-0.02985563131503008</x:v>
      </x:c>
      <x:c r="M239" s="100" t="n">
        <x:v>24</x:v>
      </x:c>
      <x:c r="N239" s="100" t="n">
        <x:v>0.9213596889197836</x:v>
      </x:c>
      <x:c r="O239" s="101" t="b">
        <x:v>1</x:v>
      </x:c>
      <x:c r="P239" t="str">
        <x:v>/Users/jvidale/Documents/Research/FaultScanR/output/20260722_181326_2487/CI_40353552</x:v>
      </x:c>
    </x:row>
    <x:row r="240">
      <x:c r="A240" t="str">
        <x:v>CI_40353552</x:v>
      </x:c>
      <x:c r="B240" s="99" t="str">
        <x:v>00290</x:v>
      </x:c>
      <x:c r="C240" t="str">
        <x:v>T</x:v>
      </x:c>
      <x:c r="D240" t="str">
        <x:v>R</x:v>
      </x:c>
      <x:c r="E240" t="str">
        <x:v>time shift</x:v>
      </x:c>
      <x:c r="F240" t="str">
        <x:v>S</x:v>
      </x:c>
      <x:c r="G240" s="100" t="n">
        <x:v>3</x:v>
      </x:c>
      <x:c r="H240" s="100" t="n">
        <x:v>10</x:v>
      </x:c>
      <x:c r="I240" s="100" t="n">
        <x:v>250</x:v>
      </x:c>
      <x:c r="J240" s="100" t="n">
        <x:v>0.108</x:v>
      </x:c>
      <x:c r="K240" s="100" t="n">
        <x:v>0.1326855625541157</x:v>
      </x:c>
      <x:c r="L240" s="100" t="n">
        <x:v>-0.02468556255411568</x:v>
      </x:c>
      <x:c r="M240" s="100" t="n">
        <x:v>27</x:v>
      </x:c>
      <x:c r="N240" s="100" t="n">
        <x:v>0.953186961609631</x:v>
      </x:c>
      <x:c r="O240" s="101" t="b">
        <x:v>1</x:v>
      </x:c>
      <x:c r="P240" t="str">
        <x:v>/Users/jvidale/Documents/Research/FaultScanR/output/20260722_181326_2487/CI_40353552</x:v>
      </x:c>
    </x:row>
    <x:row r="241">
      <x:c r="A241" t="str">
        <x:v>CI_40353552</x:v>
      </x:c>
      <x:c r="B241" s="99" t="str">
        <x:v>00291</x:v>
      </x:c>
      <x:c r="C241" t="str">
        <x:v>T</x:v>
      </x:c>
      <x:c r="D241" t="str">
        <x:v>R</x:v>
      </x:c>
      <x:c r="E241" t="str">
        <x:v>time shift</x:v>
      </x:c>
      <x:c r="F241" t="str">
        <x:v>S</x:v>
      </x:c>
      <x:c r="G241" s="100" t="n">
        <x:v>3</x:v>
      </x:c>
      <x:c r="H241" s="100" t="n">
        <x:v>10</x:v>
      </x:c>
      <x:c r="I241" s="100" t="n">
        <x:v>250</x:v>
      </x:c>
      <x:c r="J241" s="100" t="n">
        <x:v>0.116</x:v>
      </x:c>
      <x:c r="K241" s="100" t="n">
        <x:v>0.1415107363999422</x:v>
      </x:c>
      <x:c r="L241" s="100" t="n">
        <x:v>-0.02551073639994215</x:v>
      </x:c>
      <x:c r="M241" s="100" t="n">
        <x:v>29</x:v>
      </x:c>
      <x:c r="N241" s="100" t="n">
        <x:v>0.9660177171984944</x:v>
      </x:c>
      <x:c r="O241" s="101" t="b">
        <x:v>1</x:v>
      </x:c>
      <x:c r="P241" t="str">
        <x:v>/Users/jvidale/Documents/Research/FaultScanR/output/20260722_181326_2487/CI_40353552</x:v>
      </x:c>
    </x:row>
    <x:row r="242">
      <x:c r="A242" t="str">
        <x:v>CI_40353552</x:v>
      </x:c>
      <x:c r="B242" s="99" t="str">
        <x:v>00292</x:v>
      </x:c>
      <x:c r="C242" t="str">
        <x:v>T</x:v>
      </x:c>
      <x:c r="D242" t="str">
        <x:v>R</x:v>
      </x:c>
      <x:c r="E242" t="str">
        <x:v>time shift</x:v>
      </x:c>
      <x:c r="F242" t="str">
        <x:v>S</x:v>
      </x:c>
      <x:c r="G242" s="100" t="n">
        <x:v>3</x:v>
      </x:c>
      <x:c r="H242" s="100" t="n">
        <x:v>10</x:v>
      </x:c>
      <x:c r="I242" s="100" t="n">
        <x:v>250</x:v>
      </x:c>
      <x:c r="J242" s="100" t="n">
        <x:v>0.12</x:v>
      </x:c>
      <x:c r="K242" s="100" t="n">
        <x:v>0.1479981690429097</x:v>
      </x:c>
      <x:c r="L242" s="100" t="n">
        <x:v>-0.02799816904290975</x:v>
      </x:c>
      <x:c r="M242" s="100" t="n">
        <x:v>30</x:v>
      </x:c>
      <x:c r="N242" s="100" t="n">
        <x:v>0.9777078756197286</x:v>
      </x:c>
      <x:c r="O242" s="101" t="b">
        <x:v>1</x:v>
      </x:c>
      <x:c r="P242" t="str">
        <x:v>/Users/jvidale/Documents/Research/FaultScanR/output/20260722_181326_2487/CI_40353552</x:v>
      </x:c>
    </x:row>
    <x:row r="243">
      <x:c r="A243" t="str">
        <x:v>CI_40353552</x:v>
      </x:c>
      <x:c r="B243" s="99" t="str">
        <x:v>00293</x:v>
      </x:c>
      <x:c r="C243" t="str">
        <x:v>T</x:v>
      </x:c>
      <x:c r="D243" t="str">
        <x:v>R</x:v>
      </x:c>
      <x:c r="E243" t="str">
        <x:v>time shift</x:v>
      </x:c>
      <x:c r="F243" t="str">
        <x:v>S</x:v>
      </x:c>
      <x:c r="G243" s="100" t="n">
        <x:v>3</x:v>
      </x:c>
      <x:c r="H243" s="100" t="n">
        <x:v>10</x:v>
      </x:c>
      <x:c r="I243" s="100" t="n">
        <x:v>250</x:v>
      </x:c>
      <x:c r="J243" s="100" t="n">
        <x:v>0.128</x:v>
      </x:c>
      <x:c r="K243" s="100" t="n">
        <x:v>0.1576057366504724</x:v>
      </x:c>
      <x:c r="L243" s="100" t="n">
        <x:v>-0.02960573665047239</x:v>
      </x:c>
      <x:c r="M243" s="100" t="n">
        <x:v>32</x:v>
      </x:c>
      <x:c r="N243" s="100" t="n">
        <x:v>0.9252998126822289</x:v>
      </x:c>
      <x:c r="O243" s="101" t="b">
        <x:v>1</x:v>
      </x:c>
      <x:c r="P243" t="str">
        <x:v>/Users/jvidale/Documents/Research/FaultScanR/output/20260722_181326_2487/CI_40353552</x:v>
      </x:c>
    </x:row>
    <x:row r="244">
      <x:c r="A244" t="str">
        <x:v>CI_40353552</x:v>
      </x:c>
      <x:c r="B244" s="99" t="str">
        <x:v>00294</x:v>
      </x:c>
      <x:c r="C244" t="str">
        <x:v>T</x:v>
      </x:c>
      <x:c r="D244" t="str">
        <x:v>R</x:v>
      </x:c>
      <x:c r="E244" t="str">
        <x:v>time shift</x:v>
      </x:c>
      <x:c r="F244" t="str">
        <x:v>S</x:v>
      </x:c>
      <x:c r="G244" s="100" t="n">
        <x:v>3</x:v>
      </x:c>
      <x:c r="H244" s="100" t="n">
        <x:v>10</x:v>
      </x:c>
      <x:c r="I244" s="100" t="n">
        <x:v>250</x:v>
      </x:c>
      <x:c r="J244" s="100" t="n">
        <x:v>0.148</x:v>
      </x:c>
      <x:c r="K244" s="100" t="n">
        <x:v>0.165491062365561</x:v>
      </x:c>
      <x:c r="L244" s="100" t="n">
        <x:v>-0.017491062365561</x:v>
      </x:c>
      <x:c r="M244" s="100" t="n">
        <x:v>37</x:v>
      </x:c>
      <x:c r="N244" s="100" t="n">
        <x:v>0.9364313964327011</x:v>
      </x:c>
      <x:c r="O244" s="101" t="b">
        <x:v>1</x:v>
      </x:c>
      <x:c r="P244" t="str">
        <x:v>/Users/jvidale/Documents/Research/FaultScanR/output/20260722_181326_2487/CI_40353552</x:v>
      </x:c>
    </x:row>
    <x:row r="245">
      <x:c r="A245" t="str">
        <x:v>CI_40353552</x:v>
      </x:c>
      <x:c r="B245" s="99" t="str">
        <x:v>00295</x:v>
      </x:c>
      <x:c r="C245" t="str">
        <x:v>T</x:v>
      </x:c>
      <x:c r="D245" t="str">
        <x:v>R</x:v>
      </x:c>
      <x:c r="E245" t="str">
        <x:v>time shift</x:v>
      </x:c>
      <x:c r="F245" t="str">
        <x:v>S</x:v>
      </x:c>
      <x:c r="G245" s="100" t="n">
        <x:v>3</x:v>
      </x:c>
      <x:c r="H245" s="100" t="n">
        <x:v>10</x:v>
      </x:c>
      <x:c r="I245" s="100" t="n">
        <x:v>250</x:v>
      </x:c>
      <x:c r="J245" s="100" t="n">
        <x:v>0.168</x:v>
      </x:c>
      <x:c r="K245" s="100" t="n">
        <x:v>0.1759933038776849</x:v>
      </x:c>
      <x:c r="L245" s="100" t="n">
        <x:v>-0.007993303877684849</x:v>
      </x:c>
      <x:c r="M245" s="100" t="n">
        <x:v>42</x:v>
      </x:c>
      <x:c r="N245" s="100" t="n">
        <x:v>0.9800457870307323</x:v>
      </x:c>
      <x:c r="O245" s="101" t="b">
        <x:v>1</x:v>
      </x:c>
      <x:c r="P245" t="str">
        <x:v>/Users/jvidale/Documents/Research/FaultScanR/output/20260722_181326_2487/CI_40353552</x:v>
      </x:c>
    </x:row>
    <x:row r="246">
      <x:c r="A246" t="str">
        <x:v>CI_40353552</x:v>
      </x:c>
      <x:c r="B246" s="99" t="str">
        <x:v>00297</x:v>
      </x:c>
      <x:c r="C246" t="str">
        <x:v>T</x:v>
      </x:c>
      <x:c r="D246" t="str">
        <x:v>R</x:v>
      </x:c>
      <x:c r="E246" t="str">
        <x:v>time shift</x:v>
      </x:c>
      <x:c r="F246" t="str">
        <x:v>S</x:v>
      </x:c>
      <x:c r="G246" s="100" t="n">
        <x:v>3</x:v>
      </x:c>
      <x:c r="H246" s="100" t="n">
        <x:v>10</x:v>
      </x:c>
      <x:c r="I246" s="100" t="n">
        <x:v>250</x:v>
      </x:c>
      <x:c r="J246" s="100" t="n">
        <x:v>0.176</x:v>
      </x:c>
      <x:c r="K246" s="100" t="n">
        <x:v>0.1931365414110031</x:v>
      </x:c>
      <x:c r="L246" s="100" t="n">
        <x:v>-0.01713654141100313</x:v>
      </x:c>
      <x:c r="M246" s="100" t="n">
        <x:v>44</x:v>
      </x:c>
      <x:c r="N246" s="100" t="n">
        <x:v>0.9885105283730765</x:v>
      </x:c>
      <x:c r="O246" s="101" t="b">
        <x:v>1</x:v>
      </x:c>
      <x:c r="P246" t="str">
        <x:v>/Users/jvidale/Documents/Research/FaultScanR/output/20260722_181326_2487/CI_40353552</x:v>
      </x:c>
    </x:row>
    <x:row r="247">
      <x:c r="A247" t="str">
        <x:v>CI_40353552</x:v>
      </x:c>
      <x:c r="B247" s="99" t="str">
        <x:v>00298</x:v>
      </x:c>
      <x:c r="C247" t="str">
        <x:v>T</x:v>
      </x:c>
      <x:c r="D247" t="str">
        <x:v>R</x:v>
      </x:c>
      <x:c r="E247" t="str">
        <x:v>time shift</x:v>
      </x:c>
      <x:c r="F247" t="str">
        <x:v>S</x:v>
      </x:c>
      <x:c r="G247" s="100" t="n">
        <x:v>3</x:v>
      </x:c>
      <x:c r="H247" s="100" t="n">
        <x:v>10</x:v>
      </x:c>
      <x:c r="I247" s="100" t="n">
        <x:v>250</x:v>
      </x:c>
      <x:c r="J247" s="100" t="n">
        <x:v>0.176</x:v>
      </x:c>
      <x:c r="K247" s="100" t="n">
        <x:v>0.1987389462890441</x:v>
      </x:c>
      <x:c r="L247" s="100" t="n">
        <x:v>-0.0227389462890441</x:v>
      </x:c>
      <x:c r="M247" s="100" t="n">
        <x:v>44</x:v>
      </x:c>
      <x:c r="N247" s="100" t="n">
        <x:v>0.9383086911012151</x:v>
      </x:c>
      <x:c r="O247" s="101" t="b">
        <x:v>1</x:v>
      </x:c>
      <x:c r="P247" t="str">
        <x:v>/Users/jvidale/Documents/Research/FaultScanR/output/20260722_181326_2487/CI_40353552</x:v>
      </x:c>
    </x:row>
    <x:row r="248">
      <x:c r="A248" t="str">
        <x:v>CI_40353552</x:v>
      </x:c>
      <x:c r="B248" s="99" t="str">
        <x:v>00299</x:v>
      </x:c>
      <x:c r="C248" t="str">
        <x:v>T</x:v>
      </x:c>
      <x:c r="D248" t="str">
        <x:v>R</x:v>
      </x:c>
      <x:c r="E248" t="str">
        <x:v>time shift</x:v>
      </x:c>
      <x:c r="F248" t="str">
        <x:v>S</x:v>
      </x:c>
      <x:c r="G248" s="100" t="n">
        <x:v>3</x:v>
      </x:c>
      <x:c r="H248" s="100" t="n">
        <x:v>10</x:v>
      </x:c>
      <x:c r="I248" s="100" t="n">
        <x:v>250</x:v>
      </x:c>
      <x:c r="J248" s="100" t="n">
        <x:v>0.188</x:v>
      </x:c>
      <x:c r="K248" s="100" t="n">
        <x:v>0.2103511122896862</x:v>
      </x:c>
      <x:c r="L248" s="100" t="n">
        <x:v>-0.02235111228968617</x:v>
      </x:c>
      <x:c r="M248" s="100" t="n">
        <x:v>47</x:v>
      </x:c>
      <x:c r="N248" s="100" t="n">
        <x:v>0.9825613947601076</x:v>
      </x:c>
      <x:c r="O248" s="101" t="b">
        <x:v>1</x:v>
      </x:c>
      <x:c r="P248" t="str">
        <x:v>/Users/jvidale/Documents/Research/FaultScanR/output/20260722_181326_2487/CI_40353552</x:v>
      </x:c>
    </x:row>
    <x:row r="249">
      <x:c r="A249" t="str">
        <x:v>CI_40353552</x:v>
      </x:c>
      <x:c r="B249" s="99" t="str">
        <x:v>00300</x:v>
      </x:c>
      <x:c r="C249" t="str">
        <x:v>T</x:v>
      </x:c>
      <x:c r="D249" t="str">
        <x:v>R</x:v>
      </x:c>
      <x:c r="E249" t="str">
        <x:v>time shift</x:v>
      </x:c>
      <x:c r="F249" t="str">
        <x:v>S</x:v>
      </x:c>
      <x:c r="G249" s="100" t="n">
        <x:v>3</x:v>
      </x:c>
      <x:c r="H249" s="100" t="n">
        <x:v>10</x:v>
      </x:c>
      <x:c r="I249" s="100" t="n">
        <x:v>250</x:v>
      </x:c>
      <x:c r="J249" s="100" t="n">
        <x:v>0.192</x:v>
      </x:c>
      <x:c r="K249" s="100" t="n">
        <x:v>0.2185384941603212</x:v>
      </x:c>
      <x:c r="L249" s="100" t="n">
        <x:v>-0.02653849416032122</x:v>
      </x:c>
      <x:c r="M249" s="100" t="n">
        <x:v>48</x:v>
      </x:c>
      <x:c r="N249" s="100" t="n">
        <x:v>0.9816559746732745</x:v>
      </x:c>
      <x:c r="O249" s="101" t="b">
        <x:v>1</x:v>
      </x:c>
      <x:c r="P249" t="str">
        <x:v>/Users/jvidale/Documents/Research/FaultScanR/output/20260722_181326_2487/CI_40353552</x:v>
      </x:c>
    </x:row>
    <x:row r="250">
      <x:c r="A250" t="str">
        <x:v>CI_40353552</x:v>
      </x:c>
      <x:c r="B250" s="99" t="str">
        <x:v>00301</x:v>
      </x:c>
      <x:c r="C250" t="str">
        <x:v>T</x:v>
      </x:c>
      <x:c r="D250" t="str">
        <x:v>R</x:v>
      </x:c>
      <x:c r="E250" t="str">
        <x:v>time shift</x:v>
      </x:c>
      <x:c r="F250" t="str">
        <x:v>S</x:v>
      </x:c>
      <x:c r="G250" s="100" t="n">
        <x:v>3</x:v>
      </x:c>
      <x:c r="H250" s="100" t="n">
        <x:v>10</x:v>
      </x:c>
      <x:c r="I250" s="100" t="n">
        <x:v>250</x:v>
      </x:c>
      <x:c r="J250" s="100" t="n">
        <x:v>0.196</x:v>
      </x:c>
      <x:c r="K250" s="100" t="n">
        <x:v>0.2257409342570886</x:v>
      </x:c>
      <x:c r="L250" s="100" t="n">
        <x:v>-0.02974093425708862</x:v>
      </x:c>
      <x:c r="M250" s="100" t="n">
        <x:v>49</x:v>
      </x:c>
      <x:c r="N250" s="100" t="n">
        <x:v>0.986052212834107</x:v>
      </x:c>
      <x:c r="O250" s="101" t="b">
        <x:v>1</x:v>
      </x:c>
      <x:c r="P250" t="str">
        <x:v>/Users/jvidale/Documents/Research/FaultScanR/output/20260722_181326_2487/CI_40353552</x:v>
      </x:c>
    </x:row>
    <x:row r="251">
      <x:c r="A251" t="str">
        <x:v>CI_40353552</x:v>
      </x:c>
      <x:c r="B251" s="99" t="str">
        <x:v>00302</x:v>
      </x:c>
      <x:c r="C251" t="str">
        <x:v>T</x:v>
      </x:c>
      <x:c r="D251" t="str">
        <x:v>R</x:v>
      </x:c>
      <x:c r="E251" t="str">
        <x:v>time shift</x:v>
      </x:c>
      <x:c r="F251" t="str">
        <x:v>S</x:v>
      </x:c>
      <x:c r="G251" s="100" t="n">
        <x:v>3</x:v>
      </x:c>
      <x:c r="H251" s="100" t="n">
        <x:v>10</x:v>
      </x:c>
      <x:c r="I251" s="100" t="n">
        <x:v>250</x:v>
      </x:c>
      <x:c r="J251" s="100" t="n">
        <x:v>0.108</x:v>
      </x:c>
      <x:c r="K251" s="100" t="n">
        <x:v>0.1244417388069721</x:v>
      </x:c>
      <x:c r="L251" s="100" t="n">
        <x:v>-0.01644173880697207</x:v>
      </x:c>
      <x:c r="M251" s="100" t="n">
        <x:v>27</x:v>
      </x:c>
      <x:c r="N251" s="100" t="n">
        <x:v>0.9737779050727049</x:v>
      </x:c>
      <x:c r="O251" s="101" t="b">
        <x:v>1</x:v>
      </x:c>
      <x:c r="P251" t="str">
        <x:v>/Users/jvidale/Documents/Research/FaultScanR/output/20260722_181326_2487/CI_40353552</x:v>
      </x:c>
    </x:row>
    <x:row r="252">
      <x:c r="A252" t="str">
        <x:v>CI_40353552</x:v>
      </x:c>
      <x:c r="B252" s="99" t="str">
        <x:v>00304</x:v>
      </x:c>
      <x:c r="C252" t="str">
        <x:v>T</x:v>
      </x:c>
      <x:c r="D252" t="str">
        <x:v>R</x:v>
      </x:c>
      <x:c r="E252" t="str">
        <x:v>time shift</x:v>
      </x:c>
      <x:c r="F252" t="str">
        <x:v>S</x:v>
      </x:c>
      <x:c r="G252" s="100" t="n">
        <x:v>3</x:v>
      </x:c>
      <x:c r="H252" s="100" t="n">
        <x:v>10</x:v>
      </x:c>
      <x:c r="I252" s="100" t="n">
        <x:v>250</x:v>
      </x:c>
      <x:c r="J252" s="100" t="n">
        <x:v>0.108</x:v>
      </x:c>
      <x:c r="K252" s="100" t="n">
        <x:v>0.1407428920537477</x:v>
      </x:c>
      <x:c r="L252" s="100" t="n">
        <x:v>-0.03274289205374768</x:v>
      </x:c>
      <x:c r="M252" s="100" t="n">
        <x:v>27</x:v>
      </x:c>
      <x:c r="N252" s="100" t="n">
        <x:v>0.9542464234201901</x:v>
      </x:c>
      <x:c r="O252" s="101" t="b">
        <x:v>1</x:v>
      </x:c>
      <x:c r="P252" t="str">
        <x:v>/Users/jvidale/Documents/Research/FaultScanR/output/20260722_181326_2487/CI_40353552</x:v>
      </x:c>
    </x:row>
    <x:row r="253">
      <x:c r="A253" t="str">
        <x:v>CI_40353552</x:v>
      </x:c>
      <x:c r="B253" s="99" t="str">
        <x:v>00305</x:v>
      </x:c>
      <x:c r="C253" t="str">
        <x:v>T</x:v>
      </x:c>
      <x:c r="D253" t="str">
        <x:v>R</x:v>
      </x:c>
      <x:c r="E253" t="str">
        <x:v>time shift</x:v>
      </x:c>
      <x:c r="F253" t="str">
        <x:v>S</x:v>
      </x:c>
      <x:c r="G253" s="100" t="n">
        <x:v>3</x:v>
      </x:c>
      <x:c r="H253" s="100" t="n">
        <x:v>10</x:v>
      </x:c>
      <x:c r="I253" s="100" t="n">
        <x:v>250</x:v>
      </x:c>
      <x:c r="J253" s="100" t="n">
        <x:v>0.116</x:v>
      </x:c>
      <x:c r="K253" s="100" t="n">
        <x:v>0.1484134785440707</x:v>
      </x:c>
      <x:c r="L253" s="100" t="n">
        <x:v>-0.03241347854407071</x:v>
      </x:c>
      <x:c r="M253" s="100" t="n">
        <x:v>29</x:v>
      </x:c>
      <x:c r="N253" s="100" t="n">
        <x:v>0.9173774778990016</x:v>
      </x:c>
      <x:c r="O253" s="101" t="b">
        <x:v>1</x:v>
      </x:c>
      <x:c r="P253" t="str">
        <x:v>/Users/jvidale/Documents/Research/FaultScanR/output/20260722_181326_2487/CI_40353552</x:v>
      </x:c>
    </x:row>
    <x:row r="254">
      <x:c r="A254" t="str">
        <x:v>CI_40353552</x:v>
      </x:c>
      <x:c r="B254" s="99" t="str">
        <x:v>00306</x:v>
      </x:c>
      <x:c r="C254" t="str">
        <x:v>T</x:v>
      </x:c>
      <x:c r="D254" t="str">
        <x:v>R</x:v>
      </x:c>
      <x:c r="E254" t="str">
        <x:v>time shift</x:v>
      </x:c>
      <x:c r="F254" t="str">
        <x:v>S</x:v>
      </x:c>
      <x:c r="G254" s="100" t="n">
        <x:v>3</x:v>
      </x:c>
      <x:c r="H254" s="100" t="n">
        <x:v>10</x:v>
      </x:c>
      <x:c r="I254" s="100" t="n">
        <x:v>250</x:v>
      </x:c>
      <x:c r="J254" s="100" t="n">
        <x:v>0.124</x:v>
      </x:c>
      <x:c r="K254" s="100" t="n">
        <x:v>0.1555519647502752</x:v>
      </x:c>
      <x:c r="L254" s="100" t="n">
        <x:v>-0.03155196475027522</x:v>
      </x:c>
      <x:c r="M254" s="100" t="n">
        <x:v>31</x:v>
      </x:c>
      <x:c r="N254" s="100" t="n">
        <x:v>0.8927794732041898</x:v>
      </x:c>
      <x:c r="O254" s="101" t="b">
        <x:v>1</x:v>
      </x:c>
      <x:c r="P254" t="str">
        <x:v>/Users/jvidale/Documents/Research/FaultScanR/output/20260722_181326_2487/CI_40353552</x:v>
      </x:c>
    </x:row>
    <x:row r="255">
      <x:c r="A255" t="str">
        <x:v>CI_40353552</x:v>
      </x:c>
      <x:c r="B255" s="99" t="str">
        <x:v>00307</x:v>
      </x:c>
      <x:c r="C255" t="str">
        <x:v>T</x:v>
      </x:c>
      <x:c r="D255" t="str">
        <x:v>R</x:v>
      </x:c>
      <x:c r="E255" t="str">
        <x:v>time shift</x:v>
      </x:c>
      <x:c r="F255" t="str">
        <x:v>S</x:v>
      </x:c>
      <x:c r="G255" s="100" t="n">
        <x:v>3</x:v>
      </x:c>
      <x:c r="H255" s="100" t="n">
        <x:v>10</x:v>
      </x:c>
      <x:c r="I255" s="100" t="n">
        <x:v>250</x:v>
      </x:c>
      <x:c r="J255" s="100" t="n">
        <x:v>0.148</x:v>
      </x:c>
      <x:c r="K255" s="100" t="n">
        <x:v>0.1640585728300437</x:v>
      </x:c>
      <x:c r="L255" s="100" t="n">
        <x:v>-0.01605857283004367</x:v>
      </x:c>
      <x:c r="M255" s="100" t="n">
        <x:v>37</x:v>
      </x:c>
      <x:c r="N255" s="100" t="n">
        <x:v>0.9683541190757738</x:v>
      </x:c>
      <x:c r="O255" s="101" t="b">
        <x:v>1</x:v>
      </x:c>
      <x:c r="P255" t="str">
        <x:v>/Users/jvidale/Documents/Research/FaultScanR/output/20260722_181326_2487/CI_40353552</x:v>
      </x:c>
    </x:row>
    <x:row r="256">
      <x:c r="A256" t="str">
        <x:v>CI_40353552</x:v>
      </x:c>
      <x:c r="B256" s="99" t="str">
        <x:v>00308</x:v>
      </x:c>
      <x:c r="C256" t="str">
        <x:v>T</x:v>
      </x:c>
      <x:c r="D256" t="str">
        <x:v>R</x:v>
      </x:c>
      <x:c r="E256" t="str">
        <x:v>time shift</x:v>
      </x:c>
      <x:c r="F256" t="str">
        <x:v>S</x:v>
      </x:c>
      <x:c r="G256" s="100" t="n">
        <x:v>3</x:v>
      </x:c>
      <x:c r="H256" s="100" t="n">
        <x:v>10</x:v>
      </x:c>
      <x:c r="I256" s="100" t="n">
        <x:v>250</x:v>
      </x:c>
      <x:c r="J256" s="100" t="n">
        <x:v>0.144</x:v>
      </x:c>
      <x:c r="K256" s="100" t="n">
        <x:v>0.1713900579094174</x:v>
      </x:c>
      <x:c r="L256" s="100" t="n">
        <x:v>-0.02739005790941743</x:v>
      </x:c>
      <x:c r="M256" s="100" t="n">
        <x:v>36</x:v>
      </x:c>
      <x:c r="N256" s="100" t="n">
        <x:v>0.9529541299721135</x:v>
      </x:c>
      <x:c r="O256" s="101" t="b">
        <x:v>1</x:v>
      </x:c>
      <x:c r="P256" t="str">
        <x:v>/Users/jvidale/Documents/Research/FaultScanR/output/20260722_181326_2487/CI_40353552</x:v>
      </x:c>
    </x:row>
    <x:row r="257">
      <x:c r="A257" t="str">
        <x:v>CI_40353552</x:v>
      </x:c>
      <x:c r="B257" s="99" t="str">
        <x:v>00309</x:v>
      </x:c>
      <x:c r="C257" t="str">
        <x:v>T</x:v>
      </x:c>
      <x:c r="D257" t="str">
        <x:v>R</x:v>
      </x:c>
      <x:c r="E257" t="str">
        <x:v>time shift</x:v>
      </x:c>
      <x:c r="F257" t="str">
        <x:v>S</x:v>
      </x:c>
      <x:c r="G257" s="100" t="n">
        <x:v>3</x:v>
      </x:c>
      <x:c r="H257" s="100" t="n">
        <x:v>10</x:v>
      </x:c>
      <x:c r="I257" s="100" t="n">
        <x:v>250</x:v>
      </x:c>
      <x:c r="J257" s="100" t="n">
        <x:v>0.156</x:v>
      </x:c>
      <x:c r="K257" s="100" t="n">
        <x:v>0.1802188061584946</x:v>
      </x:c>
      <x:c r="L257" s="100" t="n">
        <x:v>-0.02421880615849462</x:v>
      </x:c>
      <x:c r="M257" s="100" t="n">
        <x:v>39</x:v>
      </x:c>
      <x:c r="N257" s="100" t="n">
        <x:v>0.9460962104998514</x:v>
      </x:c>
      <x:c r="O257" s="101" t="b">
        <x:v>1</x:v>
      </x:c>
      <x:c r="P257" t="str">
        <x:v>/Users/jvidale/Documents/Research/FaultScanR/output/20260722_181326_2487/CI_40353552</x:v>
      </x:c>
    </x:row>
    <x:row r="258">
      <x:c r="A258" t="str">
        <x:v>CI_40353552</x:v>
      </x:c>
      <x:c r="B258" s="99" t="str">
        <x:v>00310</x:v>
      </x:c>
      <x:c r="C258" t="str">
        <x:v>T</x:v>
      </x:c>
      <x:c r="D258" t="str">
        <x:v>R</x:v>
      </x:c>
      <x:c r="E258" t="str">
        <x:v>time shift</x:v>
      </x:c>
      <x:c r="F258" t="str">
        <x:v>S</x:v>
      </x:c>
      <x:c r="G258" s="100" t="n">
        <x:v>3</x:v>
      </x:c>
      <x:c r="H258" s="100" t="n">
        <x:v>10</x:v>
      </x:c>
      <x:c r="I258" s="100" t="n">
        <x:v>250</x:v>
      </x:c>
      <x:c r="J258" s="100" t="n">
        <x:v>0.176</x:v>
      </x:c>
      <x:c r="K258" s="100" t="n">
        <x:v>0.1876614539807093</x:v>
      </x:c>
      <x:c r="L258" s="100" t="n">
        <x:v>-0.01166145398070934</x:v>
      </x:c>
      <x:c r="M258" s="100" t="n">
        <x:v>44</x:v>
      </x:c>
      <x:c r="N258" s="100" t="n">
        <x:v>0.9927889296665664</x:v>
      </x:c>
      <x:c r="O258" s="101" t="b">
        <x:v>1</x:v>
      </x:c>
      <x:c r="P258" t="str">
        <x:v>/Users/jvidale/Documents/Research/FaultScanR/output/20260722_181326_2487/CI_40353552</x:v>
      </x:c>
    </x:row>
    <x:row r="259">
      <x:c r="A259" t="str">
        <x:v>CI_40353552</x:v>
      </x:c>
      <x:c r="B259" s="99" t="str">
        <x:v>00311</x:v>
      </x:c>
      <x:c r="C259" t="str">
        <x:v>T</x:v>
      </x:c>
      <x:c r="D259" t="str">
        <x:v>R</x:v>
      </x:c>
      <x:c r="E259" t="str">
        <x:v>time shift</x:v>
      </x:c>
      <x:c r="F259" t="str">
        <x:v>S</x:v>
      </x:c>
      <x:c r="G259" s="100" t="n">
        <x:v>3</x:v>
      </x:c>
      <x:c r="H259" s="100" t="n">
        <x:v>10</x:v>
      </x:c>
      <x:c r="I259" s="100" t="n">
        <x:v>250</x:v>
      </x:c>
      <x:c r="J259" s="100" t="n">
        <x:v>0.184</x:v>
      </x:c>
      <x:c r="K259" s="100" t="n">
        <x:v>0.1931850482449615</x:v>
      </x:c>
      <x:c r="L259" s="100" t="n">
        <x:v>-0.009185048244961524</x:v>
      </x:c>
      <x:c r="M259" s="100" t="n">
        <x:v>46</x:v>
      </x:c>
      <x:c r="N259" s="100" t="n">
        <x:v>0.8773094542537768</x:v>
      </x:c>
      <x:c r="O259" s="101" t="b">
        <x:v>1</x:v>
      </x:c>
      <x:c r="P259" t="str">
        <x:v>/Users/jvidale/Documents/Research/FaultScanR/output/20260722_181326_2487/CI_40353552</x:v>
      </x:c>
    </x:row>
    <x:row r="260">
      <x:c r="A260" t="str">
        <x:v>CI_40353552</x:v>
      </x:c>
      <x:c r="B260" s="99" t="str">
        <x:v>00313</x:v>
      </x:c>
      <x:c r="C260" t="str">
        <x:v>T</x:v>
      </x:c>
      <x:c r="D260" t="str">
        <x:v>R</x:v>
      </x:c>
      <x:c r="E260" t="str">
        <x:v>time shift</x:v>
      </x:c>
      <x:c r="F260" t="str">
        <x:v>S</x:v>
      </x:c>
      <x:c r="G260" s="100" t="n">
        <x:v>3</x:v>
      </x:c>
      <x:c r="H260" s="100" t="n">
        <x:v>10</x:v>
      </x:c>
      <x:c r="I260" s="100" t="n">
        <x:v>250</x:v>
      </x:c>
      <x:c r="J260" s="100" t="n">
        <x:v>0.196</x:v>
      </x:c>
      <x:c r="K260" s="100" t="n">
        <x:v>0.21486871833552</x:v>
      </x:c>
      <x:c r="L260" s="100" t="n">
        <x:v>-0.01886871833552001</x:v>
      </x:c>
      <x:c r="M260" s="100" t="n">
        <x:v>49</x:v>
      </x:c>
      <x:c r="N260" s="100" t="n">
        <x:v>0.9371304062463522</x:v>
      </x:c>
      <x:c r="O260" s="101" t="b">
        <x:v>1</x:v>
      </x:c>
      <x:c r="P260" t="str">
        <x:v>/Users/jvidale/Documents/Research/FaultScanR/output/20260722_181326_2487/CI_40353552</x:v>
      </x:c>
    </x:row>
    <x:row r="261">
      <x:c r="A261" t="str">
        <x:v>CI_40353552</x:v>
      </x:c>
      <x:c r="B261" s="99" t="str">
        <x:v>00314</x:v>
      </x:c>
      <x:c r="C261" t="str">
        <x:v>T</x:v>
      </x:c>
      <x:c r="D261" t="str">
        <x:v>R</x:v>
      </x:c>
      <x:c r="E261" t="str">
        <x:v>time shift</x:v>
      </x:c>
      <x:c r="F261" t="str">
        <x:v>S</x:v>
      </x:c>
      <x:c r="G261" s="100" t="n">
        <x:v>3</x:v>
      </x:c>
      <x:c r="H261" s="100" t="n">
        <x:v>10</x:v>
      </x:c>
      <x:c r="I261" s="100" t="n">
        <x:v>250</x:v>
      </x:c>
      <x:c r="J261" s="100" t="n">
        <x:v>0.208</x:v>
      </x:c>
      <x:c r="K261" s="100" t="n">
        <x:v>0.2221460715588925</x:v>
      </x:c>
      <x:c r="L261" s="100" t="n">
        <x:v>-0.01414607155889255</x:v>
      </x:c>
      <x:c r="M261" s="100" t="n">
        <x:v>52</x:v>
      </x:c>
      <x:c r="N261" s="100" t="n">
        <x:v>0.9225404975663812</x:v>
      </x:c>
      <x:c r="O261" s="101" t="b">
        <x:v>1</x:v>
      </x:c>
      <x:c r="P261" t="str">
        <x:v>/Users/jvidale/Documents/Research/FaultScanR/output/20260722_181326_2487/CI_40353552</x:v>
      </x:c>
    </x:row>
    <x:row r="262">
      <x:c r="A262" t="str">
        <x:v>CI_40353552</x:v>
      </x:c>
      <x:c r="B262" s="99" t="str">
        <x:v>00315</x:v>
      </x:c>
      <x:c r="C262" t="str">
        <x:v>T</x:v>
      </x:c>
      <x:c r="D262" t="str">
        <x:v>R</x:v>
      </x:c>
      <x:c r="E262" t="str">
        <x:v>time shift</x:v>
      </x:c>
      <x:c r="F262" t="str">
        <x:v>S</x:v>
      </x:c>
      <x:c r="G262" s="100" t="n">
        <x:v>3</x:v>
      </x:c>
      <x:c r="H262" s="100" t="n">
        <x:v>10</x:v>
      </x:c>
      <x:c r="I262" s="100" t="n">
        <x:v>250</x:v>
      </x:c>
      <x:c r="J262" s="100" t="n">
        <x:v>0.208</x:v>
      </x:c>
      <x:c r="K262" s="100" t="n">
        <x:v>0.2302851796598393</x:v>
      </x:c>
      <x:c r="L262" s="100" t="n">
        <x:v>-0.02228517965983931</x:v>
      </x:c>
      <x:c r="M262" s="100" t="n">
        <x:v>52</x:v>
      </x:c>
      <x:c r="N262" s="100" t="n">
        <x:v>0.9945859771744023</x:v>
      </x:c>
      <x:c r="O262" s="101" t="b">
        <x:v>1</x:v>
      </x:c>
      <x:c r="P262" t="str">
        <x:v>/Users/jvidale/Documents/Research/FaultScanR/output/20260722_181326_2487/CI_40353552</x:v>
      </x:c>
    </x:row>
    <x:row r="263">
      <x:c r="A263" t="str">
        <x:v>CI_40353552</x:v>
      </x:c>
      <x:c r="B263" s="99" t="str">
        <x:v>00316</x:v>
      </x:c>
      <x:c r="C263" t="str">
        <x:v>T</x:v>
      </x:c>
      <x:c r="D263" t="str">
        <x:v>R</x:v>
      </x:c>
      <x:c r="E263" t="str">
        <x:v>time shift</x:v>
      </x:c>
      <x:c r="F263" t="str">
        <x:v>S</x:v>
      </x:c>
      <x:c r="G263" s="100" t="n">
        <x:v>3</x:v>
      </x:c>
      <x:c r="H263" s="100" t="n">
        <x:v>10</x:v>
      </x:c>
      <x:c r="I263" s="100" t="n">
        <x:v>250</x:v>
      </x:c>
      <x:c r="J263" s="100" t="n">
        <x:v>0.216</x:v>
      </x:c>
      <x:c r="K263" s="100" t="n">
        <x:v>0.241130893687421</x:v>
      </x:c>
      <x:c r="L263" s="100" t="n">
        <x:v>-0.02513089368742102</x:v>
      </x:c>
      <x:c r="M263" s="100" t="n">
        <x:v>54</x:v>
      </x:c>
      <x:c r="N263" s="100" t="n">
        <x:v>0.9862701039349864</x:v>
      </x:c>
      <x:c r="O263" s="101" t="b">
        <x:v>1</x:v>
      </x:c>
      <x:c r="P263" t="str">
        <x:v>/Users/jvidale/Documents/Research/FaultScanR/output/20260722_181326_2487/CI_40353552</x:v>
      </x:c>
    </x:row>
    <x:row r="264">
      <x:c r="A264" t="str">
        <x:v>CI_40353552</x:v>
      </x:c>
      <x:c r="B264" s="99" t="str">
        <x:v>00317</x:v>
      </x:c>
      <x:c r="C264" t="str">
        <x:v>T</x:v>
      </x:c>
      <x:c r="D264" t="str">
        <x:v>R</x:v>
      </x:c>
      <x:c r="E264" t="str">
        <x:v>time shift</x:v>
      </x:c>
      <x:c r="F264" t="str">
        <x:v>S</x:v>
      </x:c>
      <x:c r="G264" s="100" t="n">
        <x:v>3</x:v>
      </x:c>
      <x:c r="H264" s="100" t="n">
        <x:v>10</x:v>
      </x:c>
      <x:c r="I264" s="100" t="n">
        <x:v>250</x:v>
      </x:c>
      <x:c r="J264" s="100" t="n">
        <x:v>0.22</x:v>
      </x:c>
      <x:c r="K264" s="100" t="n">
        <x:v>0.2509861109420557</x:v>
      </x:c>
      <x:c r="L264" s="100" t="n">
        <x:v>-0.03098611094205569</x:v>
      </x:c>
      <x:c r="M264" s="100" t="n">
        <x:v>55</x:v>
      </x:c>
      <x:c r="N264" s="100" t="n">
        <x:v>0.9924008426281259</x:v>
      </x:c>
      <x:c r="O264" s="101" t="b">
        <x:v>1</x:v>
      </x:c>
      <x:c r="P264" t="str">
        <x:v>/Users/jvidale/Documents/Research/FaultScanR/output/20260722_181326_2487/CI_40353552</x:v>
      </x:c>
    </x:row>
    <x:row r="265">
      <x:c r="A265" t="str">
        <x:v>CI_40353552</x:v>
      </x:c>
      <x:c r="B265" s="99" t="str">
        <x:v>00318</x:v>
      </x:c>
      <x:c r="C265" t="str">
        <x:v>T</x:v>
      </x:c>
      <x:c r="D265" t="str">
        <x:v>R</x:v>
      </x:c>
      <x:c r="E265" t="str">
        <x:v>time shift</x:v>
      </x:c>
      <x:c r="F265" t="str">
        <x:v>S</x:v>
      </x:c>
      <x:c r="G265" s="100" t="n">
        <x:v>3</x:v>
      </x:c>
      <x:c r="H265" s="100" t="n">
        <x:v>10</x:v>
      </x:c>
      <x:c r="I265" s="100" t="n">
        <x:v>250</x:v>
      </x:c>
      <x:c r="J265" s="100" t="n">
        <x:v>0.128</x:v>
      </x:c>
      <x:c r="K265" s="100" t="n">
        <x:v>0.1477536982211758</x:v>
      </x:c>
      <x:c r="L265" s="100" t="n">
        <x:v>-0.01975369822117579</x:v>
      </x:c>
      <x:c r="M265" s="100" t="n">
        <x:v>32</x:v>
      </x:c>
      <x:c r="N265" s="100" t="n">
        <x:v>0.9697491590031826</x:v>
      </x:c>
      <x:c r="O265" s="101" t="b">
        <x:v>1</x:v>
      </x:c>
      <x:c r="P265" t="str">
        <x:v>/Users/jvidale/Documents/Research/FaultScanR/output/20260722_181326_2487/CI_40353552</x:v>
      </x:c>
    </x:row>
    <x:row r="266">
      <x:c r="A266" t="str">
        <x:v>CI_40353552</x:v>
      </x:c>
      <x:c r="B266" s="99" t="str">
        <x:v>00319</x:v>
      </x:c>
      <x:c r="C266" t="str">
        <x:v>T</x:v>
      </x:c>
      <x:c r="D266" t="str">
        <x:v>R</x:v>
      </x:c>
      <x:c r="E266" t="str">
        <x:v>time shift</x:v>
      </x:c>
      <x:c r="F266" t="str">
        <x:v>S</x:v>
      </x:c>
      <x:c r="G266" s="100" t="n">
        <x:v>3</x:v>
      </x:c>
      <x:c r="H266" s="100" t="n">
        <x:v>10</x:v>
      </x:c>
      <x:c r="I266" s="100" t="n">
        <x:v>250</x:v>
      </x:c>
      <x:c r="J266" s="100" t="n">
        <x:v>0.152</x:v>
      </x:c>
      <x:c r="K266" s="100" t="n">
        <x:v>0.1556524284427869</x:v>
      </x:c>
      <x:c r="L266" s="100" t="n">
        <x:v>-0.003652428442786931</x:v>
      </x:c>
      <x:c r="M266" s="100" t="n">
        <x:v>38</x:v>
      </x:c>
      <x:c r="N266" s="100" t="n">
        <x:v>0.9566622629169316</x:v>
      </x:c>
      <x:c r="O266" s="101" t="b">
        <x:v>1</x:v>
      </x:c>
      <x:c r="P266" t="str">
        <x:v>/Users/jvidale/Documents/Research/FaultScanR/output/20260722_181326_2487/CI_40353552</x:v>
      </x:c>
    </x:row>
    <x:row r="267">
      <x:c r="A267" t="str">
        <x:v>CI_40353552</x:v>
      </x:c>
      <x:c r="B267" s="99" t="str">
        <x:v>00320</x:v>
      </x:c>
      <x:c r="C267" t="str">
        <x:v>T</x:v>
      </x:c>
      <x:c r="D267" t="str">
        <x:v>R</x:v>
      </x:c>
      <x:c r="E267" t="str">
        <x:v>time shift</x:v>
      </x:c>
      <x:c r="F267" t="str">
        <x:v>S</x:v>
      </x:c>
      <x:c r="G267" s="100" t="n">
        <x:v>3</x:v>
      </x:c>
      <x:c r="H267" s="100" t="n">
        <x:v>10</x:v>
      </x:c>
      <x:c r="I267" s="100" t="n">
        <x:v>250</x:v>
      </x:c>
      <x:c r="J267" s="100" t="n">
        <x:v>0.152</x:v>
      </x:c>
      <x:c r="K267" s="100" t="n">
        <x:v>0.162410499812216</x:v>
      </x:c>
      <x:c r="L267" s="100" t="n">
        <x:v>-0.01041049981221601</x:v>
      </x:c>
      <x:c r="M267" s="100" t="n">
        <x:v>38</x:v>
      </x:c>
      <x:c r="N267" s="100" t="n">
        <x:v>0.9663995525003538</x:v>
      </x:c>
      <x:c r="O267" s="101" t="b">
        <x:v>1</x:v>
      </x:c>
      <x:c r="P267" t="str">
        <x:v>/Users/jvidale/Documents/Research/FaultScanR/output/20260722_181326_2487/CI_40353552</x:v>
      </x:c>
    </x:row>
    <x:row r="268">
      <x:c r="A268" t="str">
        <x:v>CI_40353552</x:v>
      </x:c>
      <x:c r="B268" s="99" t="str">
        <x:v>00321</x:v>
      </x:c>
      <x:c r="C268" t="str">
        <x:v>T</x:v>
      </x:c>
      <x:c r="D268" t="str">
        <x:v>R</x:v>
      </x:c>
      <x:c r="E268" t="str">
        <x:v>time shift</x:v>
      </x:c>
      <x:c r="F268" t="str">
        <x:v>S</x:v>
      </x:c>
      <x:c r="G268" s="100" t="n">
        <x:v>3</x:v>
      </x:c>
      <x:c r="H268" s="100" t="n">
        <x:v>10</x:v>
      </x:c>
      <x:c r="I268" s="100" t="n">
        <x:v>250</x:v>
      </x:c>
      <x:c r="J268" s="100" t="n">
        <x:v>0.16</x:v>
      </x:c>
      <x:c r="K268" s="100" t="n">
        <x:v>0.1707439271295739</x:v>
      </x:c>
      <x:c r="L268" s="100" t="n">
        <x:v>-0.01074392712957387</x:v>
      </x:c>
      <x:c r="M268" s="100" t="n">
        <x:v>40</x:v>
      </x:c>
      <x:c r="N268" s="100" t="n">
        <x:v>0.9625433694856628</x:v>
      </x:c>
      <x:c r="O268" s="101" t="b">
        <x:v>1</x:v>
      </x:c>
      <x:c r="P268" t="str">
        <x:v>/Users/jvidale/Documents/Research/FaultScanR/output/20260722_181326_2487/CI_40353552</x:v>
      </x:c>
    </x:row>
    <x:row r="269">
      <x:c r="A269" t="str">
        <x:v>CI_40353552</x:v>
      </x:c>
      <x:c r="B269" s="99" t="str">
        <x:v>00322</x:v>
      </x:c>
      <x:c r="C269" t="str">
        <x:v>T</x:v>
      </x:c>
      <x:c r="D269" t="str">
        <x:v>R</x:v>
      </x:c>
      <x:c r="E269" t="str">
        <x:v>time shift</x:v>
      </x:c>
      <x:c r="F269" t="str">
        <x:v>S</x:v>
      </x:c>
      <x:c r="G269" s="100" t="n">
        <x:v>3</x:v>
      </x:c>
      <x:c r="H269" s="100" t="n">
        <x:v>10</x:v>
      </x:c>
      <x:c r="I269" s="100" t="n">
        <x:v>250</x:v>
      </x:c>
      <x:c r="J269" s="100" t="n">
        <x:v>0.16</x:v>
      </x:c>
      <x:c r="K269" s="100" t="n">
        <x:v>0.1785103485255375</x:v>
      </x:c>
      <x:c r="L269" s="100" t="n">
        <x:v>-0.01851034852553748</x:v>
      </x:c>
      <x:c r="M269" s="100" t="n">
        <x:v>40</x:v>
      </x:c>
      <x:c r="N269" s="100" t="n">
        <x:v>0.9734909154477317</x:v>
      </x:c>
      <x:c r="O269" s="101" t="b">
        <x:v>1</x:v>
      </x:c>
      <x:c r="P269" t="str">
        <x:v>/Users/jvidale/Documents/Research/FaultScanR/output/20260722_181326_2487/CI_40353552</x:v>
      </x:c>
    </x:row>
    <x:row r="270">
      <x:c r="A270" t="str">
        <x:v>CI_40353552</x:v>
      </x:c>
      <x:c r="B270" s="99" t="str">
        <x:v>00323</x:v>
      </x:c>
      <x:c r="C270" t="str">
        <x:v>T</x:v>
      </x:c>
      <x:c r="D270" t="str">
        <x:v>R</x:v>
      </x:c>
      <x:c r="E270" t="str">
        <x:v>time shift</x:v>
      </x:c>
      <x:c r="F270" t="str">
        <x:v>S</x:v>
      </x:c>
      <x:c r="G270" s="100" t="n">
        <x:v>3</x:v>
      </x:c>
      <x:c r="H270" s="100" t="n">
        <x:v>10</x:v>
      </x:c>
      <x:c r="I270" s="100" t="n">
        <x:v>250</x:v>
      </x:c>
      <x:c r="J270" s="100" t="n">
        <x:v>0.156</x:v>
      </x:c>
      <x:c r="K270" s="100" t="n">
        <x:v>0.183659728904308</x:v>
      </x:c>
      <x:c r="L270" s="100" t="n">
        <x:v>-0.02765972890430804</x:v>
      </x:c>
      <x:c r="M270" s="100" t="n">
        <x:v>39</x:v>
      </x:c>
      <x:c r="N270" s="100" t="n">
        <x:v>0.9415637992822986</x:v>
      </x:c>
      <x:c r="O270" s="101" t="b">
        <x:v>1</x:v>
      </x:c>
      <x:c r="P270" t="str">
        <x:v>/Users/jvidale/Documents/Research/FaultScanR/output/20260722_181326_2487/CI_40353552</x:v>
      </x:c>
    </x:row>
    <x:row r="271">
      <x:c r="A271" t="str">
        <x:v>CI_40353552</x:v>
      </x:c>
      <x:c r="B271" s="99" t="str">
        <x:v>00324</x:v>
      </x:c>
      <x:c r="C271" t="str">
        <x:v>T</x:v>
      </x:c>
      <x:c r="D271" t="str">
        <x:v>R</x:v>
      </x:c>
      <x:c r="E271" t="str">
        <x:v>time shift</x:v>
      </x:c>
      <x:c r="F271" t="str">
        <x:v>S</x:v>
      </x:c>
      <x:c r="G271" s="100" t="n">
        <x:v>3</x:v>
      </x:c>
      <x:c r="H271" s="100" t="n">
        <x:v>10</x:v>
      </x:c>
      <x:c r="I271" s="100" t="n">
        <x:v>250</x:v>
      </x:c>
      <x:c r="J271" s="100" t="n">
        <x:v>0.16</x:v>
      </x:c>
      <x:c r="K271" s="100" t="n">
        <x:v>0.1963312030983673</x:v>
      </x:c>
      <x:c r="L271" s="100" t="n">
        <x:v>-0.03633120309836727</x:v>
      </x:c>
      <x:c r="M271" s="100" t="n">
        <x:v>40</x:v>
      </x:c>
      <x:c r="N271" s="100" t="n">
        <x:v>0.9000449696373415</x:v>
      </x:c>
      <x:c r="O271" s="101" t="b">
        <x:v>1</x:v>
      </x:c>
      <x:c r="P271" t="str">
        <x:v>/Users/jvidale/Documents/Research/FaultScanR/output/20260722_181326_2487/CI_40353552</x:v>
      </x:c>
    </x:row>
    <x:row r="272">
      <x:c r="A272" t="str">
        <x:v>CI_40353552</x:v>
      </x:c>
      <x:c r="B272" s="99" t="str">
        <x:v>00325</x:v>
      </x:c>
      <x:c r="C272" t="str">
        <x:v>T</x:v>
      </x:c>
      <x:c r="D272" t="str">
        <x:v>R</x:v>
      </x:c>
      <x:c r="E272" t="str">
        <x:v>time shift</x:v>
      </x:c>
      <x:c r="F272" t="str">
        <x:v>S</x:v>
      </x:c>
      <x:c r="G272" s="100" t="n">
        <x:v>3</x:v>
      </x:c>
      <x:c r="H272" s="100" t="n">
        <x:v>10</x:v>
      </x:c>
      <x:c r="I272" s="100" t="n">
        <x:v>250</x:v>
      </x:c>
      <x:c r="J272" s="100" t="n">
        <x:v>0.164</x:v>
      </x:c>
      <x:c r="K272" s="100" t="n">
        <x:v>0.1985355279103613</x:v>
      </x:c>
      <x:c r="L272" s="100" t="n">
        <x:v>-0.03453552791036132</x:v>
      </x:c>
      <x:c r="M272" s="100" t="n">
        <x:v>41</x:v>
      </x:c>
      <x:c r="N272" s="100" t="n">
        <x:v>0.8956232828446383</x:v>
      </x:c>
      <x:c r="O272" s="101" t="b">
        <x:v>1</x:v>
      </x:c>
      <x:c r="P272" t="str">
        <x:v>/Users/jvidale/Documents/Research/FaultScanR/output/20260722_181326_2487/CI_40353552</x:v>
      </x:c>
    </x:row>
    <x:row r="273">
      <x:c r="A273" t="str">
        <x:v>CI_40353552</x:v>
      </x:c>
      <x:c r="B273" s="99" t="str">
        <x:v>00326</x:v>
      </x:c>
      <x:c r="C273" t="str">
        <x:v>T</x:v>
      </x:c>
      <x:c r="D273" t="str">
        <x:v>R</x:v>
      </x:c>
      <x:c r="E273" t="str">
        <x:v>time shift</x:v>
      </x:c>
      <x:c r="F273" t="str">
        <x:v>S</x:v>
      </x:c>
      <x:c r="G273" s="100" t="n">
        <x:v>3</x:v>
      </x:c>
      <x:c r="H273" s="100" t="n">
        <x:v>10</x:v>
      </x:c>
      <x:c r="I273" s="100" t="n">
        <x:v>250</x:v>
      </x:c>
      <x:c r="J273" s="100" t="n">
        <x:v>0.188</x:v>
      </x:c>
      <x:c r="K273" s="100" t="n">
        <x:v>0.2109686347047415</x:v>
      </x:c>
      <x:c r="L273" s="100" t="n">
        <x:v>-0.02296863470474148</x:v>
      </x:c>
      <x:c r="M273" s="100" t="n">
        <x:v>47</x:v>
      </x:c>
      <x:c r="N273" s="100" t="n">
        <x:v>0.8655553552151501</x:v>
      </x:c>
      <x:c r="O273" s="101" t="b">
        <x:v>1</x:v>
      </x:c>
      <x:c r="P273" t="str">
        <x:v>/Users/jvidale/Documents/Research/FaultScanR/output/20260722_181326_2487/CI_40353552</x:v>
      </x:c>
    </x:row>
    <x:row r="274">
      <x:c r="A274" t="str">
        <x:v>CI_40353552</x:v>
      </x:c>
      <x:c r="B274" s="99" t="str">
        <x:v>00327</x:v>
      </x:c>
      <x:c r="C274" t="str">
        <x:v>T</x:v>
      </x:c>
      <x:c r="D274" t="str">
        <x:v>R</x:v>
      </x:c>
      <x:c r="E274" t="str">
        <x:v>time shift</x:v>
      </x:c>
      <x:c r="F274" t="str">
        <x:v>S</x:v>
      </x:c>
      <x:c r="G274" s="100" t="n">
        <x:v>3</x:v>
      </x:c>
      <x:c r="H274" s="100" t="n">
        <x:v>10</x:v>
      </x:c>
      <x:c r="I274" s="100" t="n">
        <x:v>250</x:v>
      </x:c>
      <x:c r="J274" s="100" t="n">
        <x:v>0.208</x:v>
      </x:c>
      <x:c r="K274" s="100" t="n">
        <x:v>0.2188787451422609</x:v>
      </x:c>
      <x:c r="L274" s="100" t="n">
        <x:v>-0.01087874514226092</x:v>
      </x:c>
      <x:c r="M274" s="100" t="n">
        <x:v>52</x:v>
      </x:c>
      <x:c r="N274" s="100" t="n">
        <x:v>0.9819133508395868</x:v>
      </x:c>
      <x:c r="O274" s="101" t="b">
        <x:v>1</x:v>
      </x:c>
      <x:c r="P274" t="str">
        <x:v>/Users/jvidale/Documents/Research/FaultScanR/output/20260722_181326_2487/CI_40353552</x:v>
      </x:c>
    </x:row>
    <x:row r="275">
      <x:c r="A275" t="str">
        <x:v>CI_40353552</x:v>
      </x:c>
      <x:c r="B275" s="99" t="str">
        <x:v>00328</x:v>
      </x:c>
      <x:c r="C275" t="str">
        <x:v>T</x:v>
      </x:c>
      <x:c r="D275" t="str">
        <x:v>R</x:v>
      </x:c>
      <x:c r="E275" t="str">
        <x:v>time shift</x:v>
      </x:c>
      <x:c r="F275" t="str">
        <x:v>S</x:v>
      </x:c>
      <x:c r="G275" s="100" t="n">
        <x:v>3</x:v>
      </x:c>
      <x:c r="H275" s="100" t="n">
        <x:v>10</x:v>
      </x:c>
      <x:c r="I275" s="100" t="n">
        <x:v>250</x:v>
      </x:c>
      <x:c r="J275" s="100" t="n">
        <x:v>0.216</x:v>
      </x:c>
      <x:c r="K275" s="100" t="n">
        <x:v>0.2259132920857647</x:v>
      </x:c>
      <x:c r="L275" s="100" t="n">
        <x:v>-0.009913292085764719</x:v>
      </x:c>
      <x:c r="M275" s="100" t="n">
        <x:v>54</x:v>
      </x:c>
      <x:c r="N275" s="100" t="n">
        <x:v>0.9754087700941414</x:v>
      </x:c>
      <x:c r="O275" s="101" t="b">
        <x:v>1</x:v>
      </x:c>
      <x:c r="P275" t="str">
        <x:v>/Users/jvidale/Documents/Research/FaultScanR/output/20260722_181326_2487/CI_40353552</x:v>
      </x:c>
    </x:row>
    <x:row r="276">
      <x:c r="A276" t="str">
        <x:v>CI_40353552</x:v>
      </x:c>
      <x:c r="B276" s="99" t="str">
        <x:v>00329</x:v>
      </x:c>
      <x:c r="C276" t="str">
        <x:v>T</x:v>
      </x:c>
      <x:c r="D276" t="str">
        <x:v>R</x:v>
      </x:c>
      <x:c r="E276" t="str">
        <x:v>time shift</x:v>
      </x:c>
      <x:c r="F276" t="str">
        <x:v>S</x:v>
      </x:c>
      <x:c r="G276" s="100" t="n">
        <x:v>3</x:v>
      </x:c>
      <x:c r="H276" s="100" t="n">
        <x:v>10</x:v>
      </x:c>
      <x:c r="I276" s="100" t="n">
        <x:v>250</x:v>
      </x:c>
      <x:c r="J276" s="100" t="n">
        <x:v>0.212</x:v>
      </x:c>
      <x:c r="K276" s="100" t="n">
        <x:v>0.2355735781674042</x:v>
      </x:c>
      <x:c r="L276" s="100" t="n">
        <x:v>-0.02357357816740421</x:v>
      </x:c>
      <x:c r="M276" s="100" t="n">
        <x:v>53</x:v>
      </x:c>
      <x:c r="N276" s="100" t="n">
        <x:v>0.9484316903393993</x:v>
      </x:c>
      <x:c r="O276" s="101" t="b">
        <x:v>1</x:v>
      </x:c>
      <x:c r="P276" t="str">
        <x:v>/Users/jvidale/Documents/Research/FaultScanR/output/20260722_181326_2487/CI_40353552</x:v>
      </x:c>
    </x:row>
    <x:row r="277">
      <x:c r="A277" t="str">
        <x:v>CI_40353552</x:v>
      </x:c>
      <x:c r="B277" s="99" t="str">
        <x:v>00330</x:v>
      </x:c>
      <x:c r="C277" t="str">
        <x:v>T</x:v>
      </x:c>
      <x:c r="D277" t="str">
        <x:v>R</x:v>
      </x:c>
      <x:c r="E277" t="str">
        <x:v>time shift</x:v>
      </x:c>
      <x:c r="F277" t="str">
        <x:v>S</x:v>
      </x:c>
      <x:c r="G277" s="100" t="n">
        <x:v>3</x:v>
      </x:c>
      <x:c r="H277" s="100" t="n">
        <x:v>10</x:v>
      </x:c>
      <x:c r="I277" s="100" t="n">
        <x:v>250</x:v>
      </x:c>
      <x:c r="J277" s="100" t="n">
        <x:v>0.232</x:v>
      </x:c>
      <x:c r="K277" s="100" t="n">
        <x:v>0.2447916804934724</x:v>
      </x:c>
      <x:c r="L277" s="100" t="n">
        <x:v>-0.01279168049347243</x:v>
      </x:c>
      <x:c r="M277" s="100" t="n">
        <x:v>58</x:v>
      </x:c>
      <x:c r="N277" s="100" t="n">
        <x:v>0.965309905258786</x:v>
      </x:c>
      <x:c r="O277" s="101" t="b">
        <x:v>1</x:v>
      </x:c>
      <x:c r="P277" t="str">
        <x:v>/Users/jvidale/Documents/Research/FaultScanR/output/20260722_181326_2487/CI_40353552</x:v>
      </x:c>
    </x:row>
    <x:row r="278">
      <x:c r="A278" t="str">
        <x:v>CI_40353552</x:v>
      </x:c>
      <x:c r="B278" s="99" t="str">
        <x:v>00332</x:v>
      </x:c>
      <x:c r="C278" t="str">
        <x:v>T</x:v>
      </x:c>
      <x:c r="D278" t="str">
        <x:v>R</x:v>
      </x:c>
      <x:c r="E278" t="str">
        <x:v>time shift</x:v>
      </x:c>
      <x:c r="F278" t="str">
        <x:v>S</x:v>
      </x:c>
      <x:c r="G278" s="100" t="n">
        <x:v>3</x:v>
      </x:c>
      <x:c r="H278" s="100" t="n">
        <x:v>10</x:v>
      </x:c>
      <x:c r="I278" s="100" t="n">
        <x:v>250</x:v>
      </x:c>
      <x:c r="J278" s="100" t="n">
        <x:v>0.236</x:v>
      </x:c>
      <x:c r="K278" s="100" t="n">
        <x:v>0.2609053797889027</x:v>
      </x:c>
      <x:c r="L278" s="100" t="n">
        <x:v>-0.02490537978890273</x:v>
      </x:c>
      <x:c r="M278" s="100" t="n">
        <x:v>59</x:v>
      </x:c>
      <x:c r="N278" s="100" t="n">
        <x:v>0.9934821855356589</x:v>
      </x:c>
      <x:c r="O278" s="101" t="b">
        <x:v>1</x:v>
      </x:c>
      <x:c r="P278" t="str">
        <x:v>/Users/jvidale/Documents/Research/FaultScanR/output/20260722_181326_2487/CI_40353552</x:v>
      </x:c>
    </x:row>
    <x:row r="279">
      <x:c r="A279" t="str">
        <x:v>CI_40353552</x:v>
      </x:c>
      <x:c r="B279" s="99" t="str">
        <x:v>00333</x:v>
      </x:c>
      <x:c r="C279" t="str">
        <x:v>T</x:v>
      </x:c>
      <x:c r="D279" t="str">
        <x:v>R</x:v>
      </x:c>
      <x:c r="E279" t="str">
        <x:v>time shift</x:v>
      </x:c>
      <x:c r="F279" t="str">
        <x:v>S</x:v>
      </x:c>
      <x:c r="G279" s="100" t="n">
        <x:v>3</x:v>
      </x:c>
      <x:c r="H279" s="100" t="n">
        <x:v>10</x:v>
      </x:c>
      <x:c r="I279" s="100" t="n">
        <x:v>250</x:v>
      </x:c>
      <x:c r="J279" s="100" t="n">
        <x:v>0.24</x:v>
      </x:c>
      <x:c r="K279" s="100" t="n">
        <x:v>0.2709775612885563</x:v>
      </x:c>
      <x:c r="L279" s="100" t="n">
        <x:v>-0.03097756128855633</x:v>
      </x:c>
      <x:c r="M279" s="100" t="n">
        <x:v>60</x:v>
      </x:c>
      <x:c r="N279" s="100" t="n">
        <x:v>0.9959756670584275</x:v>
      </x:c>
      <x:c r="O279" s="101" t="b">
        <x:v>1</x:v>
      </x:c>
      <x:c r="P279" t="str">
        <x:v>/Users/jvidale/Documents/Research/FaultScanR/output/20260722_181326_2487/CI_40353552</x:v>
      </x:c>
    </x:row>
  </x:sheetData>
  <x:pageMargins left="0.7" right="0.7" top="0.75" bottom="0.75" header="0.3" footer="0.3"/>
  <x:tableParts count="1">
    <x:tablePart xmlns:r="http://schemas.openxmlformats.org/officeDocument/2006/relationships" r:id="Rbfc021b0bd3345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16" hidden="0" customWidth="1"/>
    <x:col min="5" max="5" width="22" hidden="0" customWidth="1"/>
    <x:col min="6" max="6" width="15" hidden="0" customWidth="1"/>
    <x:col min="7" max="7" width="16" hidden="0" customWidth="1"/>
    <x:col min="8" max="8" width="16" hidden="0" customWidth="1"/>
    <x:col min="9" max="9" width="10" hidden="0" customWidth="1"/>
    <x:col min="10" max="10" width="14" hidden="0" customWidth="1"/>
    <x:col min="11" max="11" width="14" hidden="0" customWidth="1"/>
    <x:col min="12" max="12" width="17" hidden="0" customWidth="1"/>
    <x:col min="13" max="13" width="19" hidden="0" customWidth="1"/>
    <x:col min="14" max="14" width="16" hidden="0" customWidth="1"/>
  </x:cols>
  <x:sheetData>
    <x:row r="1" ht="28" customHeight="1">
      <x:c r="A1" s="3" t="str">
        <x:v>T — Transverse stored vs correlation-estimated statics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108" t="str">
        <x:v>Robust event baseline (s)</x:v>
      </x:c>
      <x:c r="B2" s="112" t="n">
        <x:v>-0.01783376051078768</x:v>
      </x:c>
      <x:c r="C2" s="110" t="str">
        <x:v>Passed stations</x:v>
      </x:c>
      <x:c r="D2" s="113" t="n">
        <x:f>COUNT(J8:J285)</x:f>
        <x:v>274</x:v>
      </x:c>
      <x:c r="E2" s="110" t="str">
        <x:v>Pearson r (passed)</x:v>
      </x:c>
      <x:c r="F2" s="112" t="n">
        <x:f>CORREL(J8:J285,K8:K285)</x:f>
        <x:v>-0.06436793714733188</x:v>
      </x:c>
      <x:c r="G2" s="115" t="str">
        <x:v>Median |difference| (passed, s)</x:v>
      </x:c>
      <x:c r="H2" s="116" t="n">
        <x:f>MEDIAN(L8:L285)</x:f>
        <x:v>0.00988594482170637</x:v>
      </x:c>
    </x:row>
    <x:row r="3">
      <x:c r="A3" s="109" t="str">
        <x:v>Matched stations</x:v>
      </x:c>
      <x:c r="B3" s="114" t="n">
        <x:f>COUNTA(A8:A285)</x:f>
        <x:v>278</x:v>
      </x:c>
      <x:c r="C3" s="111" t="str">
        <x:v>RMSE (passed, s)</x:v>
      </x:c>
      <x:c r="D3" s="117" t="n">
        <x:f>SQRT(AVERAGE(M8:M285))</x:f>
        <x:v>0.019548628742968924</x:v>
      </x:c>
      <x:c r="E3" s="118" t="str">
        <x:v>Median difference (passed, s)</x:v>
      </x:c>
      <x:c r="F3" s="117" t="n">
        <x:f>MEDIAN(N8:N285)</x:f>
        <x:v>-0.0015929845111367566</x:v>
      </x:c>
      <x:c r="G3" s="111" t="str">
        <x:v>Within 4 ms (passed)</x:v>
      </x:c>
      <x:c r="H3" s="119" t="n">
        <x:f>COUNTIF(L8:L285,"&lt;=0.004")</x:f>
        <x:v>68</x:v>
      </x:c>
    </x:row>
    <x:row r="5">
      <x:c r="A5" s="121" t="str">
        <x:v>Baseline calculation: 268 robust inliers; raw MAD 0.007609 s. Primary metrics use only passed traces.</x:v>
      </x:c>
      <x:c r="B5" s="121"/>
      <x:c r="C5" s="121"/>
      <x:c r="D5" s="121"/>
      <x:c r="E5" s="121"/>
      <x:c r="F5" s="121"/>
      <x:c r="G5" s="121"/>
      <x:c r="H5" s="121"/>
      <x:c r="I5" s="121"/>
    </x:row>
    <x:row r="7" ht="30" customHeight="1">
      <x:c r="A7" s="14" t="str">
        <x:v>Station</x:v>
      </x:c>
      <x:c r="B7" s="15" t="str">
        <x:v>Stored static (s)</x:v>
      </x:c>
      <x:c r="C7" s="15" t="str">
        <x:v>Raw xcorr residual (s)</x:v>
      </x:c>
      <x:c r="D7" s="15" t="str">
        <x:v>Event baseline (s)</x:v>
      </x:c>
      <x:c r="E7" s="15" t="str">
        <x:v>Baseline-corrected xcorr (s)</x:v>
      </x:c>
      <x:c r="F7" s="15" t="str">
        <x:v>Difference (s)</x:v>
      </x:c>
      <x:c r="G7" s="15" t="str">
        <x:v>|Difference| (s)</x:v>
      </x:c>
      <x:c r="H7" s="15" t="str">
        <x:v>Station correlation</x:v>
      </x:c>
      <x:c r="I7" s="15" t="str">
        <x:v>Passed</x:v>
      </x:c>
      <x:c r="J7" s="15" t="str">
        <x:v>Passed stored</x:v>
      </x:c>
      <x:c r="K7" s="15" t="str">
        <x:v>Passed xcorr</x:v>
      </x:c>
      <x:c r="L7" s="15" t="str">
        <x:v>Passed |difference|</x:v>
      </x:c>
      <x:c r="M7" s="15" t="str">
        <x:v>Passed squared difference</x:v>
      </x:c>
      <x:c r="N7" s="16" t="str">
        <x:v>Passed difference</x:v>
      </x:c>
      <x:c r="P7" t="str">
        <x:v>Stored static (s)</x:v>
      </x:c>
      <x:c r="Q7" t="str">
        <x:v>Xcorr estimate (s)</x:v>
      </x:c>
      <x:c r="S7" t="str">
        <x:v>Identity x</x:v>
      </x:c>
      <x:c r="T7" t="str">
        <x:v>Identity y</x:v>
      </x:c>
    </x:row>
    <x:row r="8">
      <x:c r="A8" s="99" t="str">
        <x:f>'Raw T'!B2</x:f>
        <x:v>00036</x:v>
      </x:c>
      <x:c r="B8" s="100" t="n">
        <x:f>INDEX('Raw Stations'!$D$2:$D$299,MATCH(A8,'Raw Stations'!$A$2:$A$299,0))</x:f>
        <x:v>0.002324070776815849</x:v>
      </x:c>
      <x:c r="C8" s="100" t="n">
        <x:f>'Raw T'!L2</x:f>
        <x:v>-0.01723352786578913</x:v>
      </x:c>
      <x:c r="D8" s="100" t="n">
        <x:f>$B$2</x:f>
        <x:v>-0.01783376051078768</x:v>
      </x:c>
      <x:c r="E8" s="100" t="n">
        <x:f>C8-D8</x:f>
        <x:v>0.0006002326449985503</x:v>
      </x:c>
      <x:c r="F8" s="100" t="n">
        <x:f>E8-B8</x:f>
        <x:v>-0.001723838131817299</x:v>
      </x:c>
      <x:c r="G8" s="100" t="n">
        <x:f>ABS(F8)</x:f>
        <x:v>0.001723838131817299</x:v>
      </x:c>
      <x:c r="H8" s="100" t="n">
        <x:f>'Raw T'!N2</x:f>
        <x:v>0.9486478101157826</x:v>
      </x:c>
      <x:c r="I8" t="b">
        <x:f>'Raw T'!O2</x:f>
        <x:v>1</x:v>
      </x:c>
      <x:c r="J8" s="100" t="n">
        <x:f>IF(I8,B8,"")</x:f>
        <x:v>0.002324070776815849</x:v>
      </x:c>
      <x:c r="K8" s="100" t="n">
        <x:f>IF(I8,E8,"")</x:f>
        <x:v>0.0006002326449985503</x:v>
      </x:c>
      <x:c r="L8" s="100" t="n">
        <x:f>IF(I8,G8,"")</x:f>
        <x:v>0.001723838131817299</x:v>
      </x:c>
      <x:c r="M8" s="100" t="n">
        <x:f>IF(I8,F8^2,"")</x:f>
        <x:v>0.0000029716179047073553</x:v>
      </x:c>
      <x:c r="N8" s="100" t="n">
        <x:f>IF(I8,F8,"")</x:f>
        <x:v>-0.001723838131817299</x:v>
      </x:c>
      <x:c r="P8" t="n">
        <x:f>J8</x:f>
        <x:v>0.002324070776815849</x:v>
      </x:c>
      <x:c r="Q8" t="n">
        <x:f>K8</x:f>
        <x:v>0.0006002326449985503</x:v>
      </x:c>
      <x:c r="S8" t="n">
        <x:v>-0.08</x:v>
      </x:c>
      <x:c r="T8" t="n">
        <x:v>-0.08</x:v>
      </x:c>
    </x:row>
    <x:row r="9">
      <x:c r="A9" s="99" t="str">
        <x:f>'Raw T'!B3</x:f>
        <x:v>00037</x:v>
      </x:c>
      <x:c r="B9" s="100" t="n">
        <x:f>INDEX('Raw Stations'!$D$2:$D$299,MATCH(A9,'Raw Stations'!$A$2:$A$299,0))</x:f>
        <x:v>0.008505758275836578</x:v>
      </x:c>
      <x:c r="C9" s="100" t="n">
        <x:f>'Raw T'!L3</x:f>
        <x:v>-0.02116095376441973</x:v>
      </x:c>
      <x:c r="D9" s="100" t="n">
        <x:f>$B$2</x:f>
        <x:v>-0.01783376051078768</x:v>
      </x:c>
      <x:c r="E9" s="100" t="n">
        <x:f>C9-D9</x:f>
        <x:v>-0.0033271932536320485</x:v>
      </x:c>
      <x:c r="F9" s="100" t="n">
        <x:f>E9-B9</x:f>
        <x:v>-0.011832951529468626</x:v>
      </x:c>
      <x:c r="G9" s="100" t="n">
        <x:f>ABS(F9)</x:f>
        <x:v>0.011832951529468626</x:v>
      </x:c>
      <x:c r="H9" s="100" t="n">
        <x:f>'Raw T'!N3</x:f>
        <x:v>0.9442151991590128</x:v>
      </x:c>
      <x:c r="I9" t="b">
        <x:f>'Raw T'!O3</x:f>
        <x:v>1</x:v>
      </x:c>
      <x:c r="J9" s="100" t="n">
        <x:f>IF(I9,B9,"")</x:f>
        <x:v>0.008505758275836578</x:v>
      </x:c>
      <x:c r="K9" s="100" t="n">
        <x:f>IF(I9,E9,"")</x:f>
        <x:v>-0.0033271932536320485</x:v>
      </x:c>
      <x:c r="L9" s="100" t="n">
        <x:f>IF(I9,G9,"")</x:f>
        <x:v>0.011832951529468626</x:v>
      </x:c>
      <x:c r="M9" s="100" t="n">
        <x:f>IF(I9,F9^2,"")</x:f>
        <x:v>0.0001400187418987539</x:v>
      </x:c>
      <x:c r="N9" s="100" t="n">
        <x:f>IF(I9,F9,"")</x:f>
        <x:v>-0.011832951529468626</x:v>
      </x:c>
      <x:c r="P9" t="n">
        <x:f>J9</x:f>
        <x:v>0.008505758275836578</x:v>
      </x:c>
      <x:c r="Q9" t="n">
        <x:f>K9</x:f>
        <x:v>-0.0033271932536320485</x:v>
      </x:c>
      <x:c r="S9" t="n">
        <x:v>0.08</x:v>
      </x:c>
      <x:c r="T9" t="n">
        <x:v>0.08</x:v>
      </x:c>
    </x:row>
    <x:row r="10">
      <x:c r="A10" s="99" t="str">
        <x:f>'Raw T'!B4</x:f>
        <x:v>00038</x:v>
      </x:c>
      <x:c r="B10" s="100" t="n">
        <x:f>INDEX('Raw Stations'!$D$2:$D$299,MATCH(A10,'Raw Stations'!$A$2:$A$299,0))</x:f>
        <x:v>0.00470310700499235</x:v>
      </x:c>
      <x:c r="C10" s="100" t="n">
        <x:f>'Raw T'!L4</x:f>
        <x:v>-0.02496360503526396</x:v>
      </x:c>
      <x:c r="D10" s="100" t="n">
        <x:f>$B$2</x:f>
        <x:v>-0.01783376051078768</x:v>
      </x:c>
      <x:c r="E10" s="100" t="n">
        <x:f>C10-D10</x:f>
        <x:v>-0.007129844524476282</x:v>
      </x:c>
      <x:c r="F10" s="100" t="n">
        <x:f>E10-B10</x:f>
        <x:v>-0.011832951529468632</x:v>
      </x:c>
      <x:c r="G10" s="100" t="n">
        <x:f>ABS(F10)</x:f>
        <x:v>0.011832951529468632</x:v>
      </x:c>
      <x:c r="H10" s="100" t="n">
        <x:f>'Raw T'!N4</x:f>
        <x:v>0.9446541833663725</x:v>
      </x:c>
      <x:c r="I10" t="b">
        <x:f>'Raw T'!O4</x:f>
        <x:v>1</x:v>
      </x:c>
      <x:c r="J10" s="100" t="n">
        <x:f>IF(I10,B10,"")</x:f>
        <x:v>0.00470310700499235</x:v>
      </x:c>
      <x:c r="K10" s="100" t="n">
        <x:f>IF(I10,E10,"")</x:f>
        <x:v>-0.007129844524476282</x:v>
      </x:c>
      <x:c r="L10" s="100" t="n">
        <x:f>IF(I10,G10,"")</x:f>
        <x:v>0.011832951529468632</x:v>
      </x:c>
      <x:c r="M10" s="100" t="n">
        <x:f>IF(I10,F10^2,"")</x:f>
        <x:v>0.00014001874189875402</x:v>
      </x:c>
      <x:c r="N10" s="100" t="n">
        <x:f>IF(I10,F10,"")</x:f>
        <x:v>-0.011832951529468632</x:v>
      </x:c>
      <x:c r="P10" t="n">
        <x:f>J10</x:f>
        <x:v>0.00470310700499235</x:v>
      </x:c>
      <x:c r="Q10" t="n">
        <x:f>K10</x:f>
        <x:v>-0.007129844524476282</x:v>
      </x:c>
    </x:row>
    <x:row r="11">
      <x:c r="A11" s="99" t="str">
        <x:f>'Raw T'!B5</x:f>
        <x:v>00039</x:v>
      </x:c>
      <x:c r="B11" s="100" t="n">
        <x:f>INDEX('Raw Stations'!$D$2:$D$299,MATCH(A11,'Raw Stations'!$A$2:$A$299,0))</x:f>
        <x:v>0.003906768382867876</x:v>
      </x:c>
      <x:c r="C11" s="100" t="n">
        <x:f>'Raw T'!L5</x:f>
        <x:v>-0.02760822645704075</x:v>
      </x:c>
      <x:c r="D11" s="100" t="n">
        <x:f>$B$2</x:f>
        <x:v>-0.01783376051078768</x:v>
      </x:c>
      <x:c r="E11" s="100" t="n">
        <x:f>C11-D11</x:f>
        <x:v>-0.009774465946253068</x:v>
      </x:c>
      <x:c r="F11" s="100" t="n">
        <x:f>E11-B11</x:f>
        <x:v>-0.013681234329120944</x:v>
      </x:c>
      <x:c r="G11" s="100" t="n">
        <x:f>ABS(F11)</x:f>
        <x:v>0.013681234329120944</x:v>
      </x:c>
      <x:c r="H11" s="100" t="n">
        <x:f>'Raw T'!N5</x:f>
        <x:v>0.9109729327424545</x:v>
      </x:c>
      <x:c r="I11" t="b">
        <x:f>'Raw T'!O5</x:f>
        <x:v>1</x:v>
      </x:c>
      <x:c r="J11" s="100" t="n">
        <x:f>IF(I11,B11,"")</x:f>
        <x:v>0.003906768382867876</x:v>
      </x:c>
      <x:c r="K11" s="100" t="n">
        <x:f>IF(I11,E11,"")</x:f>
        <x:v>-0.009774465946253068</x:v>
      </x:c>
      <x:c r="L11" s="100" t="n">
        <x:f>IF(I11,G11,"")</x:f>
        <x:v>0.013681234329120944</x:v>
      </x:c>
      <x:c r="M11" s="100" t="n">
        <x:f>IF(I11,F11^2,"")</x:f>
        <x:v>0.00018717617276831742</x:v>
      </x:c>
      <x:c r="N11" s="100" t="n">
        <x:f>IF(I11,F11,"")</x:f>
        <x:v>-0.013681234329120944</x:v>
      </x:c>
      <x:c r="P11" t="n">
        <x:f>J11</x:f>
        <x:v>0.003906768382867876</x:v>
      </x:c>
      <x:c r="Q11" t="n">
        <x:f>K11</x:f>
        <x:v>-0.009774465946253068</x:v>
      </x:c>
    </x:row>
    <x:row r="12">
      <x:c r="A12" s="99" t="str">
        <x:f>'Raw T'!B6</x:f>
        <x:v>00040</x:v>
      </x:c>
      <x:c r="B12" s="100" t="n">
        <x:f>INDEX('Raw Stations'!$D$2:$D$299,MATCH(A12,'Raw Stations'!$A$2:$A$299,0))</x:f>
        <x:v>-0.0002087563125119027</x:v>
      </x:c>
      <x:c r="C12" s="100" t="n">
        <x:f>'Raw T'!L6</x:f>
        <x:v>-0.02937417284625377</x:v>
      </x:c>
      <x:c r="D12" s="100" t="n">
        <x:f>$B$2</x:f>
        <x:v>-0.01783376051078768</x:v>
      </x:c>
      <x:c r="E12" s="100" t="n">
        <x:f>C12-D12</x:f>
        <x:v>-0.011540412335466089</x:v>
      </x:c>
      <x:c r="F12" s="100" t="n">
        <x:f>E12-B12</x:f>
        <x:v>-0.011331656022954186</x:v>
      </x:c>
      <x:c r="G12" s="100" t="n">
        <x:f>ABS(F12)</x:f>
        <x:v>0.011331656022954186</x:v>
      </x:c>
      <x:c r="H12" s="100" t="n">
        <x:f>'Raw T'!N6</x:f>
        <x:v>0.9717075314620155</x:v>
      </x:c>
      <x:c r="I12" t="b">
        <x:f>'Raw T'!O6</x:f>
        <x:v>1</x:v>
      </x:c>
      <x:c r="J12" s="100" t="n">
        <x:f>IF(I12,B12,"")</x:f>
        <x:v>-0.0002087563125119027</x:v>
      </x:c>
      <x:c r="K12" s="100" t="n">
        <x:f>IF(I12,E12,"")</x:f>
        <x:v>-0.011540412335466089</x:v>
      </x:c>
      <x:c r="L12" s="100" t="n">
        <x:f>IF(I12,G12,"")</x:f>
        <x:v>0.011331656022954186</x:v>
      </x:c>
      <x:c r="M12" s="100" t="n">
        <x:f>IF(I12,F12^2,"")</x:f>
        <x:v>0.0001284064282225539</x:v>
      </x:c>
      <x:c r="N12" s="100" t="n">
        <x:f>IF(I12,F12,"")</x:f>
        <x:v>-0.011331656022954186</x:v>
      </x:c>
      <x:c r="P12" t="n">
        <x:f>J12</x:f>
        <x:v>-0.0002087563125119027</x:v>
      </x:c>
      <x:c r="Q12" t="n">
        <x:f>K12</x:f>
        <x:v>-0.011540412335466089</x:v>
      </x:c>
    </x:row>
    <x:row r="13">
      <x:c r="A13" s="99" t="str">
        <x:f>'Raw T'!B7</x:f>
        <x:v>00041</x:v>
      </x:c>
      <x:c r="B13" s="100" t="n">
        <x:f>INDEX('Raw Stations'!$D$2:$D$299,MATCH(A13,'Raw Stations'!$A$2:$A$299,0))</x:f>
        <x:v>0.00358026977195911</x:v>
      </x:c>
      <x:c r="C13" s="100" t="n">
        <x:f>'Raw T'!L7</x:f>
        <x:v>-0.02942895521609157</x:v>
      </x:c>
      <x:c r="D13" s="100" t="n">
        <x:f>$B$2</x:f>
        <x:v>-0.01783376051078768</x:v>
      </x:c>
      <x:c r="E13" s="100" t="n">
        <x:f>C13-D13</x:f>
        <x:v>-0.011595194705303891</x:v>
      </x:c>
      <x:c r="F13" s="100" t="n">
        <x:f>E13-B13</x:f>
        <x:v>-0.015175464477263001</x:v>
      </x:c>
      <x:c r="G13" s="100" t="n">
        <x:f>ABS(F13)</x:f>
        <x:v>0.015175464477263001</x:v>
      </x:c>
      <x:c r="H13" s="100" t="n">
        <x:f>'Raw T'!N7</x:f>
        <x:v>0.9954582185783529</x:v>
      </x:c>
      <x:c r="I13" t="b">
        <x:f>'Raw T'!O7</x:f>
        <x:v>1</x:v>
      </x:c>
      <x:c r="J13" s="100" t="n">
        <x:f>IF(I13,B13,"")</x:f>
        <x:v>0.00358026977195911</x:v>
      </x:c>
      <x:c r="K13" s="100" t="n">
        <x:f>IF(I13,E13,"")</x:f>
        <x:v>-0.011595194705303891</x:v>
      </x:c>
      <x:c r="L13" s="100" t="n">
        <x:f>IF(I13,G13,"")</x:f>
        <x:v>0.015175464477263001</x:v>
      </x:c>
      <x:c r="M13" s="100" t="n">
        <x:f>IF(I13,F13^2,"")</x:f>
        <x:v>0.00023029472210067122</x:v>
      </x:c>
      <x:c r="N13" s="100" t="n">
        <x:f>IF(I13,F13,"")</x:f>
        <x:v>-0.015175464477263001</x:v>
      </x:c>
      <x:c r="P13" t="n">
        <x:f>J13</x:f>
        <x:v>0.00358026977195911</x:v>
      </x:c>
      <x:c r="Q13" t="n">
        <x:f>K13</x:f>
        <x:v>-0.011595194705303891</x:v>
      </x:c>
    </x:row>
    <x:row r="14">
      <x:c r="A14" s="99" t="str">
        <x:f>'Raw T'!B8</x:f>
        <x:v>00042</x:v>
      </x:c>
      <x:c r="B14" s="100" t="n">
        <x:f>INDEX('Raw Stations'!$D$2:$D$299,MATCH(A14,'Raw Stations'!$A$2:$A$299,0))</x:f>
        <x:v>0.004263097793196531</x:v>
      </x:c>
      <x:c r="C14" s="100" t="n">
        <x:f>'Raw T'!L8</x:f>
        <x:v>-0.03512486565226136</x:v>
      </x:c>
      <x:c r="D14" s="100" t="n">
        <x:f>$B$2</x:f>
        <x:v>-0.01783376051078768</x:v>
      </x:c>
      <x:c r="E14" s="100" t="n">
        <x:f>C14-D14</x:f>
        <x:v>-0.01729110514147368</x:v>
      </x:c>
      <x:c r="F14" s="100" t="n">
        <x:f>E14-B14</x:f>
        <x:v>-0.02155420293467021</x:v>
      </x:c>
      <x:c r="G14" s="100" t="n">
        <x:f>ABS(F14)</x:f>
        <x:v>0.02155420293467021</x:v>
      </x:c>
      <x:c r="H14" s="100" t="n">
        <x:f>'Raw T'!N8</x:f>
        <x:v>0.9867717635717626</x:v>
      </x:c>
      <x:c r="I14" t="b">
        <x:f>'Raw T'!O8</x:f>
        <x:v>1</x:v>
      </x:c>
      <x:c r="J14" s="100" t="n">
        <x:f>IF(I14,B14,"")</x:f>
        <x:v>0.004263097793196531</x:v>
      </x:c>
      <x:c r="K14" s="100" t="n">
        <x:f>IF(I14,E14,"")</x:f>
        <x:v>-0.01729110514147368</x:v>
      </x:c>
      <x:c r="L14" s="100" t="n">
        <x:f>IF(I14,G14,"")</x:f>
        <x:v>0.02155420293467021</x:v>
      </x:c>
      <x:c r="M14" s="100" t="n">
        <x:f>IF(I14,F14^2,"")</x:f>
        <x:v>0.00046458366414894593</x:v>
      </x:c>
      <x:c r="N14" s="100" t="n">
        <x:f>IF(I14,F14,"")</x:f>
        <x:v>-0.02155420293467021</x:v>
      </x:c>
      <x:c r="P14" t="n">
        <x:f>J14</x:f>
        <x:v>0.004263097793196531</x:v>
      </x:c>
      <x:c r="Q14" t="n">
        <x:f>K14</x:f>
        <x:v>-0.01729110514147368</x:v>
      </x:c>
    </x:row>
    <x:row r="15">
      <x:c r="A15" s="99" t="str">
        <x:f>'Raw T'!B9</x:f>
        <x:v>00043</x:v>
      </x:c>
      <x:c r="B15" s="100" t="n">
        <x:f>INDEX('Raw Stations'!$D$2:$D$299,MATCH(A15,'Raw Stations'!$A$2:$A$299,0))</x:f>
        <x:v>0.009528350892782811</x:v>
      </x:c>
      <x:c r="C15" s="100" t="n">
        <x:f>'Raw T'!L9</x:f>
        <x:v>-0.02764400818957816</x:v>
      </x:c>
      <x:c r="D15" s="100" t="n">
        <x:f>$B$2</x:f>
        <x:v>-0.01783376051078768</x:v>
      </x:c>
      <x:c r="E15" s="100" t="n">
        <x:f>C15-D15</x:f>
        <x:v>-0.00981024767879048</x:v>
      </x:c>
      <x:c r="F15" s="100" t="n">
        <x:f>E15-B15</x:f>
        <x:v>-0.01933859857157329</x:v>
      </x:c>
      <x:c r="G15" s="100" t="n">
        <x:f>ABS(F15)</x:f>
        <x:v>0.01933859857157329</x:v>
      </x:c>
      <x:c r="H15" s="100" t="n">
        <x:f>'Raw T'!N9</x:f>
        <x:v>0.9725259648717489</x:v>
      </x:c>
      <x:c r="I15" t="b">
        <x:f>'Raw T'!O9</x:f>
        <x:v>1</x:v>
      </x:c>
      <x:c r="J15" s="100" t="n">
        <x:f>IF(I15,B15,"")</x:f>
        <x:v>0.009528350892782811</x:v>
      </x:c>
      <x:c r="K15" s="100" t="n">
        <x:f>IF(I15,E15,"")</x:f>
        <x:v>-0.00981024767879048</x:v>
      </x:c>
      <x:c r="L15" s="100" t="n">
        <x:f>IF(I15,G15,"")</x:f>
        <x:v>0.01933859857157329</x:v>
      </x:c>
      <x:c r="M15" s="100" t="n">
        <x:f>IF(I15,F15^2,"")</x:f>
        <x:v>0.0003739813947124565</x:v>
      </x:c>
      <x:c r="N15" s="100" t="n">
        <x:f>IF(I15,F15,"")</x:f>
        <x:v>-0.01933859857157329</x:v>
      </x:c>
      <x:c r="P15" t="n">
        <x:f>J15</x:f>
        <x:v>0.009528350892782811</x:v>
      </x:c>
      <x:c r="Q15" t="n">
        <x:f>K15</x:f>
        <x:v>-0.00981024767879048</x:v>
      </x:c>
    </x:row>
    <x:row r="16">
      <x:c r="A16" s="99" t="str">
        <x:f>'Raw T'!B10</x:f>
        <x:v>00044</x:v>
      </x:c>
      <x:c r="B16" s="100" t="n">
        <x:f>INDEX('Raw Stations'!$D$2:$D$299,MATCH(A16,'Raw Stations'!$A$2:$A$299,0))</x:f>
        <x:v>0.009092824066710387</x:v>
      </x:c>
      <x:c r="C16" s="100" t="n">
        <x:f>'Raw T'!L10</x:f>
        <x:v>-0.04123653648629524</x:v>
      </x:c>
      <x:c r="D16" s="100" t="n">
        <x:f>$B$2</x:f>
        <x:v>-0.01783376051078768</x:v>
      </x:c>
      <x:c r="E16" s="100" t="n">
        <x:f>C16-D16</x:f>
        <x:v>-0.023402775975507557</x:v>
      </x:c>
      <x:c r="F16" s="100" t="n">
        <x:f>E16-B16</x:f>
        <x:v>-0.032495600042217944</x:v>
      </x:c>
      <x:c r="G16" s="100" t="n">
        <x:f>ABS(F16)</x:f>
        <x:v>0.032495600042217944</x:v>
      </x:c>
      <x:c r="H16" s="100" t="n">
        <x:f>'Raw T'!N10</x:f>
        <x:v>0.9336625056527378</x:v>
      </x:c>
      <x:c r="I16" t="b">
        <x:f>'Raw T'!O10</x:f>
        <x:v>1</x:v>
      </x:c>
      <x:c r="J16" s="100" t="n">
        <x:f>IF(I16,B16,"")</x:f>
        <x:v>0.009092824066710387</x:v>
      </x:c>
      <x:c r="K16" s="100" t="n">
        <x:f>IF(I16,E16,"")</x:f>
        <x:v>-0.023402775975507557</x:v>
      </x:c>
      <x:c r="L16" s="100" t="n">
        <x:f>IF(I16,G16,"")</x:f>
        <x:v>0.032495600042217944</x:v>
      </x:c>
      <x:c r="M16" s="100" t="n">
        <x:f>IF(I16,F16^2,"")</x:f>
        <x:v>0.0010559640221037949</x:v>
      </x:c>
      <x:c r="N16" s="100" t="n">
        <x:f>IF(I16,F16,"")</x:f>
        <x:v>-0.032495600042217944</x:v>
      </x:c>
      <x:c r="P16" t="n">
        <x:f>J16</x:f>
        <x:v>0.009092824066710387</x:v>
      </x:c>
      <x:c r="Q16" t="n">
        <x:f>K16</x:f>
        <x:v>-0.023402775975507557</x:v>
      </x:c>
    </x:row>
    <x:row r="17">
      <x:c r="A17" s="99" t="str">
        <x:f>'Raw T'!B11</x:f>
        <x:v>00045</x:v>
      </x:c>
      <x:c r="B17" s="100" t="n">
        <x:f>INDEX('Raw Stations'!$D$2:$D$299,MATCH(A17,'Raw Stations'!$A$2:$A$299,0))</x:f>
        <x:v>0.02515142487555863</x:v>
      </x:c>
      <x:c r="C17" s="100" t="n">
        <x:f>'Raw T'!L11</x:f>
        <x:v>-0.01009574326192048</x:v>
      </x:c>
      <x:c r="D17" s="100" t="n">
        <x:f>$B$2</x:f>
        <x:v>-0.01783376051078768</x:v>
      </x:c>
      <x:c r="E17" s="100" t="n">
        <x:f>C17-D17</x:f>
        <x:v>0.007738017248867201</x:v>
      </x:c>
      <x:c r="F17" s="100" t="n">
        <x:f>E17-B17</x:f>
        <x:v>-0.01741340762669143</x:v>
      </x:c>
      <x:c r="G17" s="100" t="n">
        <x:f>ABS(F17)</x:f>
        <x:v>0.01741340762669143</x:v>
      </x:c>
      <x:c r="H17" s="100" t="n">
        <x:f>'Raw T'!N11</x:f>
        <x:v>0.9089788465497713</x:v>
      </x:c>
      <x:c r="I17" t="b">
        <x:f>'Raw T'!O11</x:f>
        <x:v>1</x:v>
      </x:c>
      <x:c r="J17" s="100" t="n">
        <x:f>IF(I17,B17,"")</x:f>
        <x:v>0.02515142487555863</x:v>
      </x:c>
      <x:c r="K17" s="100" t="n">
        <x:f>IF(I17,E17,"")</x:f>
        <x:v>0.007738017248867201</x:v>
      </x:c>
      <x:c r="L17" s="100" t="n">
        <x:f>IF(I17,G17,"")</x:f>
        <x:v>0.01741340762669143</x:v>
      </x:c>
      <x:c r="M17" s="100" t="n">
        <x:f>IF(I17,F17^2,"")</x:f>
        <x:v>0.00030322676517331525</x:v>
      </x:c>
      <x:c r="N17" s="100" t="n">
        <x:f>IF(I17,F17,"")</x:f>
        <x:v>-0.01741340762669143</x:v>
      </x:c>
      <x:c r="P17" t="n">
        <x:f>J17</x:f>
        <x:v>0.02515142487555863</x:v>
      </x:c>
      <x:c r="Q17" t="n">
        <x:f>K17</x:f>
        <x:v>0.007738017248867201</x:v>
      </x:c>
    </x:row>
    <x:row r="18">
      <x:c r="A18" s="99" t="str">
        <x:f>'Raw T'!B12</x:f>
        <x:v>00046</x:v>
      </x:c>
      <x:c r="B18" s="100" t="n">
        <x:f>INDEX('Raw Stations'!$D$2:$D$299,MATCH(A18,'Raw Stations'!$A$2:$A$299,0))</x:f>
        <x:v>0.02675773833592649</x:v>
      </x:c>
      <x:c r="C18" s="100" t="n">
        <x:f>'Raw T'!L12</x:f>
        <x:v>-0.01751687511965666</x:v>
      </x:c>
      <x:c r="D18" s="100" t="n">
        <x:f>$B$2</x:f>
        <x:v>-0.01783376051078768</x:v>
      </x:c>
      <x:c r="E18" s="100" t="n">
        <x:f>C18-D18</x:f>
        <x:v>0.0003168853911310193</x:v>
      </x:c>
      <x:c r="F18" s="100" t="n">
        <x:f>E18-B18</x:f>
        <x:v>-0.026440852944795472</x:v>
      </x:c>
      <x:c r="G18" s="100" t="n">
        <x:f>ABS(F18)</x:f>
        <x:v>0.026440852944795472</x:v>
      </x:c>
      <x:c r="H18" s="100" t="n">
        <x:f>'Raw T'!N12</x:f>
        <x:v>0.920734752824458</x:v>
      </x:c>
      <x:c r="I18" t="b">
        <x:f>'Raw T'!O12</x:f>
        <x:v>1</x:v>
      </x:c>
      <x:c r="J18" s="100" t="n">
        <x:f>IF(I18,B18,"")</x:f>
        <x:v>0.02675773833592649</x:v>
      </x:c>
      <x:c r="K18" s="100" t="n">
        <x:f>IF(I18,E18,"")</x:f>
        <x:v>0.0003168853911310193</x:v>
      </x:c>
      <x:c r="L18" s="100" t="n">
        <x:f>IF(I18,G18,"")</x:f>
        <x:v>0.026440852944795472</x:v>
      </x:c>
      <x:c r="M18" s="100" t="n">
        <x:f>IF(I18,F18^2,"")</x:f>
        <x:v>0.0006991187044482994</x:v>
      </x:c>
      <x:c r="N18" s="100" t="n">
        <x:f>IF(I18,F18,"")</x:f>
        <x:v>-0.026440852944795472</x:v>
      </x:c>
      <x:c r="P18" t="n">
        <x:f>J18</x:f>
        <x:v>0.02675773833592649</x:v>
      </x:c>
      <x:c r="Q18" t="n">
        <x:f>K18</x:f>
        <x:v>0.0003168853911310193</x:v>
      </x:c>
    </x:row>
    <x:row r="19">
      <x:c r="A19" s="99" t="str">
        <x:f>'Raw T'!B13</x:f>
        <x:v>00047</x:v>
      </x:c>
      <x:c r="B19" s="100" t="n">
        <x:f>INDEX('Raw Stations'!$D$2:$D$299,MATCH(A19,'Raw Stations'!$A$2:$A$299,0))</x:f>
        <x:v>0.01528010894597948</x:v>
      </x:c>
      <x:c r="C19" s="100" t="n">
        <x:f>'Raw T'!L13</x:f>
        <x:v>-0.03054342696306894</x:v>
      </x:c>
      <x:c r="D19" s="100" t="n">
        <x:f>$B$2</x:f>
        <x:v>-0.01783376051078768</x:v>
      </x:c>
      <x:c r="E19" s="100" t="n">
        <x:f>C19-D19</x:f>
        <x:v>-0.012709666452281259</x:v>
      </x:c>
      <x:c r="F19" s="100" t="n">
        <x:f>E19-B19</x:f>
        <x:v>-0.02798977539826074</x:v>
      </x:c>
      <x:c r="G19" s="100" t="n">
        <x:f>ABS(F19)</x:f>
        <x:v>0.02798977539826074</x:v>
      </x:c>
      <x:c r="H19" s="100" t="n">
        <x:f>'Raw T'!N13</x:f>
        <x:v>0.9699060858696329</x:v>
      </x:c>
      <x:c r="I19" t="b">
        <x:f>'Raw T'!O13</x:f>
        <x:v>1</x:v>
      </x:c>
      <x:c r="J19" s="100" t="n">
        <x:f>IF(I19,B19,"")</x:f>
        <x:v>0.01528010894597948</x:v>
      </x:c>
      <x:c r="K19" s="100" t="n">
        <x:f>IF(I19,E19,"")</x:f>
        <x:v>-0.012709666452281259</x:v>
      </x:c>
      <x:c r="L19" s="100" t="n">
        <x:f>IF(I19,G19,"")</x:f>
        <x:v>0.02798977539826074</x:v>
      </x:c>
      <x:c r="M19" s="100" t="n">
        <x:f>IF(I19,F19^2,"")</x:f>
        <x:v>0.000783427526845082</x:v>
      </x:c>
      <x:c r="N19" s="100" t="n">
        <x:f>IF(I19,F19,"")</x:f>
        <x:v>-0.02798977539826074</x:v>
      </x:c>
      <x:c r="P19" t="n">
        <x:f>J19</x:f>
        <x:v>0.01528010894597948</x:v>
      </x:c>
      <x:c r="Q19" t="n">
        <x:f>K19</x:f>
        <x:v>-0.012709666452281259</x:v>
      </x:c>
    </x:row>
    <x:row r="20">
      <x:c r="A20" s="99" t="str">
        <x:f>'Raw T'!B14</x:f>
        <x:v>00048</x:v>
      </x:c>
      <x:c r="B20" s="100" t="n">
        <x:f>INDEX('Raw Stations'!$D$2:$D$299,MATCH(A20,'Raw Stations'!$A$2:$A$299,0))</x:f>
        <x:v>0.01644389798776964</x:v>
      </x:c>
      <x:c r="C20" s="100" t="n">
        <x:f>'Raw T'!L14</x:f>
        <x:v>-0.04041189410906193</x:v>
      </x:c>
      <x:c r="D20" s="100" t="n">
        <x:f>$B$2</x:f>
        <x:v>-0.01783376051078768</x:v>
      </x:c>
      <x:c r="E20" s="100" t="n">
        <x:f>C20-D20</x:f>
        <x:v>-0.02257813359827425</x:v>
      </x:c>
      <x:c r="F20" s="100" t="n">
        <x:f>E20-B20</x:f>
        <x:v>-0.03902203158604389</x:v>
      </x:c>
      <x:c r="G20" s="100" t="n">
        <x:f>ABS(F20)</x:f>
        <x:v>0.03902203158604389</x:v>
      </x:c>
      <x:c r="H20" s="100" t="n">
        <x:f>'Raw T'!N14</x:f>
        <x:v>0.9726086918038861</x:v>
      </x:c>
      <x:c r="I20" t="b">
        <x:f>'Raw T'!O14</x:f>
        <x:v>1</x:v>
      </x:c>
      <x:c r="J20" s="100" t="n">
        <x:f>IF(I20,B20,"")</x:f>
        <x:v>0.01644389798776964</x:v>
      </x:c>
      <x:c r="K20" s="100" t="n">
        <x:f>IF(I20,E20,"")</x:f>
        <x:v>-0.02257813359827425</x:v>
      </x:c>
      <x:c r="L20" s="100" t="n">
        <x:f>IF(I20,G20,"")</x:f>
        <x:v>0.03902203158604389</x:v>
      </x:c>
      <x:c r="M20" s="100" t="n">
        <x:f>IF(I20,F20^2,"")</x:f>
        <x:v>0.0015227189491022071</x:v>
      </x:c>
      <x:c r="N20" s="100" t="n">
        <x:f>IF(I20,F20,"")</x:f>
        <x:v>-0.03902203158604389</x:v>
      </x:c>
      <x:c r="P20" t="n">
        <x:f>J20</x:f>
        <x:v>0.01644389798776964</x:v>
      </x:c>
      <x:c r="Q20" t="n">
        <x:f>K20</x:f>
        <x:v>-0.02257813359827425</x:v>
      </x:c>
    </x:row>
    <x:row r="21">
      <x:c r="A21" s="99" t="str">
        <x:f>'Raw T'!B15</x:f>
        <x:v>00049</x:v>
      </x:c>
      <x:c r="B21" s="100" t="n">
        <x:f>INDEX('Raw Stations'!$D$2:$D$299,MATCH(A21,'Raw Stations'!$A$2:$A$299,0))</x:f>
        <x:v>0.002435572463590521</x:v>
      </x:c>
      <x:c r="C21" s="100" t="n">
        <x:f>'Raw T'!L15</x:f>
        <x:v>-0.0233879634454579</x:v>
      </x:c>
      <x:c r="D21" s="100" t="n">
        <x:f>$B$2</x:f>
        <x:v>-0.01783376051078768</x:v>
      </x:c>
      <x:c r="E21" s="100" t="n">
        <x:f>C21-D21</x:f>
        <x:v>-0.005554202934670221</x:v>
      </x:c>
      <x:c r="F21" s="100" t="n">
        <x:f>E21-B21</x:f>
        <x:v>-0.007989775398260741</x:v>
      </x:c>
      <x:c r="G21" s="100" t="n">
        <x:f>ABS(F21)</x:f>
        <x:v>0.007989775398260741</x:v>
      </x:c>
      <x:c r="H21" s="100" t="n">
        <x:f>'Raw T'!N15</x:f>
        <x:v>0.9019313978707806</x:v>
      </x:c>
      <x:c r="I21" t="b">
        <x:f>'Raw T'!O15</x:f>
        <x:v>1</x:v>
      </x:c>
      <x:c r="J21" s="100" t="n">
        <x:f>IF(I21,B21,"")</x:f>
        <x:v>0.002435572463590521</x:v>
      </x:c>
      <x:c r="K21" s="100" t="n">
        <x:f>IF(I21,E21,"")</x:f>
        <x:v>-0.005554202934670221</x:v>
      </x:c>
      <x:c r="L21" s="100" t="n">
        <x:f>IF(I21,G21,"")</x:f>
        <x:v>0.007989775398260741</x:v>
      </x:c>
      <x:c r="M21" s="100" t="n">
        <x:f>IF(I21,F21^2,"")</x:f>
        <x:v>0.00006383651091465259</x:v>
      </x:c>
      <x:c r="N21" s="100" t="n">
        <x:f>IF(I21,F21,"")</x:f>
        <x:v>-0.007989775398260741</x:v>
      </x:c>
      <x:c r="P21" t="n">
        <x:f>J21</x:f>
        <x:v>0.002435572463590521</x:v>
      </x:c>
      <x:c r="Q21" t="n">
        <x:f>K21</x:f>
        <x:v>-0.005554202934670221</x:v>
      </x:c>
    </x:row>
    <x:row r="22">
      <x:c r="A22" s="99" t="str">
        <x:f>'Raw T'!B16</x:f>
        <x:v>00051</x:v>
      </x:c>
      <x:c r="B22" s="100" t="n">
        <x:f>INDEX('Raw Stations'!$D$2:$D$299,MATCH(A22,'Raw Stations'!$A$2:$A$299,0))</x:f>
        <x:v>-0.00304927875036071</x:v>
      </x:c>
      <x:c r="C22" s="100" t="n">
        <x:f>'Raw T'!L16</x:f>
        <x:v>-0.03482947604189879</x:v>
      </x:c>
      <x:c r="D22" s="100" t="n">
        <x:f>$B$2</x:f>
        <x:v>-0.01783376051078768</x:v>
      </x:c>
      <x:c r="E22" s="100" t="n">
        <x:f>C22-D22</x:f>
        <x:v>-0.016995715531111108</x:v>
      </x:c>
      <x:c r="F22" s="100" t="n">
        <x:f>E22-B22</x:f>
        <x:v>-0.013946436780750398</x:v>
      </x:c>
      <x:c r="G22" s="100" t="n">
        <x:f>ABS(F22)</x:f>
        <x:v>0.013946436780750398</x:v>
      </x:c>
      <x:c r="H22" s="100" t="n">
        <x:f>'Raw T'!N16</x:f>
        <x:v>0.7906835564415385</x:v>
      </x:c>
      <x:c r="I22" t="b">
        <x:f>'Raw T'!O16</x:f>
        <x:v>1</x:v>
      </x:c>
      <x:c r="J22" s="100" t="n">
        <x:f>IF(I22,B22,"")</x:f>
        <x:v>-0.00304927875036071</x:v>
      </x:c>
      <x:c r="K22" s="100" t="n">
        <x:f>IF(I22,E22,"")</x:f>
        <x:v>-0.016995715531111108</x:v>
      </x:c>
      <x:c r="L22" s="100" t="n">
        <x:f>IF(I22,G22,"")</x:f>
        <x:v>0.013946436780750398</x:v>
      </x:c>
      <x:c r="M22" s="100" t="n">
        <x:f>IF(I22,F22^2,"")</x:f>
        <x:v>0.00019450309887946753</x:v>
      </x:c>
      <x:c r="N22" s="100" t="n">
        <x:f>IF(I22,F22,"")</x:f>
        <x:v>-0.013946436780750398</x:v>
      </x:c>
      <x:c r="P22" t="n">
        <x:f>J22</x:f>
        <x:v>-0.00304927875036071</x:v>
      </x:c>
      <x:c r="Q22" t="n">
        <x:f>K22</x:f>
        <x:v>-0.016995715531111108</x:v>
      </x:c>
    </x:row>
    <x:row r="23">
      <x:c r="A23" s="99" t="str">
        <x:f>'Raw T'!B17</x:f>
        <x:v>00052</x:v>
      </x:c>
      <x:c r="B23" s="100" t="n">
        <x:f>INDEX('Raw Stations'!$D$2:$D$299,MATCH(A23,'Raw Stations'!$A$2:$A$299,0))</x:f>
        <x:v>0.000814765883671513</x:v>
      </x:c>
      <x:c r="C23" s="100" t="n">
        <x:f>'Raw T'!L17</x:f>
        <x:v>-0.03227461345558313</x:v>
      </x:c>
      <x:c r="D23" s="100" t="n">
        <x:f>$B$2</x:f>
        <x:v>-0.01783376051078768</x:v>
      </x:c>
      <x:c r="E23" s="100" t="n">
        <x:f>C23-D23</x:f>
        <x:v>-0.014440852944795447</x:v>
      </x:c>
      <x:c r="F23" s="100" t="n">
        <x:f>E23-B23</x:f>
        <x:v>-0.01525561882846696</x:v>
      </x:c>
      <x:c r="G23" s="100" t="n">
        <x:f>ABS(F23)</x:f>
        <x:v>0.01525561882846696</x:v>
      </x:c>
      <x:c r="H23" s="100" t="n">
        <x:f>'Raw T'!N17</x:f>
        <x:v>0.9169150959357618</x:v>
      </x:c>
      <x:c r="I23" t="b">
        <x:f>'Raw T'!O17</x:f>
        <x:v>1</x:v>
      </x:c>
      <x:c r="J23" s="100" t="n">
        <x:f>IF(I23,B23,"")</x:f>
        <x:v>0.000814765883671513</x:v>
      </x:c>
      <x:c r="K23" s="100" t="n">
        <x:f>IF(I23,E23,"")</x:f>
        <x:v>-0.014440852944795447</x:v>
      </x:c>
      <x:c r="L23" s="100" t="n">
        <x:f>IF(I23,G23,"")</x:f>
        <x:v>0.01525561882846696</x:v>
      </x:c>
      <x:c r="M23" s="100" t="n">
        <x:f>IF(I23,F23^2,"")</x:f>
        <x:v>0.00023273390583947564</x:v>
      </x:c>
      <x:c r="N23" s="100" t="n">
        <x:f>IF(I23,F23,"")</x:f>
        <x:v>-0.01525561882846696</x:v>
      </x:c>
      <x:c r="P23" t="n">
        <x:f>J23</x:f>
        <x:v>0.000814765883671513</x:v>
      </x:c>
      <x:c r="Q23" t="n">
        <x:f>K23</x:f>
        <x:v>-0.014440852944795447</x:v>
      </x:c>
    </x:row>
    <x:row r="24">
      <x:c r="A24" s="99" t="str">
        <x:f>'Raw T'!B18</x:f>
        <x:v>00053</x:v>
      </x:c>
      <x:c r="B24" s="100" t="n">
        <x:f>INDEX('Raw Stations'!$D$2:$D$299,MATCH(A24,'Raw Stations'!$A$2:$A$299,0))</x:f>
        <x:v>-0.001777453088283948</x:v>
      </x:c>
      <x:c r="C24" s="100" t="n">
        <x:f>'Raw T'!L18</x:f>
        <x:v>-0.02916541653374186</x:v>
      </x:c>
      <x:c r="D24" s="100" t="n">
        <x:f>$B$2</x:f>
        <x:v>-0.01783376051078768</x:v>
      </x:c>
      <x:c r="E24" s="100" t="n">
        <x:f>C24-D24</x:f>
        <x:v>-0.01133165602295418</x:v>
      </x:c>
      <x:c r="F24" s="100" t="n">
        <x:f>E24-B24</x:f>
        <x:v>-0.009554202934670231</x:v>
      </x:c>
      <x:c r="G24" s="100" t="n">
        <x:f>ABS(F24)</x:f>
        <x:v>0.009554202934670231</x:v>
      </x:c>
      <x:c r="H24" s="100" t="n">
        <x:f>'Raw T'!N18</x:f>
        <x:v>0.9854360754940252</x:v>
      </x:c>
      <x:c r="I24" t="b">
        <x:f>'Raw T'!O18</x:f>
        <x:v>1</x:v>
      </x:c>
      <x:c r="J24" s="100" t="n">
        <x:f>IF(I24,B24,"")</x:f>
        <x:v>-0.001777453088283948</x:v>
      </x:c>
      <x:c r="K24" s="100" t="n">
        <x:f>IF(I24,E24,"")</x:f>
        <x:v>-0.01133165602295418</x:v>
      </x:c>
      <x:c r="L24" s="100" t="n">
        <x:f>IF(I24,G24,"")</x:f>
        <x:v>0.009554202934670231</x:v>
      </x:c>
      <x:c r="M24" s="100" t="n">
        <x:f>IF(I24,F24^2,"")</x:f>
        <x:v>0.00009128279371686126</x:v>
      </x:c>
      <x:c r="N24" s="100" t="n">
        <x:f>IF(I24,F24,"")</x:f>
        <x:v>-0.009554202934670231</x:v>
      </x:c>
      <x:c r="P24" t="n">
        <x:f>J24</x:f>
        <x:v>-0.001777453088283948</x:v>
      </x:c>
      <x:c r="Q24" t="n">
        <x:f>K24</x:f>
        <x:v>-0.01133165602295418</x:v>
      </x:c>
    </x:row>
    <x:row r="25">
      <x:c r="A25" s="99" t="str">
        <x:f>'Raw T'!B19</x:f>
        <x:v>00054</x:v>
      </x:c>
      <x:c r="B25" s="100" t="n">
        <x:f>INDEX('Raw Stations'!$D$2:$D$299,MATCH(A25,'Raw Stations'!$A$2:$A$299,0))</x:f>
        <x:v>-0.00139910433944199</x:v>
      </x:c>
      <x:c r="C25" s="100" t="n">
        <x:f>'Raw T'!L19</x:f>
        <x:v>-0.02917930163098006</x:v>
      </x:c>
      <x:c r="D25" s="100" t="n">
        <x:f>$B$2</x:f>
        <x:v>-0.01783376051078768</x:v>
      </x:c>
      <x:c r="E25" s="100" t="n">
        <x:f>C25-D25</x:f>
        <x:v>-0.011345541120192381</x:v>
      </x:c>
      <x:c r="F25" s="100" t="n">
        <x:f>E25-B25</x:f>
        <x:v>-0.009946436780750391</x:v>
      </x:c>
      <x:c r="G25" s="100" t="n">
        <x:f>ABS(F25)</x:f>
        <x:v>0.009946436780750391</x:v>
      </x:c>
      <x:c r="H25" s="100" t="n">
        <x:f>'Raw T'!N19</x:f>
        <x:v>0.9945403922022721</x:v>
      </x:c>
      <x:c r="I25" t="b">
        <x:f>'Raw T'!O19</x:f>
        <x:v>1</x:v>
      </x:c>
      <x:c r="J25" s="100" t="n">
        <x:f>IF(I25,B25,"")</x:f>
        <x:v>-0.00139910433944199</x:v>
      </x:c>
      <x:c r="K25" s="100" t="n">
        <x:f>IF(I25,E25,"")</x:f>
        <x:v>-0.011345541120192381</x:v>
      </x:c>
      <x:c r="L25" s="100" t="n">
        <x:f>IF(I25,G25,"")</x:f>
        <x:v>0.009946436780750391</x:v>
      </x:c>
      <x:c r="M25" s="100" t="n">
        <x:f>IF(I25,F25^2,"")</x:f>
        <x:v>0.0000989316046334642</x:v>
      </x:c>
      <x:c r="N25" s="100" t="n">
        <x:f>IF(I25,F25,"")</x:f>
        <x:v>-0.009946436780750391</x:v>
      </x:c>
      <x:c r="P25" t="n">
        <x:f>J25</x:f>
        <x:v>-0.00139910433944199</x:v>
      </x:c>
      <x:c r="Q25" t="n">
        <x:f>K25</x:f>
        <x:v>-0.011345541120192381</x:v>
      </x:c>
    </x:row>
    <x:row r="26">
      <x:c r="A26" s="99" t="str">
        <x:f>'Raw T'!B20</x:f>
        <x:v>00055</x:v>
      </x:c>
      <x:c r="B26" s="100" t="n">
        <x:f>INDEX('Raw Stations'!$D$2:$D$299,MATCH(A26,'Raw Stations'!$A$2:$A$299,0))</x:f>
        <x:v>-0.0008299823692701699</x:v>
      </x:c>
      <x:c r="C26" s="100" t="n">
        <x:f>'Raw T'!L20</x:f>
        <x:v>-0.03383920735732085</x:v>
      </x:c>
      <x:c r="D26" s="100" t="n">
        <x:f>$B$2</x:f>
        <x:v>-0.01783376051078768</x:v>
      </x:c>
      <x:c r="E26" s="100" t="n">
        <x:f>C26-D26</x:f>
        <x:v>-0.01600544684653317</x:v>
      </x:c>
      <x:c r="F26" s="100" t="n">
        <x:f>E26-B26</x:f>
        <x:v>-0.015175464477263</x:v>
      </x:c>
      <x:c r="G26" s="100" t="n">
        <x:f>ABS(F26)</x:f>
        <x:v>0.015175464477263</x:v>
      </x:c>
      <x:c r="H26" s="100" t="n">
        <x:f>'Raw T'!N20</x:f>
        <x:v>0.9946142196702066</x:v>
      </x:c>
      <x:c r="I26" t="b">
        <x:f>'Raw T'!O20</x:f>
        <x:v>1</x:v>
      </x:c>
      <x:c r="J26" s="100" t="n">
        <x:f>IF(I26,B26,"")</x:f>
        <x:v>-0.0008299823692701699</x:v>
      </x:c>
      <x:c r="K26" s="100" t="n">
        <x:f>IF(I26,E26,"")</x:f>
        <x:v>-0.01600544684653317</x:v>
      </x:c>
      <x:c r="L26" s="100" t="n">
        <x:f>IF(I26,G26,"")</x:f>
        <x:v>0.015175464477263</x:v>
      </x:c>
      <x:c r="M26" s="100" t="n">
        <x:f>IF(I26,F26^2,"")</x:f>
        <x:v>0.00023029472210067117</x:v>
      </x:c>
      <x:c r="N26" s="100" t="n">
        <x:f>IF(I26,F26,"")</x:f>
        <x:v>-0.015175464477263</x:v>
      </x:c>
      <x:c r="P26" t="n">
        <x:f>J26</x:f>
        <x:v>-0.0008299823692701699</x:v>
      </x:c>
      <x:c r="Q26" t="n">
        <x:f>K26</x:f>
        <x:v>-0.01600544684653317</x:v>
      </x:c>
    </x:row>
    <x:row r="27">
      <x:c r="A27" s="99" t="str">
        <x:f>'Raw T'!B21</x:f>
        <x:v>00056</x:v>
      </x:c>
      <x:c r="B27" s="100" t="n">
        <x:f>INDEX('Raw Stations'!$D$2:$D$299,MATCH(A27,'Raw Stations'!$A$2:$A$299,0))</x:f>
        <x:v>-0.0001455628683264855</x:v>
      </x:c>
      <x:c r="C27" s="100" t="n">
        <x:f>'Raw T'!L21</x:f>
        <x:v>-0.03345667829968216</x:v>
      </x:c>
      <x:c r="D27" s="100" t="n">
        <x:f>$B$2</x:f>
        <x:v>-0.01783376051078768</x:v>
      </x:c>
      <x:c r="E27" s="100" t="n">
        <x:f>C27-D27</x:f>
        <x:v>-0.015622917788894478</x:v>
      </x:c>
      <x:c r="F27" s="100" t="n">
        <x:f>E27-B27</x:f>
        <x:v>-0.015477354920567992</x:v>
      </x:c>
      <x:c r="G27" s="100" t="n">
        <x:f>ABS(F27)</x:f>
        <x:v>0.015477354920567992</x:v>
      </x:c>
      <x:c r="H27" s="100" t="n">
        <x:f>'Raw T'!N21</x:f>
        <x:v>0.9784352529263812</x:v>
      </x:c>
      <x:c r="I27" t="b">
        <x:f>'Raw T'!O21</x:f>
        <x:v>1</x:v>
      </x:c>
      <x:c r="J27" s="100" t="n">
        <x:f>IF(I27,B27,"")</x:f>
        <x:v>-0.0001455628683264855</x:v>
      </x:c>
      <x:c r="K27" s="100" t="n">
        <x:f>IF(I27,E27,"")</x:f>
        <x:v>-0.015622917788894478</x:v>
      </x:c>
      <x:c r="L27" s="100" t="n">
        <x:f>IF(I27,G27,"")</x:f>
        <x:v>0.015477354920567992</x:v>
      </x:c>
      <x:c r="M27" s="100" t="n">
        <x:f>IF(I27,F27^2,"")</x:f>
        <x:v>0.00023954851533723024</x:v>
      </x:c>
      <x:c r="N27" s="100" t="n">
        <x:f>IF(I27,F27,"")</x:f>
        <x:v>-0.015477354920567992</x:v>
      </x:c>
      <x:c r="P27" t="n">
        <x:f>J27</x:f>
        <x:v>-0.0001455628683264855</x:v>
      </x:c>
      <x:c r="Q27" t="n">
        <x:f>K27</x:f>
        <x:v>-0.015622917788894478</x:v>
      </x:c>
    </x:row>
    <x:row r="28">
      <x:c r="A28" s="99" t="str">
        <x:f>'Raw T'!B22</x:f>
        <x:v>00057</x:v>
      </x:c>
      <x:c r="B28" s="100" t="n">
        <x:f>INDEX('Raw Stations'!$D$2:$D$299,MATCH(A28,'Raw Stations'!$A$2:$A$299,0))</x:f>
        <x:v>0.003210485626882521</x:v>
      </x:c>
      <x:c r="C28" s="100" t="n">
        <x:f>'Raw T'!L22</x:f>
        <x:v>-0.02924805801645763</x:v>
      </x:c>
      <x:c r="D28" s="100" t="n">
        <x:f>$B$2</x:f>
        <x:v>-0.01783376051078768</x:v>
      </x:c>
      <x:c r="E28" s="100" t="n">
        <x:f>C28-D28</x:f>
        <x:v>-0.01141429750566995</x:v>
      </x:c>
      <x:c r="F28" s="100" t="n">
        <x:f>E28-B28</x:f>
        <x:v>-0.014624783132552471</x:v>
      </x:c>
      <x:c r="G28" s="100" t="n">
        <x:f>ABS(F28)</x:f>
        <x:v>0.014624783132552471</x:v>
      </x:c>
      <x:c r="H28" s="100" t="n">
        <x:f>'Raw T'!N22</x:f>
        <x:v>0.9904764881558119</x:v>
      </x:c>
      <x:c r="I28" t="b">
        <x:f>'Raw T'!O22</x:f>
        <x:v>1</x:v>
      </x:c>
      <x:c r="J28" s="100" t="n">
        <x:f>IF(I28,B28,"")</x:f>
        <x:v>0.003210485626882521</x:v>
      </x:c>
      <x:c r="K28" s="100" t="n">
        <x:f>IF(I28,E28,"")</x:f>
        <x:v>-0.01141429750566995</x:v>
      </x:c>
      <x:c r="L28" s="100" t="n">
        <x:f>IF(I28,G28,"")</x:f>
        <x:v>0.014624783132552471</x:v>
      </x:c>
      <x:c r="M28" s="100" t="n">
        <x:f>IF(I28,F28^2,"")</x:f>
        <x:v>0.00021388428167419128</x:v>
      </x:c>
      <x:c r="N28" s="100" t="n">
        <x:f>IF(I28,F28,"")</x:f>
        <x:v>-0.014624783132552471</x:v>
      </x:c>
      <x:c r="P28" t="n">
        <x:f>J28</x:f>
        <x:v>0.003210485626882521</x:v>
      </x:c>
      <x:c r="Q28" t="n">
        <x:f>K28</x:f>
        <x:v>-0.01141429750566995</x:v>
      </x:c>
    </x:row>
    <x:row r="29">
      <x:c r="A29" s="99" t="str">
        <x:f>'Raw T'!B23</x:f>
        <x:v>00059</x:v>
      </x:c>
      <x:c r="B29" s="100" t="n">
        <x:f>INDEX('Raw Stations'!$D$2:$D$299,MATCH(A29,'Raw Stations'!$A$2:$A$299,0))</x:f>
        <x:v>0.01677899036493022</x:v>
      </x:c>
      <x:c r="C29" s="100" t="n">
        <x:f>'Raw T'!L23</x:f>
        <x:v>-0.03271646942586531</x:v>
      </x:c>
      <x:c r="D29" s="100" t="n">
        <x:f>$B$2</x:f>
        <x:v>-0.01783376051078768</x:v>
      </x:c>
      <x:c r="E29" s="100" t="n">
        <x:f>C29-D29</x:f>
        <x:v>-0.014882708915077633</x:v>
      </x:c>
      <x:c r="F29" s="100" t="n">
        <x:f>E29-B29</x:f>
        <x:v>-0.03166169928000785</x:v>
      </x:c>
      <x:c r="G29" s="100" t="n">
        <x:f>ABS(F29)</x:f>
        <x:v>0.03166169928000785</x:v>
      </x:c>
      <x:c r="H29" s="100" t="n">
        <x:f>'Raw T'!N23</x:f>
        <x:v>0.9744662644569303</x:v>
      </x:c>
      <x:c r="I29" t="b">
        <x:f>'Raw T'!O23</x:f>
        <x:v>1</x:v>
      </x:c>
      <x:c r="J29" s="100" t="n">
        <x:f>IF(I29,B29,"")</x:f>
        <x:v>0.01677899036493022</x:v>
      </x:c>
      <x:c r="K29" s="100" t="n">
        <x:f>IF(I29,E29,"")</x:f>
        <x:v>-0.014882708915077633</x:v>
      </x:c>
      <x:c r="L29" s="100" t="n">
        <x:f>IF(I29,G29,"")</x:f>
        <x:v>0.03166169928000785</x:v>
      </x:c>
      <x:c r="M29" s="100" t="n">
        <x:f>IF(I29,F29^2,"")</x:f>
        <x:v>0.0010024632012976497</x:v>
      </x:c>
      <x:c r="N29" s="100" t="n">
        <x:f>IF(I29,F29,"")</x:f>
        <x:v>-0.03166169928000785</x:v>
      </x:c>
      <x:c r="P29" t="n">
        <x:f>J29</x:f>
        <x:v>0.01677899036493022</x:v>
      </x:c>
      <x:c r="Q29" t="n">
        <x:f>K29</x:f>
        <x:v>-0.014882708915077633</x:v>
      </x:c>
    </x:row>
    <x:row r="30">
      <x:c r="A30" s="99" t="str">
        <x:f>'Raw T'!B24</x:f>
        <x:v>00060</x:v>
      </x:c>
      <x:c r="B30" s="100" t="n">
        <x:f>INDEX('Raw Stations'!$D$2:$D$299,MATCH(A30,'Raw Stations'!$A$2:$A$299,0))</x:f>
        <x:v>0.01538300236054295</x:v>
      </x:c>
      <x:c r="C30" s="100" t="n">
        <x:f>'Raw T'!L24</x:f>
        <x:v>-0.03608252423784802</x:v>
      </x:c>
      <x:c r="D30" s="100" t="n">
        <x:f>$B$2</x:f>
        <x:v>-0.01783376051078768</x:v>
      </x:c>
      <x:c r="E30" s="100" t="n">
        <x:f>C30-D30</x:f>
        <x:v>-0.018248763727060337</x:v>
      </x:c>
      <x:c r="F30" s="100" t="n">
        <x:f>E30-B30</x:f>
        <x:v>-0.033631766087603286</x:v>
      </x:c>
      <x:c r="G30" s="100" t="n">
        <x:f>ABS(F30)</x:f>
        <x:v>0.033631766087603286</x:v>
      </x:c>
      <x:c r="H30" s="100" t="n">
        <x:f>'Raw T'!N24</x:f>
        <x:v>0.9435502537049543</x:v>
      </x:c>
      <x:c r="I30" t="b">
        <x:f>'Raw T'!O24</x:f>
        <x:v>1</x:v>
      </x:c>
      <x:c r="J30" s="100" t="n">
        <x:f>IF(I30,B30,"")</x:f>
        <x:v>0.01538300236054295</x:v>
      </x:c>
      <x:c r="K30" s="100" t="n">
        <x:f>IF(I30,E30,"")</x:f>
        <x:v>-0.018248763727060337</x:v>
      </x:c>
      <x:c r="L30" s="100" t="n">
        <x:f>IF(I30,G30,"")</x:f>
        <x:v>0.033631766087603286</x:v>
      </x:c>
      <x:c r="M30" s="100" t="n">
        <x:f>IF(I30,F30^2,"")</x:f>
        <x:v>0.0011310956901712625</x:v>
      </x:c>
      <x:c r="N30" s="100" t="n">
        <x:f>IF(I30,F30,"")</x:f>
        <x:v>-0.033631766087603286</x:v>
      </x:c>
      <x:c r="P30" t="n">
        <x:f>J30</x:f>
        <x:v>0.01538300236054295</x:v>
      </x:c>
      <x:c r="Q30" t="n">
        <x:f>K30</x:f>
        <x:v>-0.018248763727060337</x:v>
      </x:c>
    </x:row>
    <x:row r="31">
      <x:c r="A31" s="99" t="str">
        <x:f>'Raw T'!B25</x:f>
        <x:v>00061</x:v>
      </x:c>
      <x:c r="B31" s="100" t="n">
        <x:f>INDEX('Raw Stations'!$D$2:$D$299,MATCH(A31,'Raw Stations'!$A$2:$A$299,0))</x:f>
        <x:v>0.01209617621466055</x:v>
      </x:c>
      <x:c r="C31" s="100" t="n">
        <x:f>'Raw T'!L25</x:f>
        <x:v>-0.03441417231087693</x:v>
      </x:c>
      <x:c r="D31" s="100" t="n">
        <x:f>$B$2</x:f>
        <x:v>-0.01783376051078768</x:v>
      </x:c>
      <x:c r="E31" s="100" t="n">
        <x:f>C31-D31</x:f>
        <x:v>-0.016580411800089248</x:v>
      </x:c>
      <x:c r="F31" s="100" t="n">
        <x:f>E31-B31</x:f>
        <x:v>-0.028676588014749798</x:v>
      </x:c>
      <x:c r="G31" s="100" t="n">
        <x:f>ABS(F31)</x:f>
        <x:v>0.028676588014749798</x:v>
      </x:c>
      <x:c r="H31" s="100" t="n">
        <x:f>'Raw T'!N25</x:f>
        <x:v>0.8869679676897427</x:v>
      </x:c>
      <x:c r="I31" t="b">
        <x:f>'Raw T'!O25</x:f>
        <x:v>1</x:v>
      </x:c>
      <x:c r="J31" s="100" t="n">
        <x:f>IF(I31,B31,"")</x:f>
        <x:v>0.01209617621466055</x:v>
      </x:c>
      <x:c r="K31" s="100" t="n">
        <x:f>IF(I31,E31,"")</x:f>
        <x:v>-0.016580411800089248</x:v>
      </x:c>
      <x:c r="L31" s="100" t="n">
        <x:f>IF(I31,G31,"")</x:f>
        <x:v>0.028676588014749798</x:v>
      </x:c>
      <x:c r="M31" s="100" t="n">
        <x:f>IF(I31,F31^2,"")</x:f>
        <x:v>0.0008223467001676918</x:v>
      </x:c>
      <x:c r="N31" s="100" t="n">
        <x:f>IF(I31,F31,"")</x:f>
        <x:v>-0.028676588014749798</x:v>
      </x:c>
      <x:c r="P31" t="n">
        <x:f>J31</x:f>
        <x:v>0.01209617621466055</x:v>
      </x:c>
      <x:c r="Q31" t="n">
        <x:f>K31</x:f>
        <x:v>-0.016580411800089248</x:v>
      </x:c>
    </x:row>
    <x:row r="32">
      <x:c r="A32" s="99" t="str">
        <x:f>'Raw T'!B26</x:f>
        <x:v>00062</x:v>
      </x:c>
      <x:c r="B32" s="100" t="n">
        <x:f>INDEX('Raw Stations'!$D$2:$D$299,MATCH(A32,'Raw Stations'!$A$2:$A$299,0))</x:f>
        <x:v>0.02100475637705957</x:v>
      </x:c>
      <x:c r="C32" s="100" t="n">
        <x:f>'Raw T'!L26</x:f>
        <x:v>-0.03053833337426445</x:v>
      </x:c>
      <x:c r="D32" s="100" t="n">
        <x:f>$B$2</x:f>
        <x:v>-0.01783376051078768</x:v>
      </x:c>
      <x:c r="E32" s="100" t="n">
        <x:f>C32-D32</x:f>
        <x:v>-0.01270457286347677</x:v>
      </x:c>
      <x:c r="F32" s="100" t="n">
        <x:f>E32-B32</x:f>
        <x:v>-0.03370932924053634</x:v>
      </x:c>
      <x:c r="G32" s="100" t="n">
        <x:f>ABS(F32)</x:f>
        <x:v>0.03370932924053634</x:v>
      </x:c>
      <x:c r="H32" s="100" t="n">
        <x:f>'Raw T'!N26</x:f>
        <x:v>0.9710733196667998</x:v>
      </x:c>
      <x:c r="I32" t="b">
        <x:f>'Raw T'!O26</x:f>
        <x:v>1</x:v>
      </x:c>
      <x:c r="J32" s="100" t="n">
        <x:f>IF(I32,B32,"")</x:f>
        <x:v>0.02100475637705957</x:v>
      </x:c>
      <x:c r="K32" s="100" t="n">
        <x:f>IF(I32,E32,"")</x:f>
        <x:v>-0.01270457286347677</x:v>
      </x:c>
      <x:c r="L32" s="100" t="n">
        <x:f>IF(I32,G32,"")</x:f>
        <x:v>0.03370932924053634</x:v>
      </x:c>
      <x:c r="M32" s="100" t="n">
        <x:f>IF(I32,F32^2,"")</x:f>
        <x:v>0.0011363188778468782</x:v>
      </x:c>
      <x:c r="N32" s="100" t="n">
        <x:f>IF(I32,F32,"")</x:f>
        <x:v>-0.03370932924053634</x:v>
      </x:c>
      <x:c r="P32" t="n">
        <x:f>J32</x:f>
        <x:v>0.02100475637705957</x:v>
      </x:c>
      <x:c r="Q32" t="n">
        <x:f>K32</x:f>
        <x:v>-0.01270457286347677</x:v>
      </x:c>
    </x:row>
    <x:row r="33">
      <x:c r="A33" s="99" t="str">
        <x:f>'Raw T'!B27</x:f>
        <x:v>00063</x:v>
      </x:c>
      <x:c r="B33" s="100" t="n">
        <x:f>INDEX('Raw Stations'!$D$2:$D$299,MATCH(A33,'Raw Stations'!$A$2:$A$299,0))</x:f>
        <x:v>-0.001555160798704242</x:v>
      </x:c>
      <x:c r="C33" s="100" t="n">
        <x:f>'Raw T'!L27</x:f>
        <x:v>-0.02111275944130922</x:v>
      </x:c>
      <x:c r="D33" s="100" t="n">
        <x:f>$B$2</x:f>
        <x:v>-0.01783376051078768</x:v>
      </x:c>
      <x:c r="E33" s="100" t="n">
        <x:f>C33-D33</x:f>
        <x:v>-0.00327899893052154</x:v>
      </x:c>
      <x:c r="F33" s="100" t="n">
        <x:f>E33-B33</x:f>
        <x:v>-0.001723838131817298</x:v>
      </x:c>
      <x:c r="G33" s="100" t="n">
        <x:f>ABS(F33)</x:f>
        <x:v>0.001723838131817298</x:v>
      </x:c>
      <x:c r="H33" s="100" t="n">
        <x:f>'Raw T'!N27</x:f>
        <x:v>0.9078204087246994</x:v>
      </x:c>
      <x:c r="I33" t="b">
        <x:f>'Raw T'!O27</x:f>
        <x:v>1</x:v>
      </x:c>
      <x:c r="J33" s="100" t="n">
        <x:f>IF(I33,B33,"")</x:f>
        <x:v>-0.001555160798704242</x:v>
      </x:c>
      <x:c r="K33" s="100" t="n">
        <x:f>IF(I33,E33,"")</x:f>
        <x:v>-0.00327899893052154</x:v>
      </x:c>
      <x:c r="L33" s="100" t="n">
        <x:f>IF(I33,G33,"")</x:f>
        <x:v>0.001723838131817298</x:v>
      </x:c>
      <x:c r="M33" s="100" t="n">
        <x:f>IF(I33,F33^2,"")</x:f>
        <x:v>0.0000029716179047073523</x:v>
      </x:c>
      <x:c r="N33" s="100" t="n">
        <x:f>IF(I33,F33,"")</x:f>
        <x:v>-0.001723838131817298</x:v>
      </x:c>
      <x:c r="P33" t="n">
        <x:f>J33</x:f>
        <x:v>-0.001555160798704242</x:v>
      </x:c>
      <x:c r="Q33" t="n">
        <x:f>K33</x:f>
        <x:v>-0.00327899893052154</x:v>
      </x:c>
    </x:row>
    <x:row r="34">
      <x:c r="A34" s="99" t="str">
        <x:f>'Raw T'!B28</x:f>
        <x:v>00064</x:v>
      </x:c>
      <x:c r="B34" s="100" t="n">
        <x:f>INDEX('Raw Stations'!$D$2:$D$299,MATCH(A34,'Raw Stations'!$A$2:$A$299,0))</x:f>
        <x:v>-0.002851098971430328</x:v>
      </x:c>
      <x:c r="C34" s="100" t="n">
        <x:f>'Raw T'!L28</x:f>
        <x:v>-0.02639418872275437</x:v>
      </x:c>
      <x:c r="D34" s="100" t="n">
        <x:f>$B$2</x:f>
        <x:v>-0.01783376051078768</x:v>
      </x:c>
      <x:c r="E34" s="100" t="n">
        <x:f>C34-D34</x:f>
        <x:v>-0.008560428211966689</x:v>
      </x:c>
      <x:c r="F34" s="100" t="n">
        <x:f>E34-B34</x:f>
        <x:v>-0.005709329240536361</x:v>
      </x:c>
      <x:c r="G34" s="100" t="n">
        <x:f>ABS(F34)</x:f>
        <x:v>0.005709329240536361</x:v>
      </x:c>
      <x:c r="H34" s="100" t="n">
        <x:f>'Raw T'!N28</x:f>
        <x:v>0.8713321564190804</x:v>
      </x:c>
      <x:c r="I34" t="b">
        <x:f>'Raw T'!O28</x:f>
        <x:v>1</x:v>
      </x:c>
      <x:c r="J34" s="100" t="n">
        <x:f>IF(I34,B34,"")</x:f>
        <x:v>-0.002851098971430328</x:v>
      </x:c>
      <x:c r="K34" s="100" t="n">
        <x:f>IF(I34,E34,"")</x:f>
        <x:v>-0.008560428211966689</x:v>
      </x:c>
      <x:c r="L34" s="100" t="n">
        <x:f>IF(I34,G34,"")</x:f>
        <x:v>0.005709329240536361</x:v>
      </x:c>
      <x:c r="M34" s="100" t="n">
        <x:f>IF(I34,F34^2,"")</x:f>
        <x:v>0.000032596440376843496</x:v>
      </x:c>
      <x:c r="N34" s="100" t="n">
        <x:f>IF(I34,F34,"")</x:f>
        <x:v>-0.005709329240536361</x:v>
      </x:c>
      <x:c r="P34" t="n">
        <x:f>J34</x:f>
        <x:v>-0.002851098971430328</x:v>
      </x:c>
      <x:c r="Q34" t="n">
        <x:f>K34</x:f>
        <x:v>-0.008560428211966689</x:v>
      </x:c>
    </x:row>
    <x:row r="35">
      <x:c r="A35" s="99" t="str">
        <x:f>'Raw T'!B29</x:f>
        <x:v>00065</x:v>
      </x:c>
      <x:c r="B35" s="100" t="n">
        <x:f>INDEX('Raw Stations'!$D$2:$D$299,MATCH(A35,'Raw Stations'!$A$2:$A$299,0))</x:f>
        <x:v>-0.00007756315293306823</x:v>
      </x:c>
      <x:c r="C35" s="100" t="n">
        <x:f>'Raw T'!L29</x:f>
        <x:v>-0.03554308975132406</x:v>
      </x:c>
      <x:c r="D35" s="100" t="n">
        <x:f>$B$2</x:f>
        <x:v>-0.01783376051078768</x:v>
      </x:c>
      <x:c r="E35" s="100" t="n">
        <x:f>C35-D35</x:f>
        <x:v>-0.01770932924053638</x:v>
      </x:c>
      <x:c r="F35" s="100" t="n">
        <x:f>E35-B35</x:f>
        <x:v>-0.01763176608760331</x:v>
      </x:c>
      <x:c r="G35" s="100" t="n">
        <x:f>ABS(F35)</x:f>
        <x:v>0.01763176608760331</x:v>
      </x:c>
      <x:c r="H35" s="100" t="n">
        <x:f>'Raw T'!N29</x:f>
        <x:v>0.6296106894968376</x:v>
      </x:c>
      <x:c r="I35" t="b">
        <x:f>'Raw T'!O29</x:f>
        <x:v>1</x:v>
      </x:c>
      <x:c r="J35" s="100" t="n">
        <x:f>IF(I35,B35,"")</x:f>
        <x:v>-0.00007756315293306823</x:v>
      </x:c>
      <x:c r="K35" s="100" t="n">
        <x:f>IF(I35,E35,"")</x:f>
        <x:v>-0.01770932924053638</x:v>
      </x:c>
      <x:c r="L35" s="100" t="n">
        <x:f>IF(I35,G35,"")</x:f>
        <x:v>0.01763176608760331</x:v>
      </x:c>
      <x:c r="M35" s="100" t="n">
        <x:f>IF(I35,F35^2,"")</x:f>
        <x:v>0.00031087917536795813</x:v>
      </x:c>
      <x:c r="N35" s="100" t="n">
        <x:f>IF(I35,F35,"")</x:f>
        <x:v>-0.01763176608760331</x:v>
      </x:c>
      <x:c r="P35" t="n">
        <x:f>J35</x:f>
        <x:v>-0.00007756315293306823</x:v>
      </x:c>
      <x:c r="Q35" t="n">
        <x:f>K35</x:f>
        <x:v>-0.01770932924053638</x:v>
      </x:c>
    </x:row>
    <x:row r="36">
      <x:c r="A36" s="99" t="str">
        <x:f>'Raw T'!B30</x:f>
        <x:v>00066</x:v>
      </x:c>
      <x:c r="B36" s="100" t="n">
        <x:f>INDEX('Raw Stations'!$D$2:$D$299,MATCH(A36,'Raw Stations'!$A$2:$A$299,0))</x:f>
        <x:v>-0.002358009310657449</x:v>
      </x:c>
      <x:c r="C36" s="100" t="n">
        <x:f>'Raw T'!L30</x:f>
        <x:v>-0.02582353590904843</x:v>
      </x:c>
      <x:c r="D36" s="100" t="n">
        <x:f>$B$2</x:f>
        <x:v>-0.01783376051078768</x:v>
      </x:c>
      <x:c r="E36" s="100" t="n">
        <x:f>C36-D36</x:f>
        <x:v>-0.007989775398260748</x:v>
      </x:c>
      <x:c r="F36" s="100" t="n">
        <x:f>E36-B36</x:f>
        <x:v>-0.0056317660876032995</x:v>
      </x:c>
      <x:c r="G36" s="100" t="n">
        <x:f>ABS(F36)</x:f>
        <x:v>0.0056317660876032995</x:v>
      </x:c>
      <x:c r="H36" s="100" t="n">
        <x:f>'Raw T'!N30</x:f>
        <x:v>0.8995469184154204</x:v>
      </x:c>
      <x:c r="I36" t="b">
        <x:f>'Raw T'!O30</x:f>
        <x:v>1</x:v>
      </x:c>
      <x:c r="J36" s="100" t="n">
        <x:f>IF(I36,B36,"")</x:f>
        <x:v>-0.002358009310657449</x:v>
      </x:c>
      <x:c r="K36" s="100" t="n">
        <x:f>IF(I36,E36,"")</x:f>
        <x:v>-0.007989775398260748</x:v>
      </x:c>
      <x:c r="L36" s="100" t="n">
        <x:f>IF(I36,G36,"")</x:f>
        <x:v>0.0056317660876032995</x:v>
      </x:c>
      <x:c r="M36" s="100" t="n">
        <x:f>IF(I36,F36^2,"")</x:f>
        <x:v>0.000031716789265478575</x:v>
      </x:c>
      <x:c r="N36" s="100" t="n">
        <x:f>IF(I36,F36,"")</x:f>
        <x:v>-0.0056317660876032995</x:v>
      </x:c>
      <x:c r="P36" t="n">
        <x:f>J36</x:f>
        <x:v>-0.002358009310657449</x:v>
      </x:c>
      <x:c r="Q36" t="n">
        <x:f>K36</x:f>
        <x:v>-0.007989775398260748</x:v>
      </x:c>
    </x:row>
    <x:row r="37">
      <x:c r="A37" s="99" t="str">
        <x:f>'Raw T'!B31</x:f>
        <x:v>00067</x:v>
      </x:c>
      <x:c r="B37" s="100" t="n">
        <x:f>INDEX('Raw Stations'!$D$2:$D$299,MATCH(A37,'Raw Stations'!$A$2:$A$299,0))</x:f>
        <x:v>-0.001078709786160901</x:v>
      </x:c>
      <x:c r="C37" s="100" t="n">
        <x:f>'Raw T'!L31</x:f>
        <x:v>-0.03074542182641718</x:v>
      </x:c>
      <x:c r="D37" s="100" t="n">
        <x:f>$B$2</x:f>
        <x:v>-0.01783376051078768</x:v>
      </x:c>
      <x:c r="E37" s="100" t="n">
        <x:f>C37-D37</x:f>
        <x:v>-0.0129116613156295</x:v>
      </x:c>
      <x:c r="F37" s="100" t="n">
        <x:f>E37-B37</x:f>
        <x:v>-0.011832951529468599</x:v>
      </x:c>
      <x:c r="G37" s="100" t="n">
        <x:f>ABS(F37)</x:f>
        <x:v>0.011832951529468599</x:v>
      </x:c>
      <x:c r="H37" s="100" t="n">
        <x:f>'Raw T'!N31</x:f>
        <x:v>0.9894442149595799</x:v>
      </x:c>
      <x:c r="I37" t="b">
        <x:f>'Raw T'!O31</x:f>
        <x:v>1</x:v>
      </x:c>
      <x:c r="J37" s="100" t="n">
        <x:f>IF(I37,B37,"")</x:f>
        <x:v>-0.001078709786160901</x:v>
      </x:c>
      <x:c r="K37" s="100" t="n">
        <x:f>IF(I37,E37,"")</x:f>
        <x:v>-0.0129116613156295</x:v>
      </x:c>
      <x:c r="L37" s="100" t="n">
        <x:f>IF(I37,G37,"")</x:f>
        <x:v>0.011832951529468599</x:v>
      </x:c>
      <x:c r="M37" s="100" t="n">
        <x:f>IF(I37,F37^2,"")</x:f>
        <x:v>0.00014001874189875326</x:v>
      </x:c>
      <x:c r="N37" s="100" t="n">
        <x:f>IF(I37,F37,"")</x:f>
        <x:v>-0.011832951529468599</x:v>
      </x:c>
      <x:c r="P37" t="n">
        <x:f>J37</x:f>
        <x:v>-0.001078709786160901</x:v>
      </x:c>
      <x:c r="Q37" t="n">
        <x:f>K37</x:f>
        <x:v>-0.0129116613156295</x:v>
      </x:c>
    </x:row>
    <x:row r="38">
      <x:c r="A38" s="99" t="str">
        <x:f>'Raw T'!B32</x:f>
        <x:v>00068</x:v>
      </x:c>
      <x:c r="B38" s="100" t="n">
        <x:f>INDEX('Raw Stations'!$D$2:$D$299,MATCH(A38,'Raw Stations'!$A$2:$A$299,0))</x:f>
        <x:v>0.004258249371668545</x:v>
      </x:c>
      <x:c r="C38" s="100" t="n">
        <x:f>'Raw T'!L32</x:f>
        <x:v>-0.02483112996758613</x:v>
      </x:c>
      <x:c r="D38" s="100" t="n">
        <x:f>$B$2</x:f>
        <x:v>-0.01783376051078768</x:v>
      </x:c>
      <x:c r="E38" s="100" t="n">
        <x:f>C38-D38</x:f>
        <x:v>-0.00699736945679845</x:v>
      </x:c>
      <x:c r="F38" s="100" t="n">
        <x:f>E38-B38</x:f>
        <x:v>-0.011255618828466995</x:v>
      </x:c>
      <x:c r="G38" s="100" t="n">
        <x:f>ABS(F38)</x:f>
        <x:v>0.011255618828466995</x:v>
      </x:c>
      <x:c r="H38" s="100" t="n">
        <x:f>'Raw T'!N32</x:f>
        <x:v>0.9858288881533834</x:v>
      </x:c>
      <x:c r="I38" t="b">
        <x:f>'Raw T'!O32</x:f>
        <x:v>1</x:v>
      </x:c>
      <x:c r="J38" s="100" t="n">
        <x:f>IF(I38,B38,"")</x:f>
        <x:v>0.004258249371668545</x:v>
      </x:c>
      <x:c r="K38" s="100" t="n">
        <x:f>IF(I38,E38,"")</x:f>
        <x:v>-0.00699736945679845</x:v>
      </x:c>
      <x:c r="L38" s="100" t="n">
        <x:f>IF(I38,G38,"")</x:f>
        <x:v>0.011255618828466995</x:v>
      </x:c>
      <x:c r="M38" s="100" t="n">
        <x:f>IF(I38,F38^2,"")</x:f>
        <x:v>0.00012668895521174072</x:v>
      </x:c>
      <x:c r="N38" s="100" t="n">
        <x:f>IF(I38,F38,"")</x:f>
        <x:v>-0.011255618828466995</x:v>
      </x:c>
      <x:c r="P38" t="n">
        <x:f>J38</x:f>
        <x:v>0.004258249371668545</x:v>
      </x:c>
      <x:c r="Q38" t="n">
        <x:f>K38</x:f>
        <x:v>-0.00699736945679845</x:v>
      </x:c>
    </x:row>
    <x:row r="39">
      <x:c r="A39" s="99" t="str">
        <x:f>'Raw T'!B33</x:f>
        <x:v>00069</x:v>
      </x:c>
      <x:c r="B39" s="100" t="n">
        <x:f>INDEX('Raw Stations'!$D$2:$D$299,MATCH(A39,'Raw Stations'!$A$2:$A$299,0))</x:f>
        <x:v>0.001685727655549044</x:v>
      </x:c>
      <x:c r="C39" s="100" t="n">
        <x:f>'Raw T'!L33</x:f>
        <x:v>-0.02577979894284194</x:v>
      </x:c>
      <x:c r="D39" s="100" t="n">
        <x:f>$B$2</x:f>
        <x:v>-0.01783376051078768</x:v>
      </x:c>
      <x:c r="E39" s="100" t="n">
        <x:f>C39-D39</x:f>
        <x:v>-0.00794603843205426</x:v>
      </x:c>
      <x:c r="F39" s="100" t="n">
        <x:f>E39-B39</x:f>
        <x:v>-0.009631766087603303</x:v>
      </x:c>
      <x:c r="G39" s="100" t="n">
        <x:f>ABS(F39)</x:f>
        <x:v>0.009631766087603303</x:v>
      </x:c>
      <x:c r="H39" s="100" t="n">
        <x:f>'Raw T'!N33</x:f>
        <x:v>0.9733963166835484</x:v>
      </x:c>
      <x:c r="I39" t="b">
        <x:f>'Raw T'!O33</x:f>
        <x:v>1</x:v>
      </x:c>
      <x:c r="J39" s="100" t="n">
        <x:f>IF(I39,B39,"")</x:f>
        <x:v>0.001685727655549044</x:v>
      </x:c>
      <x:c r="K39" s="100" t="n">
        <x:f>IF(I39,E39,"")</x:f>
        <x:v>-0.00794603843205426</x:v>
      </x:c>
      <x:c r="L39" s="100" t="n">
        <x:f>IF(I39,G39,"")</x:f>
        <x:v>0.009631766087603303</x:v>
      </x:c>
      <x:c r="M39" s="100" t="n">
        <x:f>IF(I39,F39^2,"")</x:f>
        <x:v>0.00009277091796630504</x:v>
      </x:c>
      <x:c r="N39" s="100" t="n">
        <x:f>IF(I39,F39,"")</x:f>
        <x:v>-0.009631766087603303</x:v>
      </x:c>
      <x:c r="P39" t="n">
        <x:f>J39</x:f>
        <x:v>0.001685727655549044</x:v>
      </x:c>
      <x:c r="Q39" t="n">
        <x:f>K39</x:f>
        <x:v>-0.00794603843205426</x:v>
      </x:c>
    </x:row>
    <x:row r="40">
      <x:c r="A40" s="99" t="str">
        <x:f>'Raw T'!B34</x:f>
        <x:v>00070</x:v>
      </x:c>
      <x:c r="B40" s="100" t="n">
        <x:f>INDEX('Raw Stations'!$D$2:$D$299,MATCH(A40,'Raw Stations'!$A$2:$A$299,0))</x:f>
        <x:v>0.002677299169714938</x:v>
      </x:c>
      <x:c r="C40" s="100" t="n">
        <x:f>'Raw T'!L34</x:f>
        <x:v>-0.02208608120307548</x:v>
      </x:c>
      <x:c r="D40" s="100" t="n">
        <x:f>$B$2</x:f>
        <x:v>-0.01783376051078768</x:v>
      </x:c>
      <x:c r="E40" s="100" t="n">
        <x:f>C40-D40</x:f>
        <x:v>-0.0042523206922878</x:v>
      </x:c>
      <x:c r="F40" s="100" t="n">
        <x:f>E40-B40</x:f>
        <x:v>-0.006929619862002738</x:v>
      </x:c>
      <x:c r="G40" s="100" t="n">
        <x:f>ABS(F40)</x:f>
        <x:v>0.006929619862002738</x:v>
      </x:c>
      <x:c r="H40" s="100" t="n">
        <x:f>'Raw T'!N34</x:f>
        <x:v>0.9804531270048642</x:v>
      </x:c>
      <x:c r="I40" t="b">
        <x:f>'Raw T'!O34</x:f>
        <x:v>1</x:v>
      </x:c>
      <x:c r="J40" s="100" t="n">
        <x:f>IF(I40,B40,"")</x:f>
        <x:v>0.002677299169714938</x:v>
      </x:c>
      <x:c r="K40" s="100" t="n">
        <x:f>IF(I40,E40,"")</x:f>
        <x:v>-0.0042523206922878</x:v>
      </x:c>
      <x:c r="L40" s="100" t="n">
        <x:f>IF(I40,G40,"")</x:f>
        <x:v>0.006929619862002738</x:v>
      </x:c>
      <x:c r="M40" s="100" t="n">
        <x:f>IF(I40,F40^2,"")</x:f>
        <x:v>0.000048019631431862847</x:v>
      </x:c>
      <x:c r="N40" s="100" t="n">
        <x:f>IF(I40,F40,"")</x:f>
        <x:v>-0.006929619862002738</x:v>
      </x:c>
      <x:c r="P40" t="n">
        <x:f>J40</x:f>
        <x:v>0.002677299169714938</x:v>
      </x:c>
      <x:c r="Q40" t="n">
        <x:f>K40</x:f>
        <x:v>-0.0042523206922878</x:v>
      </x:c>
    </x:row>
    <x:row r="41">
      <x:c r="A41" s="99" t="str">
        <x:f>'Raw T'!B35</x:f>
        <x:v>00071</x:v>
      </x:c>
      <x:c r="B41" s="100" t="n">
        <x:f>INDEX('Raw Stations'!$D$2:$D$299,MATCH(A41,'Raw Stations'!$A$2:$A$299,0))</x:f>
        <x:v>0.00347313508830038</x:v>
      </x:c>
      <x:c r="C41" s="100" t="n">
        <x:f>'Raw T'!L35</x:f>
        <x:v>-0.02048180046681511</x:v>
      </x:c>
      <x:c r="D41" s="100" t="n">
        <x:f>$B$2</x:f>
        <x:v>-0.01783376051078768</x:v>
      </x:c>
      <x:c r="E41" s="100" t="n">
        <x:f>C41-D41</x:f>
        <x:v>-0.0026480399560274287</x:v>
      </x:c>
      <x:c r="F41" s="100" t="n">
        <x:f>E41-B41</x:f>
        <x:v>-0.006121175044327808</x:v>
      </x:c>
      <x:c r="G41" s="100" t="n">
        <x:f>ABS(F41)</x:f>
        <x:v>0.006121175044327808</x:v>
      </x:c>
      <x:c r="H41" s="100" t="n">
        <x:f>'Raw T'!N35</x:f>
        <x:v>0.9344982873986092</x:v>
      </x:c>
      <x:c r="I41" t="b">
        <x:f>'Raw T'!O35</x:f>
        <x:v>1</x:v>
      </x:c>
      <x:c r="J41" s="100" t="n">
        <x:f>IF(I41,B41,"")</x:f>
        <x:v>0.00347313508830038</x:v>
      </x:c>
      <x:c r="K41" s="100" t="n">
        <x:f>IF(I41,E41,"")</x:f>
        <x:v>-0.0026480399560274287</x:v>
      </x:c>
      <x:c r="L41" s="100" t="n">
        <x:f>IF(I41,G41,"")</x:f>
        <x:v>0.006121175044327808</x:v>
      </x:c>
      <x:c r="M41" s="100" t="n">
        <x:f>IF(I41,F41^2,"")</x:f>
        <x:v>0.000037468783923301545</x:v>
      </x:c>
      <x:c r="N41" s="100" t="n">
        <x:f>IF(I41,F41,"")</x:f>
        <x:v>-0.006121175044327808</x:v>
      </x:c>
      <x:c r="P41" t="n">
        <x:f>J41</x:f>
        <x:v>0.00347313508830038</x:v>
      </x:c>
      <x:c r="Q41" t="n">
        <x:f>K41</x:f>
        <x:v>-0.0026480399560274287</x:v>
      </x:c>
    </x:row>
    <x:row r="42">
      <x:c r="A42" s="99" t="str">
        <x:f>'Raw T'!B36</x:f>
        <x:v>00072</x:v>
      </x:c>
      <x:c r="B42" s="100" t="n">
        <x:f>INDEX('Raw Stations'!$D$2:$D$299,MATCH(A42,'Raw Stations'!$A$2:$A$299,0))</x:f>
        <x:v>0.00334039756828081</x:v>
      </x:c>
      <x:c r="C42" s="100" t="n">
        <x:f>'Raw T'!L36</x:f>
        <x:v>-0.0263263144719755</x:v>
      </x:c>
      <x:c r="D42" s="100" t="n">
        <x:f>$B$2</x:f>
        <x:v>-0.01783376051078768</x:v>
      </x:c>
      <x:c r="E42" s="100" t="n">
        <x:f>C42-D42</x:f>
        <x:v>-0.00849255396118782</x:v>
      </x:c>
      <x:c r="F42" s="100" t="n">
        <x:f>E42-B42</x:f>
        <x:v>-0.01183295152946863</x:v>
      </x:c>
      <x:c r="G42" s="100" t="n">
        <x:f>ABS(F42)</x:f>
        <x:v>0.01183295152946863</x:v>
      </x:c>
      <x:c r="H42" s="100" t="n">
        <x:f>'Raw T'!N36</x:f>
        <x:v>0.9916434613158359</x:v>
      </x:c>
      <x:c r="I42" t="b">
        <x:f>'Raw T'!O36</x:f>
        <x:v>1</x:v>
      </x:c>
      <x:c r="J42" s="100" t="n">
        <x:f>IF(I42,B42,"")</x:f>
        <x:v>0.00334039756828081</x:v>
      </x:c>
      <x:c r="K42" s="100" t="n">
        <x:f>IF(I42,E42,"")</x:f>
        <x:v>-0.00849255396118782</x:v>
      </x:c>
      <x:c r="L42" s="100" t="n">
        <x:f>IF(I42,G42,"")</x:f>
        <x:v>0.01183295152946863</x:v>
      </x:c>
      <x:c r="M42" s="100" t="n">
        <x:f>IF(I42,F42^2,"")</x:f>
        <x:v>0.000140018741898754</x:v>
      </x:c>
      <x:c r="N42" s="100" t="n">
        <x:f>IF(I42,F42,"")</x:f>
        <x:v>-0.01183295152946863</x:v>
      </x:c>
      <x:c r="P42" t="n">
        <x:f>J42</x:f>
        <x:v>0.00334039756828081</x:v>
      </x:c>
      <x:c r="Q42" t="n">
        <x:f>K42</x:f>
        <x:v>-0.00849255396118782</x:v>
      </x:c>
    </x:row>
    <x:row r="43">
      <x:c r="A43" s="99" t="str">
        <x:f>'Raw T'!B37</x:f>
        <x:v>00073</x:v>
      </x:c>
      <x:c r="B43" s="100" t="n">
        <x:f>INDEX('Raw Stations'!$D$2:$D$299,MATCH(A43,'Raw Stations'!$A$2:$A$299,0))</x:f>
        <x:v>0.00198140294720622</x:v>
      </x:c>
      <x:c r="C43" s="100" t="n">
        <x:f>'Raw T'!L37</x:f>
        <x:v>-0.04126576519027289</x:v>
      </x:c>
      <x:c r="D43" s="100" t="n">
        <x:f>$B$2</x:f>
        <x:v>-0.01783376051078768</x:v>
      </x:c>
      <x:c r="E43" s="100" t="n">
        <x:f>C43-D43</x:f>
        <x:v>-0.02343200467948521</x:v>
      </x:c>
      <x:c r="F43" s="100" t="n">
        <x:f>E43-B43</x:f>
        <x:v>-0.02541340762669143</x:v>
      </x:c>
      <x:c r="G43" s="100" t="n">
        <x:f>ABS(F43)</x:f>
        <x:v>0.02541340762669143</x:v>
      </x:c>
      <x:c r="H43" s="100" t="n">
        <x:f>'Raw T'!N37</x:f>
        <x:v>0.9594708193530325</x:v>
      </x:c>
      <x:c r="I43" t="b">
        <x:f>'Raw T'!O37</x:f>
        <x:v>1</x:v>
      </x:c>
      <x:c r="J43" s="100" t="n">
        <x:f>IF(I43,B43,"")</x:f>
        <x:v>0.00198140294720622</x:v>
      </x:c>
      <x:c r="K43" s="100" t="n">
        <x:f>IF(I43,E43,"")</x:f>
        <x:v>-0.02343200467948521</x:v>
      </x:c>
      <x:c r="L43" s="100" t="n">
        <x:f>IF(I43,G43,"")</x:f>
        <x:v>0.02541340762669143</x:v>
      </x:c>
      <x:c r="M43" s="100" t="n">
        <x:f>IF(I43,F43^2,"")</x:f>
        <x:v>0.0006458412872003781</x:v>
      </x:c>
      <x:c r="N43" s="100" t="n">
        <x:f>IF(I43,F43,"")</x:f>
        <x:v>-0.02541340762669143</x:v>
      </x:c>
      <x:c r="P43" t="n">
        <x:f>J43</x:f>
        <x:v>0.00198140294720622</x:v>
      </x:c>
      <x:c r="Q43" t="n">
        <x:f>K43</x:f>
        <x:v>-0.02343200467948521</x:v>
      </x:c>
    </x:row>
    <x:row r="44">
      <x:c r="A44" s="99" t="str">
        <x:f>'Raw T'!B38</x:f>
        <x:v>00075</x:v>
      </x:c>
      <x:c r="B44" s="100" t="n">
        <x:f>INDEX('Raw Stations'!$D$2:$D$299,MATCH(A44,'Raw Stations'!$A$2:$A$299,0))</x:f>
        <x:v>0.01807670723018075</x:v>
      </x:c>
      <x:c r="C44" s="100" t="n">
        <x:f>'Raw T'!L38</x:f>
        <x:v>-0.03109565185218022</x:v>
      </x:c>
      <x:c r="D44" s="100" t="n">
        <x:f>$B$2</x:f>
        <x:v>-0.01783376051078768</x:v>
      </x:c>
      <x:c r="E44" s="100" t="n">
        <x:f>C44-D44</x:f>
        <x:v>-0.01326189134139254</x:v>
      </x:c>
      <x:c r="F44" s="100" t="n">
        <x:f>E44-B44</x:f>
        <x:v>-0.03133859857157329</x:v>
      </x:c>
      <x:c r="G44" s="100" t="n">
        <x:f>ABS(F44)</x:f>
        <x:v>0.03133859857157329</x:v>
      </x:c>
      <x:c r="H44" s="100" t="n">
        <x:f>'Raw T'!N38</x:f>
        <x:v>0.9827581754130597</x:v>
      </x:c>
      <x:c r="I44" t="b">
        <x:f>'Raw T'!O38</x:f>
        <x:v>1</x:v>
      </x:c>
      <x:c r="J44" s="100" t="n">
        <x:f>IF(I44,B44,"")</x:f>
        <x:v>0.01807670723018075</x:v>
      </x:c>
      <x:c r="K44" s="100" t="n">
        <x:f>IF(I44,E44,"")</x:f>
        <x:v>-0.01326189134139254</x:v>
      </x:c>
      <x:c r="L44" s="100" t="n">
        <x:f>IF(I44,G44,"")</x:f>
        <x:v>0.03133859857157329</x:v>
      </x:c>
      <x:c r="M44" s="100" t="n">
        <x:f>IF(I44,F44^2,"")</x:f>
        <x:v>0.0009821077604302156</x:v>
      </x:c>
      <x:c r="N44" s="100" t="n">
        <x:f>IF(I44,F44,"")</x:f>
        <x:v>-0.03133859857157329</x:v>
      </x:c>
      <x:c r="P44" t="n">
        <x:f>J44</x:f>
        <x:v>0.01807670723018075</x:v>
      </x:c>
      <x:c r="Q44" t="n">
        <x:f>K44</x:f>
        <x:v>-0.01326189134139254</x:v>
      </x:c>
    </x:row>
    <x:row r="45">
      <x:c r="A45" s="99" t="str">
        <x:f>'Raw T'!B39</x:f>
        <x:v>00076</x:v>
      </x:c>
      <x:c r="B45" s="100" t="n">
        <x:f>INDEX('Raw Stations'!$D$2:$D$299,MATCH(A45,'Raw Stations'!$A$2:$A$299,0))</x:f>
        <x:v>0.02336182492799753</x:v>
      </x:c>
      <x:c r="C45" s="100" t="n">
        <x:f>'Raw T'!L39</x:f>
        <x:v>-0.0367477415779377</x:v>
      </x:c>
      <x:c r="D45" s="100" t="n">
        <x:f>$B$2</x:f>
        <x:v>-0.01783376051078768</x:v>
      </x:c>
      <x:c r="E45" s="100" t="n">
        <x:f>C45-D45</x:f>
        <x:v>-0.018913981067150018</x:v>
      </x:c>
      <x:c r="F45" s="100" t="n">
        <x:f>E45-B45</x:f>
        <x:v>-0.04227580599514755</x:v>
      </x:c>
      <x:c r="G45" s="100" t="n">
        <x:f>ABS(F45)</x:f>
        <x:v>0.04227580599514755</x:v>
      </x:c>
      <x:c r="H45" s="100" t="n">
        <x:f>'Raw T'!N39</x:f>
        <x:v>0.9633361711905511</x:v>
      </x:c>
      <x:c r="I45" t="b">
        <x:f>'Raw T'!O39</x:f>
        <x:v>1</x:v>
      </x:c>
      <x:c r="J45" s="100" t="n">
        <x:f>IF(I45,B45,"")</x:f>
        <x:v>0.02336182492799753</x:v>
      </x:c>
      <x:c r="K45" s="100" t="n">
        <x:f>IF(I45,E45,"")</x:f>
        <x:v>-0.018913981067150018</x:v>
      </x:c>
      <x:c r="L45" s="100" t="n">
        <x:f>IF(I45,G45,"")</x:f>
        <x:v>0.04227580599514755</x:v>
      </x:c>
      <x:c r="M45" s="100" t="n">
        <x:f>IF(I45,F45^2,"")</x:f>
        <x:v>0.0017872437725393532</x:v>
      </x:c>
      <x:c r="N45" s="100" t="n">
        <x:f>IF(I45,F45,"")</x:f>
        <x:v>-0.04227580599514755</x:v>
      </x:c>
      <x:c r="P45" t="n">
        <x:f>J45</x:f>
        <x:v>0.02336182492799753</x:v>
      </x:c>
      <x:c r="Q45" t="n">
        <x:f>K45</x:f>
        <x:v>-0.018913981067150018</x:v>
      </x:c>
    </x:row>
    <x:row r="46">
      <x:c r="A46" s="99" t="str">
        <x:f>'Raw T'!B40</x:f>
        <x:v>00077</x:v>
      </x:c>
      <x:c r="B46" s="100" t="n">
        <x:f>INDEX('Raw Stations'!$D$2:$D$299,MATCH(A46,'Raw Stations'!$A$2:$A$299,0))</x:f>
        <x:v>0.02126319951126142</x:v>
      </x:c>
      <x:c r="C46" s="100" t="n">
        <x:f>'Raw T'!L40</x:f>
        <x:v>-0.02701141394432173</x:v>
      </x:c>
      <x:c r="D46" s="100" t="n">
        <x:f>$B$2</x:f>
        <x:v>-0.01783376051078768</x:v>
      </x:c>
      <x:c r="E46" s="100" t="n">
        <x:f>C46-D46</x:f>
        <x:v>-0.00917765343353405</x:v>
      </x:c>
      <x:c r="F46" s="100" t="n">
        <x:f>E46-B46</x:f>
        <x:v>-0.03044085294479547</x:v>
      </x:c>
      <x:c r="G46" s="100" t="n">
        <x:f>ABS(F46)</x:f>
        <x:v>0.03044085294479547</x:v>
      </x:c>
      <x:c r="H46" s="100" t="n">
        <x:f>'Raw T'!N40</x:f>
        <x:v>0.9468608952927546</x:v>
      </x:c>
      <x:c r="I46" t="b">
        <x:f>'Raw T'!O40</x:f>
        <x:v>1</x:v>
      </x:c>
      <x:c r="J46" s="100" t="n">
        <x:f>IF(I46,B46,"")</x:f>
        <x:v>0.02126319951126142</x:v>
      </x:c>
      <x:c r="K46" s="100" t="n">
        <x:f>IF(I46,E46,"")</x:f>
        <x:v>-0.00917765343353405</x:v>
      </x:c>
      <x:c r="L46" s="100" t="n">
        <x:f>IF(I46,G46,"")</x:f>
        <x:v>0.03044085294479547</x:v>
      </x:c>
      <x:c r="M46" s="100" t="n">
        <x:f>IF(I46,F46^2,"")</x:f>
        <x:v>0.0009266455280066629</x:v>
      </x:c>
      <x:c r="N46" s="100" t="n">
        <x:f>IF(I46,F46,"")</x:f>
        <x:v>-0.03044085294479547</x:v>
      </x:c>
      <x:c r="P46" t="n">
        <x:f>J46</x:f>
        <x:v>0.02126319951126142</x:v>
      </x:c>
      <x:c r="Q46" t="n">
        <x:f>K46</x:f>
        <x:v>-0.00917765343353405</x:v>
      </x:c>
    </x:row>
    <x:row r="47">
      <x:c r="A47" s="99" t="str">
        <x:f>'Raw T'!B41</x:f>
        <x:v>00078</x:v>
      </x:c>
      <x:c r="B47" s="100" t="n">
        <x:f>INDEX('Raw Stations'!$D$2:$D$299,MATCH(A47,'Raw Stations'!$A$2:$A$299,0))</x:f>
        <x:v>-0.004203737816722061</x:v>
      </x:c>
      <x:c r="C47" s="100" t="n">
        <x:f>'Raw T'!L41</x:f>
        <x:v>-0.01615867337183755</x:v>
      </x:c>
      <x:c r="D47" s="100" t="n">
        <x:f>$B$2</x:f>
        <x:v>-0.01783376051078768</x:v>
      </x:c>
      <x:c r="E47" s="100" t="n">
        <x:f>C47-D47</x:f>
        <x:v>0.0016750871389501314</x:v>
      </x:c>
      <x:c r="F47" s="100" t="n">
        <x:f>E47-B47</x:f>
        <x:v>0.005878824955672193</x:v>
      </x:c>
      <x:c r="G47" s="100" t="n">
        <x:f>ABS(F47)</x:f>
        <x:v>0.005878824955672193</x:v>
      </x:c>
      <x:c r="H47" s="100" t="n">
        <x:f>'Raw T'!N41</x:f>
        <x:v>0.9199853431027549</x:v>
      </x:c>
      <x:c r="I47" t="b">
        <x:f>'Raw T'!O41</x:f>
        <x:v>1</x:v>
      </x:c>
      <x:c r="J47" s="100" t="n">
        <x:f>IF(I47,B47,"")</x:f>
        <x:v>-0.004203737816722061</x:v>
      </x:c>
      <x:c r="K47" s="100" t="n">
        <x:f>IF(I47,E47,"")</x:f>
        <x:v>0.0016750871389501314</x:v>
      </x:c>
      <x:c r="L47" s="100" t="n">
        <x:f>IF(I47,G47,"")</x:f>
        <x:v>0.005878824955672193</x:v>
      </x:c>
      <x:c r="M47" s="100" t="n">
        <x:f>IF(I47,F47^2,"")</x:f>
        <x:v>0.00003456058285943416</x:v>
      </x:c>
      <x:c r="N47" s="100" t="n">
        <x:f>IF(I47,F47,"")</x:f>
        <x:v>0.005878824955672193</x:v>
      </x:c>
      <x:c r="P47" t="n">
        <x:f>J47</x:f>
        <x:v>-0.004203737816722061</x:v>
      </x:c>
      <x:c r="Q47" t="n">
        <x:f>K47</x:f>
        <x:v>0.0016750871389501314</x:v>
      </x:c>
    </x:row>
    <x:row r="48">
      <x:c r="A48" s="99" t="str">
        <x:f>'Raw T'!B42</x:f>
        <x:v>00079</x:v>
      </x:c>
      <x:c r="B48" s="100" t="n">
        <x:f>INDEX('Raw Stations'!$D$2:$D$299,MATCH(A48,'Raw Stations'!$A$2:$A$299,0))</x:f>
        <x:v>-0.005715521247267239</x:v>
      </x:c>
      <x:c r="C48" s="100" t="n">
        <x:f>'Raw T'!L42</x:f>
        <x:v>-0.02635799507836437</x:v>
      </x:c>
      <x:c r="D48" s="100" t="n">
        <x:f>$B$2</x:f>
        <x:v>-0.01783376051078768</x:v>
      </x:c>
      <x:c r="E48" s="100" t="n">
        <x:f>C48-D48</x:f>
        <x:v>-0.008524234567576689</x:v>
      </x:c>
      <x:c r="F48" s="100" t="n">
        <x:f>E48-B48</x:f>
        <x:v>-0.00280871332030945</x:v>
      </x:c>
      <x:c r="G48" s="100" t="n">
        <x:f>ABS(F48)</x:f>
        <x:v>0.00280871332030945</x:v>
      </x:c>
      <x:c r="H48" s="100" t="n">
        <x:f>'Raw T'!N42</x:f>
        <x:v>0.7214179755456988</x:v>
      </x:c>
      <x:c r="I48" t="b">
        <x:f>'Raw T'!O42</x:f>
        <x:v>1</x:v>
      </x:c>
      <x:c r="J48" s="100" t="n">
        <x:f>IF(I48,B48,"")</x:f>
        <x:v>-0.005715521247267239</x:v>
      </x:c>
      <x:c r="K48" s="100" t="n">
        <x:f>IF(I48,E48,"")</x:f>
        <x:v>-0.008524234567576689</x:v>
      </x:c>
      <x:c r="L48" s="100" t="n">
        <x:f>IF(I48,G48,"")</x:f>
        <x:v>0.00280871332030945</x:v>
      </x:c>
      <x:c r="M48" s="100" t="n">
        <x:f>IF(I48,F48^2,"")</x:f>
        <x:v>0.000007888870515683734</x:v>
      </x:c>
      <x:c r="N48" s="100" t="n">
        <x:f>IF(I48,F48,"")</x:f>
        <x:v>-0.00280871332030945</x:v>
      </x:c>
      <x:c r="P48" t="n">
        <x:f>J48</x:f>
        <x:v>-0.005715521247267239</x:v>
      </x:c>
      <x:c r="Q48" t="n">
        <x:f>K48</x:f>
        <x:v>-0.008524234567576689</x:v>
      </x:c>
    </x:row>
    <x:row r="49">
      <x:c r="A49" s="99" t="str">
        <x:f>'Raw T'!B43</x:f>
        <x:v>00080</x:v>
      </x:c>
      <x:c r="B49" s="100" t="n">
        <x:f>INDEX('Raw Stations'!$D$2:$D$299,MATCH(A49,'Raw Stations'!$A$2:$A$299,0))</x:f>
        <x:v>-0.001428292388092174</x:v>
      </x:c>
      <x:c r="C49" s="100" t="n">
        <x:f>'Raw T'!L43</x:f>
        <x:v>-0.0289469382579022</x:v>
      </x:c>
      <x:c r="D49" s="100" t="n">
        <x:f>$B$2</x:f>
        <x:v>-0.01783376051078768</x:v>
      </x:c>
      <x:c r="E49" s="100" t="n">
        <x:f>C49-D49</x:f>
        <x:v>-0.011113177747114521</x:v>
      </x:c>
      <x:c r="F49" s="100" t="n">
        <x:f>E49-B49</x:f>
        <x:v>-0.009684885359022347</x:v>
      </x:c>
      <x:c r="G49" s="100" t="n">
        <x:f>ABS(F49)</x:f>
        <x:v>0.009684885359022347</x:v>
      </x:c>
      <x:c r="H49" s="100" t="n">
        <x:f>'Raw T'!N43</x:f>
        <x:v>0.502510846371693</x:v>
      </x:c>
      <x:c r="I49" t="b">
        <x:f>'Raw T'!O43</x:f>
        <x:v>0</x:v>
      </x:c>
      <x:c r="J49" s="100" t="str">
        <x:f>IF(I49,B49,"")</x:f>
      </x:c>
      <x:c r="K49" s="100" t="str">
        <x:f>IF(I49,E49,"")</x:f>
      </x:c>
      <x:c r="L49" s="100" t="str">
        <x:f>IF(I49,G49,"")</x:f>
      </x:c>
      <x:c r="M49" s="100" t="str">
        <x:f>IF(I49,F49^2,"")</x:f>
      </x:c>
      <x:c r="N49" s="100" t="str">
        <x:f>IF(I49,F49,"")</x:f>
      </x:c>
      <x:c r="P49" t="str">
        <x:f>J49</x:f>
      </x:c>
      <x:c r="Q49" t="str">
        <x:f>K49</x:f>
      </x:c>
    </x:row>
    <x:row r="50">
      <x:c r="A50" s="99" t="str">
        <x:f>'Raw T'!B44</x:f>
        <x:v>00081</x:v>
      </x:c>
      <x:c r="B50" s="100" t="n">
        <x:f>INDEX('Raw Stations'!$D$2:$D$299,MATCH(A50,'Raw Stations'!$A$2:$A$299,0))</x:f>
        <x:v>-0.005377671962295084</x:v>
      </x:c>
      <x:c r="C50" s="100" t="n">
        <x:f>'Raw T'!L44</x:f>
        <x:v>-0.02646705130154975</x:v>
      </x:c>
      <x:c r="D50" s="100" t="n">
        <x:f>$B$2</x:f>
        <x:v>-0.01783376051078768</x:v>
      </x:c>
      <x:c r="E50" s="100" t="n">
        <x:f>C50-D50</x:f>
        <x:v>-0.008633290790762069</x:v>
      </x:c>
      <x:c r="F50" s="100" t="n">
        <x:f>E50-B50</x:f>
        <x:v>-0.0032556188284669843</x:v>
      </x:c>
      <x:c r="G50" s="100" t="n">
        <x:f>ABS(F50)</x:f>
        <x:v>0.0032556188284669843</x:v>
      </x:c>
      <x:c r="H50" s="100" t="n">
        <x:f>'Raw T'!N44</x:f>
        <x:v>0.9530558918563602</x:v>
      </x:c>
      <x:c r="I50" t="b">
        <x:f>'Raw T'!O44</x:f>
        <x:v>1</x:v>
      </x:c>
      <x:c r="J50" s="100" t="n">
        <x:f>IF(I50,B50,"")</x:f>
        <x:v>-0.005377671962295084</x:v>
      </x:c>
      <x:c r="K50" s="100" t="n">
        <x:f>IF(I50,E50,"")</x:f>
        <x:v>-0.008633290790762069</x:v>
      </x:c>
      <x:c r="L50" s="100" t="n">
        <x:f>IF(I50,G50,"")</x:f>
        <x:v>0.0032556188284669843</x:v>
      </x:c>
      <x:c r="M50" s="100" t="n">
        <x:f>IF(I50,F50^2,"")</x:f>
        <x:v>0.00001059905395626874</x:v>
      </x:c>
      <x:c r="N50" s="100" t="n">
        <x:f>IF(I50,F50,"")</x:f>
        <x:v>-0.0032556188284669843</x:v>
      </x:c>
      <x:c r="P50" t="n">
        <x:f>J50</x:f>
        <x:v>-0.005377671962295084</x:v>
      </x:c>
      <x:c r="Q50" t="n">
        <x:f>K50</x:f>
        <x:v>-0.008633290790762069</x:v>
      </x:c>
    </x:row>
    <x:row r="51">
      <x:c r="A51" s="99" t="str">
        <x:f>'Raw T'!B45</x:f>
        <x:v>00082</x:v>
      </x:c>
      <x:c r="B51" s="100" t="n">
        <x:f>INDEX('Raw Stations'!$D$2:$D$299,MATCH(A51,'Raw Stations'!$A$2:$A$299,0))</x:f>
        <x:v>0.002615997766090779</x:v>
      </x:c>
      <x:c r="C51" s="100" t="n">
        <x:f>'Raw T'!L45</x:f>
        <x:v>-0.02932944463431247</x:v>
      </x:c>
      <x:c r="D51" s="100" t="n">
        <x:f>$B$2</x:f>
        <x:v>-0.01783376051078768</x:v>
      </x:c>
      <x:c r="E51" s="100" t="n">
        <x:f>C51-D51</x:f>
        <x:v>-0.01149568412352479</x:v>
      </x:c>
      <x:c r="F51" s="100" t="n">
        <x:f>E51-B51</x:f>
        <x:v>-0.01411168188961557</x:v>
      </x:c>
      <x:c r="G51" s="100" t="n">
        <x:f>ABS(F51)</x:f>
        <x:v>0.01411168188961557</x:v>
      </x:c>
      <x:c r="H51" s="100" t="n">
        <x:f>'Raw T'!N45</x:f>
        <x:v>0.9763129215533284</x:v>
      </x:c>
      <x:c r="I51" t="b">
        <x:f>'Raw T'!O45</x:f>
        <x:v>1</x:v>
      </x:c>
      <x:c r="J51" s="100" t="n">
        <x:f>IF(I51,B51,"")</x:f>
        <x:v>0.002615997766090779</x:v>
      </x:c>
      <x:c r="K51" s="100" t="n">
        <x:f>IF(I51,E51,"")</x:f>
        <x:v>-0.01149568412352479</x:v>
      </x:c>
      <x:c r="L51" s="100" t="n">
        <x:f>IF(I51,G51,"")</x:f>
        <x:v>0.01411168188961557</x:v>
      </x:c>
      <x:c r="M51" s="100" t="n">
        <x:f>IF(I51,F51^2,"")</x:f>
        <x:v>0.00019913956575370406</x:v>
      </x:c>
      <x:c r="N51" s="100" t="n">
        <x:f>IF(I51,F51,"")</x:f>
        <x:v>-0.01411168188961557</x:v>
      </x:c>
      <x:c r="P51" t="n">
        <x:f>J51</x:f>
        <x:v>0.002615997766090779</x:v>
      </x:c>
      <x:c r="Q51" t="n">
        <x:f>K51</x:f>
        <x:v>-0.01149568412352479</x:v>
      </x:c>
    </x:row>
    <x:row r="52">
      <x:c r="A52" s="99" t="str">
        <x:f>'Raw T'!B46</x:f>
        <x:v>00083</x:v>
      </x:c>
      <x:c r="B52" s="100" t="n">
        <x:f>INDEX('Raw Stations'!$D$2:$D$299,MATCH(A52,'Raw Stations'!$A$2:$A$299,0))</x:f>
        <x:v>0.0053460092687972</x:v>
      </x:c>
      <x:c r="C52" s="100" t="n">
        <x:f>'Raw T'!L46</x:f>
        <x:v>-0.01111253437454293</x:v>
      </x:c>
      <x:c r="D52" s="100" t="n">
        <x:f>$B$2</x:f>
        <x:v>-0.01783376051078768</x:v>
      </x:c>
      <x:c r="E52" s="100" t="n">
        <x:f>C52-D52</x:f>
        <x:v>0.00672122613624475</x:v>
      </x:c>
      <x:c r="F52" s="100" t="n">
        <x:f>E52-B52</x:f>
        <x:v>0.0013752168674475498</x:v>
      </x:c>
      <x:c r="G52" s="100" t="n">
        <x:f>ABS(F52)</x:f>
        <x:v>0.0013752168674475498</x:v>
      </x:c>
      <x:c r="H52" s="100" t="n">
        <x:f>'Raw T'!N46</x:f>
        <x:v>0.9604423068532021</x:v>
      </x:c>
      <x:c r="I52" t="b">
        <x:f>'Raw T'!O46</x:f>
        <x:v>1</x:v>
      </x:c>
      <x:c r="J52" s="100" t="n">
        <x:f>IF(I52,B52,"")</x:f>
        <x:v>0.0053460092687972</x:v>
      </x:c>
      <x:c r="K52" s="100" t="n">
        <x:f>IF(I52,E52,"")</x:f>
        <x:v>0.00672122613624475</x:v>
      </x:c>
      <x:c r="L52" s="100" t="n">
        <x:f>IF(I52,G52,"")</x:f>
        <x:v>0.0013752168674475498</x:v>
      </x:c>
      <x:c r="M52" s="100" t="n">
        <x:f>IF(I52,F52^2,"")</x:f>
        <x:v>0.0000018912214325122519</x:v>
      </x:c>
      <x:c r="N52" s="100" t="n">
        <x:f>IF(I52,F52,"")</x:f>
        <x:v>0.0013752168674475498</x:v>
      </x:c>
      <x:c r="P52" t="n">
        <x:f>J52</x:f>
        <x:v>0.0053460092687972</x:v>
      </x:c>
      <x:c r="Q52" t="n">
        <x:f>K52</x:f>
        <x:v>0.00672122613624475</x:v>
      </x:c>
    </x:row>
    <x:row r="53">
      <x:c r="A53" s="99" t="str">
        <x:f>'Raw T'!B47</x:f>
        <x:v>00084</x:v>
      </x:c>
      <x:c r="B53" s="100" t="n">
        <x:f>INDEX('Raw Stations'!$D$2:$D$299,MATCH(A53,'Raw Stations'!$A$2:$A$299,0))</x:f>
        <x:v>0.006623867605021951</x:v>
      </x:c>
      <x:c r="C53" s="100" t="n">
        <x:f>'Raw T'!L47</x:f>
        <x:v>-0.009156329686516113</x:v>
      </x:c>
      <x:c r="D53" s="100" t="n">
        <x:f>$B$2</x:f>
        <x:v>-0.01783376051078768</x:v>
      </x:c>
      <x:c r="E53" s="100" t="n">
        <x:f>C53-D53</x:f>
        <x:v>0.008677430824271568</x:v>
      </x:c>
      <x:c r="F53" s="100" t="n">
        <x:f>E53-B53</x:f>
        <x:v>0.0020535632192496163</x:v>
      </x:c>
      <x:c r="G53" s="100" t="n">
        <x:f>ABS(F53)</x:f>
        <x:v>0.0020535632192496163</x:v>
      </x:c>
      <x:c r="H53" s="100" t="n">
        <x:f>'Raw T'!N47</x:f>
        <x:v>0.9418016279573048</x:v>
      </x:c>
      <x:c r="I53" t="b">
        <x:f>'Raw T'!O47</x:f>
        <x:v>1</x:v>
      </x:c>
      <x:c r="J53" s="100" t="n">
        <x:f>IF(I53,B53,"")</x:f>
        <x:v>0.006623867605021951</x:v>
      </x:c>
      <x:c r="K53" s="100" t="n">
        <x:f>IF(I53,E53,"")</x:f>
        <x:v>0.008677430824271568</x:v>
      </x:c>
      <x:c r="L53" s="100" t="n">
        <x:f>IF(I53,G53,"")</x:f>
        <x:v>0.0020535632192496163</x:v>
      </x:c>
      <x:c r="M53" s="100" t="n">
        <x:f>IF(I53,F53^2,"")</x:f>
        <x:v>0.0000042171218954548475</x:v>
      </x:c>
      <x:c r="N53" s="100" t="n">
        <x:f>IF(I53,F53,"")</x:f>
        <x:v>0.0020535632192496163</x:v>
      </x:c>
      <x:c r="P53" t="n">
        <x:f>J53</x:f>
        <x:v>0.006623867605021951</x:v>
      </x:c>
      <x:c r="Q53" t="n">
        <x:f>K53</x:f>
        <x:v>0.008677430824271568</x:v>
      </x:c>
    </x:row>
    <x:row r="54">
      <x:c r="A54" s="99" t="str">
        <x:f>'Raw T'!B48</x:f>
        <x:v>00086</x:v>
      </x:c>
      <x:c r="B54" s="100" t="n">
        <x:f>INDEX('Raw Stations'!$D$2:$D$299,MATCH(A54,'Raw Stations'!$A$2:$A$299,0))</x:f>
        <x:v>0.007899155347603819</x:v>
      </x:c>
      <x:c r="C54" s="100" t="n">
        <x:f>'Raw T'!L48</x:f>
        <x:v>-0.02004628705279943</x:v>
      </x:c>
      <x:c r="D54" s="100" t="n">
        <x:f>$B$2</x:f>
        <x:v>-0.01783376051078768</x:v>
      </x:c>
      <x:c r="E54" s="100" t="n">
        <x:f>C54-D54</x:f>
        <x:v>-0.002212526542011751</x:v>
      </x:c>
      <x:c r="F54" s="100" t="n">
        <x:f>E54-B54</x:f>
        <x:v>-0.01011168188961557</x:v>
      </x:c>
      <x:c r="G54" s="100" t="n">
        <x:f>ABS(F54)</x:f>
        <x:v>0.01011168188961557</x:v>
      </x:c>
      <x:c r="H54" s="100" t="n">
        <x:f>'Raw T'!N48</x:f>
        <x:v>0.9727911904512508</x:v>
      </x:c>
      <x:c r="I54" t="b">
        <x:f>'Raw T'!O48</x:f>
        <x:v>1</x:v>
      </x:c>
      <x:c r="J54" s="100" t="n">
        <x:f>IF(I54,B54,"")</x:f>
        <x:v>0.007899155347603819</x:v>
      </x:c>
      <x:c r="K54" s="100" t="n">
        <x:f>IF(I54,E54,"")</x:f>
        <x:v>-0.002212526542011751</x:v>
      </x:c>
      <x:c r="L54" s="100" t="n">
        <x:f>IF(I54,G54,"")</x:f>
        <x:v>0.01011168188961557</x:v>
      </x:c>
      <x:c r="M54" s="100" t="n">
        <x:f>IF(I54,F54^2,"")</x:f>
        <x:v>0.00010224611063677949</x:v>
      </x:c>
      <x:c r="N54" s="100" t="n">
        <x:f>IF(I54,F54,"")</x:f>
        <x:v>-0.01011168188961557</x:v>
      </x:c>
      <x:c r="P54" t="n">
        <x:f>J54</x:f>
        <x:v>0.007899155347603819</x:v>
      </x:c>
      <x:c r="Q54" t="n">
        <x:f>K54</x:f>
        <x:v>-0.002212526542011751</x:v>
      </x:c>
    </x:row>
    <x:row r="55">
      <x:c r="A55" s="99" t="str">
        <x:f>'Raw T'!B49</x:f>
        <x:v>00087</x:v>
      </x:c>
      <x:c r="B55" s="100" t="n">
        <x:f>INDEX('Raw Stations'!$D$2:$D$299,MATCH(A55,'Raw Stations'!$A$2:$A$299,0))</x:f>
        <x:v>-0.0003104305051258895</x:v>
      </x:c>
      <x:c r="C55" s="100" t="n">
        <x:f>'Raw T'!L49</x:f>
        <x:v>-0.02755759864260499</x:v>
      </x:c>
      <x:c r="D55" s="100" t="n">
        <x:f>$B$2</x:f>
        <x:v>-0.01783376051078768</x:v>
      </x:c>
      <x:c r="E55" s="100" t="n">
        <x:f>C55-D55</x:f>
        <x:v>-0.009723838131817309</x:v>
      </x:c>
      <x:c r="F55" s="100" t="n">
        <x:f>E55-B55</x:f>
        <x:v>-0.00941340762669142</x:v>
      </x:c>
      <x:c r="G55" s="100" t="n">
        <x:f>ABS(F55)</x:f>
        <x:v>0.00941340762669142</x:v>
      </x:c>
      <x:c r="H55" s="100" t="n">
        <x:f>'Raw T'!N49</x:f>
        <x:v>0.9780491832411987</x:v>
      </x:c>
      <x:c r="I55" t="b">
        <x:f>'Raw T'!O49</x:f>
        <x:v>1</x:v>
      </x:c>
      <x:c r="J55" s="100" t="n">
        <x:f>IF(I55,B55,"")</x:f>
        <x:v>-0.0003104305051258895</x:v>
      </x:c>
      <x:c r="K55" s="100" t="n">
        <x:f>IF(I55,E55,"")</x:f>
        <x:v>-0.009723838131817309</x:v>
      </x:c>
      <x:c r="L55" s="100" t="n">
        <x:f>IF(I55,G55,"")</x:f>
        <x:v>0.00941340762669142</x:v>
      </x:c>
      <x:c r="M55" s="100" t="n">
        <x:f>IF(I55,F55^2,"")</x:f>
        <x:v>0.00008861224314625218</x:v>
      </x:c>
      <x:c r="N55" s="100" t="n">
        <x:f>IF(I55,F55,"")</x:f>
        <x:v>-0.00941340762669142</x:v>
      </x:c>
      <x:c r="P55" t="n">
        <x:f>J55</x:f>
        <x:v>-0.0003104305051258895</x:v>
      </x:c>
      <x:c r="Q55" t="n">
        <x:f>K55</x:f>
        <x:v>-0.009723838131817309</x:v>
      </x:c>
    </x:row>
    <x:row r="56">
      <x:c r="A56" s="99" t="str">
        <x:f>'Raw T'!B50</x:f>
        <x:v>00088</x:v>
      </x:c>
      <x:c r="B56" s="100" t="n">
        <x:f>INDEX('Raw Stations'!$D$2:$D$299,MATCH(A56,'Raw Stations'!$A$2:$A$299,0))</x:f>
        <x:v>0.0157461620590449</x:v>
      </x:c>
      <x:c r="C56" s="100" t="n">
        <x:f>'Raw T'!L50</x:f>
        <x:v>-0.02258319849396073</x:v>
      </x:c>
      <x:c r="D56" s="100" t="n">
        <x:f>$B$2</x:f>
        <x:v>-0.01783376051078768</x:v>
      </x:c>
      <x:c r="E56" s="100" t="n">
        <x:f>C56-D56</x:f>
        <x:v>-0.004749437983173049</x:v>
      </x:c>
      <x:c r="F56" s="100" t="n">
        <x:f>E56-B56</x:f>
        <x:v>-0.020495600042217947</x:v>
      </x:c>
      <x:c r="G56" s="100" t="n">
        <x:f>ABS(F56)</x:f>
        <x:v>0.020495600042217947</x:v>
      </x:c>
      <x:c r="H56" s="100" t="n">
        <x:f>'Raw T'!N50</x:f>
        <x:v>0.9457777107709816</x:v>
      </x:c>
      <x:c r="I56" t="b">
        <x:f>'Raw T'!O50</x:f>
        <x:v>1</x:v>
      </x:c>
      <x:c r="J56" s="100" t="n">
        <x:f>IF(I56,B56,"")</x:f>
        <x:v>0.0157461620590449</x:v>
      </x:c>
      <x:c r="K56" s="100" t="n">
        <x:f>IF(I56,E56,"")</x:f>
        <x:v>-0.004749437983173049</x:v>
      </x:c>
      <x:c r="L56" s="100" t="n">
        <x:f>IF(I56,G56,"")</x:f>
        <x:v>0.020495600042217947</x:v>
      </x:c>
      <x:c r="M56" s="100" t="n">
        <x:f>IF(I56,F56^2,"")</x:f>
        <x:v>0.0004200696210905643</x:v>
      </x:c>
      <x:c r="N56" s="100" t="n">
        <x:f>IF(I56,F56,"")</x:f>
        <x:v>-0.020495600042217947</x:v>
      </x:c>
      <x:c r="P56" t="n">
        <x:f>J56</x:f>
        <x:v>0.0157461620590449</x:v>
      </x:c>
      <x:c r="Q56" t="n">
        <x:f>K56</x:f>
        <x:v>-0.004749437983173049</x:v>
      </x:c>
    </x:row>
    <x:row r="57">
      <x:c r="A57" s="99" t="str">
        <x:f>'Raw T'!B51</x:f>
        <x:v>00089</x:v>
      </x:c>
      <x:c r="B57" s="100" t="n">
        <x:f>INDEX('Raw Stations'!$D$2:$D$299,MATCH(A57,'Raw Stations'!$A$2:$A$299,0))</x:f>
        <x:v>0.01282976438716787</x:v>
      </x:c>
      <x:c r="C57" s="100" t="n">
        <x:f>'Raw T'!L51</x:f>
        <x:v>-0.0266357622112231</x:v>
      </x:c>
      <x:c r="D57" s="100" t="n">
        <x:f>$B$2</x:f>
        <x:v>-0.01783376051078768</x:v>
      </x:c>
      <x:c r="E57" s="100" t="n">
        <x:f>C57-D57</x:f>
        <x:v>-0.008802001700435418</x:v>
      </x:c>
      <x:c r="F57" s="100" t="n">
        <x:f>E57-B57</x:f>
        <x:v>-0.02163176608760329</x:v>
      </x:c>
      <x:c r="G57" s="100" t="n">
        <x:f>ABS(F57)</x:f>
        <x:v>0.02163176608760329</x:v>
      </x:c>
      <x:c r="H57" s="100" t="n">
        <x:f>'Raw T'!N51</x:f>
        <x:v>0.9759702699470426</x:v>
      </x:c>
      <x:c r="I57" t="b">
        <x:f>'Raw T'!O51</x:f>
        <x:v>1</x:v>
      </x:c>
      <x:c r="J57" s="100" t="n">
        <x:f>IF(I57,B57,"")</x:f>
        <x:v>0.01282976438716787</x:v>
      </x:c>
      <x:c r="K57" s="100" t="n">
        <x:f>IF(I57,E57,"")</x:f>
        <x:v>-0.008802001700435418</x:v>
      </x:c>
      <x:c r="L57" s="100" t="n">
        <x:f>IF(I57,G57,"")</x:f>
        <x:v>0.02163176608760329</x:v>
      </x:c>
      <x:c r="M57" s="100" t="n">
        <x:f>IF(I57,F57^2,"")</x:f>
        <x:v>0.00046793330406878374</x:v>
      </x:c>
      <x:c r="N57" s="100" t="n">
        <x:f>IF(I57,F57,"")</x:f>
        <x:v>-0.02163176608760329</x:v>
      </x:c>
      <x:c r="P57" t="n">
        <x:f>J57</x:f>
        <x:v>0.01282976438716787</x:v>
      </x:c>
      <x:c r="Q57" t="n">
        <x:f>K57</x:f>
        <x:v>-0.008802001700435418</x:v>
      </x:c>
    </x:row>
    <x:row r="58">
      <x:c r="A58" s="99" t="str">
        <x:f>'Raw T'!B52</x:f>
        <x:v>00090</x:v>
      </x:c>
      <x:c r="B58" s="100" t="n">
        <x:f>INDEX('Raw Stations'!$D$2:$D$299,MATCH(A58,'Raw Stations'!$A$2:$A$299,0))</x:f>
        <x:v>0.01948776418940744</x:v>
      </x:c>
      <x:c r="C58" s="100" t="n">
        <x:f>'Raw T'!L52</x:f>
        <x:v>-0.02568459489295351</x:v>
      </x:c>
      <x:c r="D58" s="100" t="n">
        <x:f>$B$2</x:f>
        <x:v>-0.01783376051078768</x:v>
      </x:c>
      <x:c r="E58" s="100" t="n">
        <x:f>C58-D58</x:f>
        <x:v>-0.007850834382165831</x:v>
      </x:c>
      <x:c r="F58" s="100" t="n">
        <x:f>E58-B58</x:f>
        <x:v>-0.02733859857157327</x:v>
      </x:c>
      <x:c r="G58" s="100" t="n">
        <x:f>ABS(F58)</x:f>
        <x:v>0.02733859857157327</x:v>
      </x:c>
      <x:c r="H58" s="100" t="n">
        <x:f>'Raw T'!N52</x:f>
        <x:v>0.9942576879277122</x:v>
      </x:c>
      <x:c r="I58" t="b">
        <x:f>'Raw T'!O52</x:f>
        <x:v>1</x:v>
      </x:c>
      <x:c r="J58" s="100" t="n">
        <x:f>IF(I58,B58,"")</x:f>
        <x:v>0.01948776418940744</x:v>
      </x:c>
      <x:c r="K58" s="100" t="n">
        <x:f>IF(I58,E58,"")</x:f>
        <x:v>-0.007850834382165831</x:v>
      </x:c>
      <x:c r="L58" s="100" t="n">
        <x:f>IF(I58,G58,"")</x:f>
        <x:v>0.02733859857157327</x:v>
      </x:c>
      <x:c r="M58" s="100" t="n">
        <x:f>IF(I58,F58^2,"")</x:f>
        <x:v>0.000747398971857628</x:v>
      </x:c>
      <x:c r="N58" s="100" t="n">
        <x:f>IF(I58,F58,"")</x:f>
        <x:v>-0.02733859857157327</x:v>
      </x:c>
      <x:c r="P58" t="n">
        <x:f>J58</x:f>
        <x:v>0.01948776418940744</x:v>
      </x:c>
      <x:c r="Q58" t="n">
        <x:f>K58</x:f>
        <x:v>-0.007850834382165831</x:v>
      </x:c>
    </x:row>
    <x:row r="59">
      <x:c r="A59" s="99" t="str">
        <x:f>'Raw T'!B53</x:f>
        <x:v>00091</x:v>
      </x:c>
      <x:c r="B59" s="100" t="n">
        <x:f>INDEX('Raw Stations'!$D$2:$D$299,MATCH(A59,'Raw Stations'!$A$2:$A$299,0))</x:f>
        <x:v>0.0279982488109449</x:v>
      </x:c>
      <x:c r="C59" s="100" t="n">
        <x:f>'Raw T'!L53</x:f>
        <x:v>-0.01833111174206073</x:v>
      </x:c>
      <x:c r="D59" s="100" t="n">
        <x:f>$B$2</x:f>
        <x:v>-0.01783376051078768</x:v>
      </x:c>
      <x:c r="E59" s="100" t="n">
        <x:f>C59-D59</x:f>
        <x:v>-0.0004973512312730494</x:v>
      </x:c>
      <x:c r="F59" s="100" t="n">
        <x:f>E59-B59</x:f>
        <x:v>-0.02849560004221795</x:v>
      </x:c>
      <x:c r="G59" s="100" t="n">
        <x:f>ABS(F59)</x:f>
        <x:v>0.02849560004221795</x:v>
      </x:c>
      <x:c r="H59" s="100" t="n">
        <x:f>'Raw T'!N53</x:f>
        <x:v>0.9676941029267782</x:v>
      </x:c>
      <x:c r="I59" t="b">
        <x:f>'Raw T'!O53</x:f>
        <x:v>1</x:v>
      </x:c>
      <x:c r="J59" s="100" t="n">
        <x:f>IF(I59,B59,"")</x:f>
        <x:v>0.0279982488109449</x:v>
      </x:c>
      <x:c r="K59" s="100" t="n">
        <x:f>IF(I59,E59,"")</x:f>
        <x:v>-0.0004973512312730494</x:v>
      </x:c>
      <x:c r="L59" s="100" t="n">
        <x:f>IF(I59,G59,"")</x:f>
        <x:v>0.02849560004221795</x:v>
      </x:c>
      <x:c r="M59" s="100" t="n">
        <x:f>IF(I59,F59^2,"")</x:f>
        <x:v>0.0008119992217660517</x:v>
      </x:c>
      <x:c r="N59" s="100" t="n">
        <x:f>IF(I59,F59,"")</x:f>
        <x:v>-0.02849560004221795</x:v>
      </x:c>
      <x:c r="P59" t="n">
        <x:f>J59</x:f>
        <x:v>0.0279982488109449</x:v>
      </x:c>
      <x:c r="Q59" t="n">
        <x:f>K59</x:f>
        <x:v>-0.0004973512312730494</x:v>
      </x:c>
    </x:row>
    <x:row r="60">
      <x:c r="A60" s="99" t="str">
        <x:f>'Raw T'!B54</x:f>
        <x:v>00092</x:v>
      </x:c>
      <x:c r="B60" s="100" t="n">
        <x:f>INDEX('Raw Stations'!$D$2:$D$299,MATCH(A60,'Raw Stations'!$A$2:$A$299,0))</x:f>
        <x:v>0.01721080396433336</x:v>
      </x:c>
      <x:c r="C60" s="100" t="n">
        <x:f>'Raw T'!L54</x:f>
        <x:v>-0.04045590807592293</x:v>
      </x:c>
      <x:c r="D60" s="100" t="n">
        <x:f>$B$2</x:f>
        <x:v>-0.01783376051078768</x:v>
      </x:c>
      <x:c r="E60" s="100" t="n">
        <x:f>C60-D60</x:f>
        <x:v>-0.022622147565135253</x:v>
      </x:c>
      <x:c r="F60" s="100" t="n">
        <x:f>E60-B60</x:f>
        <x:v>-0.03983295152946861</x:v>
      </x:c>
      <x:c r="G60" s="100" t="n">
        <x:f>ABS(F60)</x:f>
        <x:v>0.03983295152946861</x:v>
      </x:c>
      <x:c r="H60" s="100" t="n">
        <x:f>'Raw T'!N54</x:f>
        <x:v>0.8987461921170569</x:v>
      </x:c>
      <x:c r="I60" t="b">
        <x:f>'Raw T'!O54</x:f>
        <x:v>1</x:v>
      </x:c>
      <x:c r="J60" s="100" t="n">
        <x:f>IF(I60,B60,"")</x:f>
        <x:v>0.01721080396433336</x:v>
      </x:c>
      <x:c r="K60" s="100" t="n">
        <x:f>IF(I60,E60,"")</x:f>
        <x:v>-0.022622147565135253</x:v>
      </x:c>
      <x:c r="L60" s="100" t="n">
        <x:f>IF(I60,G60,"")</x:f>
        <x:v>0.03983295152946861</x:v>
      </x:c>
      <x:c r="M60" s="100" t="n">
        <x:f>IF(I60,F60^2,"")</x:f>
        <x:v>0.0015866640275489959</x:v>
      </x:c>
      <x:c r="N60" s="100" t="n">
        <x:f>IF(I60,F60,"")</x:f>
        <x:v>-0.03983295152946861</x:v>
      </x:c>
      <x:c r="P60" t="n">
        <x:f>J60</x:f>
        <x:v>0.01721080396433336</x:v>
      </x:c>
      <x:c r="Q60" t="n">
        <x:f>K60</x:f>
        <x:v>-0.022622147565135253</x:v>
      </x:c>
    </x:row>
    <x:row r="61">
      <x:c r="A61" s="99" t="str">
        <x:f>'Raw T'!B55</x:f>
        <x:v>00093</x:v>
      </x:c>
      <x:c r="B61" s="100" t="n">
        <x:f>INDEX('Raw Stations'!$D$2:$D$299,MATCH(A61,'Raw Stations'!$A$2:$A$299,0))</x:f>
        <x:v>0.01259627872693789</x:v>
      </x:c>
      <x:c r="C61" s="100" t="n">
        <x:f>'Raw T'!L55</x:f>
        <x:v>-0.04215511775171379</x:v>
      </x:c>
      <x:c r="D61" s="100" t="n">
        <x:f>$B$2</x:f>
        <x:v>-0.01783376051078768</x:v>
      </x:c>
      <x:c r="E61" s="100" t="n">
        <x:f>C61-D61</x:f>
        <x:v>-0.024321357240926107</x:v>
      </x:c>
      <x:c r="F61" s="100" t="n">
        <x:f>E61-B61</x:f>
        <x:v>-0.036917635967864</x:v>
      </x:c>
      <x:c r="G61" s="100" t="n">
        <x:f>ABS(F61)</x:f>
        <x:v>0.036917635967864</x:v>
      </x:c>
      <x:c r="H61" s="100" t="n">
        <x:f>'Raw T'!N55</x:f>
        <x:v>0.9816334820879793</x:v>
      </x:c>
      <x:c r="I61" t="b">
        <x:f>'Raw T'!O55</x:f>
        <x:v>1</x:v>
      </x:c>
      <x:c r="J61" s="100" t="n">
        <x:f>IF(I61,B61,"")</x:f>
        <x:v>0.01259627872693789</x:v>
      </x:c>
      <x:c r="K61" s="100" t="n">
        <x:f>IF(I61,E61,"")</x:f>
        <x:v>-0.024321357240926107</x:v>
      </x:c>
      <x:c r="L61" s="100" t="n">
        <x:f>IF(I61,G61,"")</x:f>
        <x:v>0.036917635967864</x:v>
      </x:c>
      <x:c r="M61" s="100" t="n">
        <x:f>IF(I61,F61^2,"")</x:f>
        <x:v>0.001362911845455726</x:v>
      </x:c>
      <x:c r="N61" s="100" t="n">
        <x:f>IF(I61,F61,"")</x:f>
        <x:v>-0.036917635967864</x:v>
      </x:c>
      <x:c r="P61" t="n">
        <x:f>J61</x:f>
        <x:v>0.01259627872693789</x:v>
      </x:c>
      <x:c r="Q61" t="n">
        <x:f>K61</x:f>
        <x:v>-0.024321357240926107</x:v>
      </x:c>
    </x:row>
    <x:row r="62">
      <x:c r="A62" s="99" t="str">
        <x:f>'Raw T'!B56</x:f>
        <x:v>00094</x:v>
      </x:c>
      <x:c r="B62" s="100" t="n">
        <x:f>INDEX('Raw Stations'!$D$2:$D$299,MATCH(A62,'Raw Stations'!$A$2:$A$299,0))</x:f>
        <x:v>0.0007725978080579399</x:v>
      </x:c>
      <x:c r="C62" s="100" t="n">
        <x:f>'Raw T'!L56</x:f>
        <x:v>-0.01186987602303918</x:v>
      </x:c>
      <x:c r="D62" s="100" t="n">
        <x:f>$B$2</x:f>
        <x:v>-0.01783376051078768</x:v>
      </x:c>
      <x:c r="E62" s="100" t="n">
        <x:f>C62-D62</x:f>
        <x:v>0.0059638844877485005</x:v>
      </x:c>
      <x:c r="F62" s="100" t="n">
        <x:f>E62-B62</x:f>
        <x:v>0.005191286679690561</x:v>
      </x:c>
      <x:c r="G62" s="100" t="n">
        <x:f>ABS(F62)</x:f>
        <x:v>0.005191286679690561</x:v>
      </x:c>
      <x:c r="H62" s="100" t="n">
        <x:f>'Raw T'!N56</x:f>
        <x:v>0.6675467689981418</x:v>
      </x:c>
      <x:c r="I62" t="b">
        <x:f>'Raw T'!O56</x:f>
        <x:v>1</x:v>
      </x:c>
      <x:c r="J62" s="100" t="n">
        <x:f>IF(I62,B62,"")</x:f>
        <x:v>0.0007725978080579399</x:v>
      </x:c>
      <x:c r="K62" s="100" t="n">
        <x:f>IF(I62,E62,"")</x:f>
        <x:v>0.0059638844877485005</x:v>
      </x:c>
      <x:c r="L62" s="100" t="n">
        <x:f>IF(I62,G62,"")</x:f>
        <x:v>0.005191286679690561</x:v>
      </x:c>
      <x:c r="M62" s="100" t="n">
        <x:f>IF(I62,F62^2,"")</x:f>
        <x:v>0.000026949457390732645</x:v>
      </x:c>
      <x:c r="N62" s="100" t="n">
        <x:f>IF(I62,F62,"")</x:f>
        <x:v>0.005191286679690561</x:v>
      </x:c>
      <x:c r="P62" t="n">
        <x:f>J62</x:f>
        <x:v>0.0007725978080579399</x:v>
      </x:c>
      <x:c r="Q62" t="n">
        <x:f>K62</x:f>
        <x:v>0.0059638844877485005</x:v>
      </x:c>
    </x:row>
    <x:row r="63">
      <x:c r="A63" s="99" t="str">
        <x:f>'Raw T'!B57</x:f>
        <x:v>00095</x:v>
      </x:c>
      <x:c r="B63" s="100" t="n">
        <x:f>INDEX('Raw Stations'!$D$2:$D$299,MATCH(A63,'Raw Stations'!$A$2:$A$299,0))</x:f>
        <x:v>-0.0289975210238233</x:v>
      </x:c>
      <x:c r="C63" s="100" t="n">
        <x:f>'Raw T'!L57</x:f>
        <x:v>-0.02465916454525435</x:v>
      </x:c>
      <x:c r="D63" s="100" t="n">
        <x:f>$B$2</x:f>
        <x:v>-0.01783376051078768</x:v>
      </x:c>
      <x:c r="E63" s="100" t="n">
        <x:f>C63-D63</x:f>
        <x:v>-0.006825404034466669</x:v>
      </x:c>
      <x:c r="F63" s="100" t="n">
        <x:f>E63-B63</x:f>
        <x:v>0.02217211698935663</x:v>
      </x:c>
      <x:c r="G63" s="100" t="n">
        <x:f>ABS(F63)</x:f>
        <x:v>0.02217211698935663</x:v>
      </x:c>
      <x:c r="H63" s="100" t="n">
        <x:f>'Raw T'!N57</x:f>
        <x:v>0.6950212681593683</x:v>
      </x:c>
      <x:c r="I63" t="b">
        <x:f>'Raw T'!O57</x:f>
        <x:v>1</x:v>
      </x:c>
      <x:c r="J63" s="100" t="n">
        <x:f>IF(I63,B63,"")</x:f>
        <x:v>-0.0289975210238233</x:v>
      </x:c>
      <x:c r="K63" s="100" t="n">
        <x:f>IF(I63,E63,"")</x:f>
        <x:v>-0.006825404034466669</x:v>
      </x:c>
      <x:c r="L63" s="100" t="n">
        <x:f>IF(I63,G63,"")</x:f>
        <x:v>0.02217211698935663</x:v>
      </x:c>
      <x:c r="M63" s="100" t="n">
        <x:f>IF(I63,F63^2,"")</x:f>
        <x:v>0.0004916027717897169</x:v>
      </x:c>
      <x:c r="N63" s="100" t="n">
        <x:f>IF(I63,F63,"")</x:f>
        <x:v>0.02217211698935663</x:v>
      </x:c>
      <x:c r="P63" t="n">
        <x:f>J63</x:f>
        <x:v>-0.0289975210238233</x:v>
      </x:c>
      <x:c r="Q63" t="n">
        <x:f>K63</x:f>
        <x:v>-0.006825404034466669</x:v>
      </x:c>
    </x:row>
    <x:row r="64">
      <x:c r="A64" s="99" t="str">
        <x:f>'Raw T'!B58</x:f>
        <x:v>00096</x:v>
      </x:c>
      <x:c r="B64" s="100" t="n">
        <x:f>INDEX('Raw Stations'!$D$2:$D$299,MATCH(A64,'Raw Stations'!$A$2:$A$299,0))</x:f>
        <x:v>-0.0083776807166418</x:v>
      </x:c>
      <x:c r="C64" s="100" t="n">
        <x:f>'Raw T'!L58</x:f>
        <x:v>0.02212685949256266</x:v>
      </x:c>
      <x:c r="D64" s="100" t="n">
        <x:f>$B$2</x:f>
        <x:v>-0.01783376051078768</x:v>
      </x:c>
      <x:c r="E64" s="100" t="n">
        <x:f>C64-D64</x:f>
        <x:v>0.039960620003350336</x:v>
      </x:c>
      <x:c r="F64" s="100" t="n">
        <x:f>E64-B64</x:f>
        <x:v>0.048338300719992136</x:v>
      </x:c>
      <x:c r="G64" s="100" t="n">
        <x:f>ABS(F64)</x:f>
        <x:v>0.048338300719992136</x:v>
      </x:c>
      <x:c r="H64" s="100" t="n">
        <x:f>'Raw T'!N58</x:f>
        <x:v>0.8808425273850579</x:v>
      </x:c>
      <x:c r="I64" t="b">
        <x:f>'Raw T'!O58</x:f>
        <x:v>1</x:v>
      </x:c>
      <x:c r="J64" s="100" t="n">
        <x:f>IF(I64,B64,"")</x:f>
        <x:v>-0.0083776807166418</x:v>
      </x:c>
      <x:c r="K64" s="100" t="n">
        <x:f>IF(I64,E64,"")</x:f>
        <x:v>0.039960620003350336</x:v>
      </x:c>
      <x:c r="L64" s="100" t="n">
        <x:f>IF(I64,G64,"")</x:f>
        <x:v>0.048338300719992136</x:v>
      </x:c>
      <x:c r="M64" s="100" t="n">
        <x:f>IF(I64,F64^2,"")</x:f>
        <x:v>0.0023365913164963923</x:v>
      </x:c>
      <x:c r="N64" s="100" t="n">
        <x:f>IF(I64,F64,"")</x:f>
        <x:v>0.048338300719992136</x:v>
      </x:c>
      <x:c r="P64" t="n">
        <x:f>J64</x:f>
        <x:v>-0.0083776807166418</x:v>
      </x:c>
      <x:c r="Q64" t="n">
        <x:f>K64</x:f>
        <x:v>0.039960620003350336</x:v>
      </x:c>
    </x:row>
    <x:row r="65">
      <x:c r="A65" s="99" t="str">
        <x:f>'Raw T'!B59</x:f>
        <x:v>00097</x:v>
      </x:c>
      <x:c r="B65" s="100" t="n">
        <x:f>INDEX('Raw Stations'!$D$2:$D$299,MATCH(A65,'Raw Stations'!$A$2:$A$299,0))</x:f>
        <x:v>-0.006458927007562558</x:v>
      </x:c>
      <x:c r="C65" s="100" t="n">
        <x:f>'Raw T'!L59</x:f>
        <x:v>-0.01160869055905719</x:v>
      </x:c>
      <x:c r="D65" s="100" t="n">
        <x:f>$B$2</x:f>
        <x:v>-0.01783376051078768</x:v>
      </x:c>
      <x:c r="E65" s="100" t="n">
        <x:f>C65-D65</x:f>
        <x:v>0.006225069951730489</x:v>
      </x:c>
      <x:c r="F65" s="100" t="n">
        <x:f>E65-B65</x:f>
        <x:v>0.012683996959293047</x:v>
      </x:c>
      <x:c r="G65" s="100" t="n">
        <x:f>ABS(F65)</x:f>
        <x:v>0.012683996959293047</x:v>
      </x:c>
      <x:c r="H65" s="100" t="n">
        <x:f>'Raw T'!N59</x:f>
        <x:v>0.9343943843549914</x:v>
      </x:c>
      <x:c r="I65" t="b">
        <x:f>'Raw T'!O59</x:f>
        <x:v>1</x:v>
      </x:c>
      <x:c r="J65" s="100" t="n">
        <x:f>IF(I65,B65,"")</x:f>
        <x:v>-0.006458927007562558</x:v>
      </x:c>
      <x:c r="K65" s="100" t="n">
        <x:f>IF(I65,E65,"")</x:f>
        <x:v>0.006225069951730489</x:v>
      </x:c>
      <x:c r="L65" s="100" t="n">
        <x:f>IF(I65,G65,"")</x:f>
        <x:v>0.012683996959293047</x:v>
      </x:c>
      <x:c r="M65" s="100" t="n">
        <x:f>IF(I65,F65^2,"")</x:f>
        <x:v>0.00016088377886335528</x:v>
      </x:c>
      <x:c r="N65" s="100" t="n">
        <x:f>IF(I65,F65,"")</x:f>
        <x:v>0.012683996959293047</x:v>
      </x:c>
      <x:c r="P65" t="n">
        <x:f>J65</x:f>
        <x:v>-0.006458927007562558</x:v>
      </x:c>
      <x:c r="Q65" t="n">
        <x:f>K65</x:f>
        <x:v>0.006225069951730489</x:v>
      </x:c>
    </x:row>
    <x:row r="66">
      <x:c r="A66" s="99" t="str">
        <x:f>'Raw T'!B60</x:f>
        <x:v>00098</x:v>
      </x:c>
      <x:c r="B66" s="100" t="n">
        <x:f>INDEX('Raw Stations'!$D$2:$D$299,MATCH(A66,'Raw Stations'!$A$2:$A$299,0))</x:f>
        <x:v>-0.001755968804049431</x:v>
      </x:c>
      <x:c r="C66" s="100" t="n">
        <x:f>'Raw T'!L60</x:f>
        <x:v>-0.01142268084430573</x:v>
      </x:c>
      <x:c r="D66" s="100" t="n">
        <x:f>$B$2</x:f>
        <x:v>-0.01783376051078768</x:v>
      </x:c>
      <x:c r="E66" s="100" t="n">
        <x:f>C66-D66</x:f>
        <x:v>0.00641107966648195</x:v>
      </x:c>
      <x:c r="F66" s="100" t="n">
        <x:f>E66-B66</x:f>
        <x:v>0.008167048470531381</x:v>
      </x:c>
      <x:c r="G66" s="100" t="n">
        <x:f>ABS(F66)</x:f>
        <x:v>0.008167048470531381</x:v>
      </x:c>
      <x:c r="H66" s="100" t="n">
        <x:f>'Raw T'!N60</x:f>
        <x:v>0.9812339716301101</x:v>
      </x:c>
      <x:c r="I66" t="b">
        <x:f>'Raw T'!O60</x:f>
        <x:v>1</x:v>
      </x:c>
      <x:c r="J66" s="100" t="n">
        <x:f>IF(I66,B66,"")</x:f>
        <x:v>-0.001755968804049431</x:v>
      </x:c>
      <x:c r="K66" s="100" t="n">
        <x:f>IF(I66,E66,"")</x:f>
        <x:v>0.00641107966648195</x:v>
      </x:c>
      <x:c r="L66" s="100" t="n">
        <x:f>IF(I66,G66,"")</x:f>
        <x:v>0.008167048470531381</x:v>
      </x:c>
      <x:c r="M66" s="100" t="n">
        <x:f>IF(I66,F66^2,"")</x:f>
        <x:v>0.00006670068072000897</x:v>
      </x:c>
      <x:c r="N66" s="100" t="n">
        <x:f>IF(I66,F66,"")</x:f>
        <x:v>0.008167048470531381</x:v>
      </x:c>
      <x:c r="P66" t="n">
        <x:f>J66</x:f>
        <x:v>-0.001755968804049431</x:v>
      </x:c>
      <x:c r="Q66" t="n">
        <x:f>K66</x:f>
        <x:v>0.00641107966648195</x:v>
      </x:c>
    </x:row>
    <x:row r="67">
      <x:c r="A67" s="99" t="str">
        <x:f>'Raw T'!B61</x:f>
        <x:v>00099</x:v>
      </x:c>
      <x:c r="B67" s="100" t="n">
        <x:f>INDEX('Raw Stations'!$D$2:$D$299,MATCH(A67,'Raw Stations'!$A$2:$A$299,0))</x:f>
        <x:v>-0.001897182119154382</x:v>
      </x:c>
      <x:c r="C67" s="100" t="n">
        <x:f>'Raw T'!L61</x:f>
        <x:v>-0.009842624519557641</x:v>
      </x:c>
      <x:c r="D67" s="100" t="n">
        <x:f>$B$2</x:f>
        <x:v>-0.01783376051078768</x:v>
      </x:c>
      <x:c r="E67" s="100" t="n">
        <x:f>C67-D67</x:f>
        <x:v>0.007991135991230039</x:v>
      </x:c>
      <x:c r="F67" s="100" t="n">
        <x:f>E67-B67</x:f>
        <x:v>0.00988831811038442</x:v>
      </x:c>
      <x:c r="G67" s="100" t="n">
        <x:f>ABS(F67)</x:f>
        <x:v>0.00988831811038442</x:v>
      </x:c>
      <x:c r="H67" s="100" t="n">
        <x:f>'Raw T'!N61</x:f>
        <x:v>0.9834043984187455</x:v>
      </x:c>
      <x:c r="I67" t="b">
        <x:f>'Raw T'!O61</x:f>
        <x:v>1</x:v>
      </x:c>
      <x:c r="J67" s="100" t="n">
        <x:f>IF(I67,B67,"")</x:f>
        <x:v>-0.001897182119154382</x:v>
      </x:c>
      <x:c r="K67" s="100" t="n">
        <x:f>IF(I67,E67,"")</x:f>
        <x:v>0.007991135991230039</x:v>
      </x:c>
      <x:c r="L67" s="100" t="n">
        <x:f>IF(I67,G67,"")</x:f>
        <x:v>0.00988831811038442</x:v>
      </x:c>
      <x:c r="M67" s="100" t="n">
        <x:f>IF(I67,F67^2,"")</x:f>
        <x:v>0.00009777883505215652</x:v>
      </x:c>
      <x:c r="N67" s="100" t="n">
        <x:f>IF(I67,F67,"")</x:f>
        <x:v>0.00988831811038442</x:v>
      </x:c>
      <x:c r="P67" t="n">
        <x:f>J67</x:f>
        <x:v>-0.001897182119154382</x:v>
      </x:c>
      <x:c r="Q67" t="n">
        <x:f>K67</x:f>
        <x:v>0.007991135991230039</x:v>
      </x:c>
    </x:row>
    <x:row r="68">
      <x:c r="A68" s="99" t="str">
        <x:f>'Raw T'!B62</x:f>
        <x:v>00101</x:v>
      </x:c>
      <x:c r="B68" s="100" t="n">
        <x:f>INDEX('Raw Stations'!$D$2:$D$299,MATCH(A68,'Raw Stations'!$A$2:$A$299,0))</x:f>
        <x:v>0.00816297832850466</x:v>
      </x:c>
      <x:c r="C68" s="100" t="n">
        <x:f>'Raw T'!L62</x:f>
        <x:v>-0.0143473701970328</x:v>
      </x:c>
      <x:c r="D68" s="100" t="n">
        <x:f>$B$2</x:f>
        <x:v>-0.01783376051078768</x:v>
      </x:c>
      <x:c r="E68" s="100" t="n">
        <x:f>C68-D68</x:f>
        <x:v>0.0034863903137548804</x:v>
      </x:c>
      <x:c r="F68" s="100" t="n">
        <x:f>E68-B68</x:f>
        <x:v>-0.00467658801474978</x:v>
      </x:c>
      <x:c r="G68" s="100" t="n">
        <x:f>ABS(F68)</x:f>
        <x:v>0.00467658801474978</x:v>
      </x:c>
      <x:c r="H68" s="100" t="n">
        <x:f>'Raw T'!N62</x:f>
        <x:v>0.9653111071248869</x:v>
      </x:c>
      <x:c r="I68" t="b">
        <x:f>'Raw T'!O62</x:f>
        <x:v>1</x:v>
      </x:c>
      <x:c r="J68" s="100" t="n">
        <x:f>IF(I68,B68,"")</x:f>
        <x:v>0.00816297832850466</x:v>
      </x:c>
      <x:c r="K68" s="100" t="n">
        <x:f>IF(I68,E68,"")</x:f>
        <x:v>0.0034863903137548804</x:v>
      </x:c>
      <x:c r="L68" s="100" t="n">
        <x:f>IF(I68,G68,"")</x:f>
        <x:v>0.00467658801474978</x:v>
      </x:c>
      <x:c r="M68" s="100" t="n">
        <x:f>IF(I68,F68^2,"")</x:f>
        <x:v>0.00002187047545970129</x:v>
      </x:c>
      <x:c r="N68" s="100" t="n">
        <x:f>IF(I68,F68,"")</x:f>
        <x:v>-0.00467658801474978</x:v>
      </x:c>
      <x:c r="P68" t="n">
        <x:f>J68</x:f>
        <x:v>0.00816297832850466</x:v>
      </x:c>
      <x:c r="Q68" t="n">
        <x:f>K68</x:f>
        <x:v>0.0034863903137548804</x:v>
      </x:c>
    </x:row>
    <x:row r="69">
      <x:c r="A69" s="99" t="str">
        <x:f>'Raw T'!B63</x:f>
        <x:v>00102</x:v>
      </x:c>
      <x:c r="B69" s="100" t="n">
        <x:f>INDEX('Raw Stations'!$D$2:$D$299,MATCH(A69,'Raw Stations'!$A$2:$A$299,0))</x:f>
        <x:v>0.006440861143389272</x:v>
      </x:c>
      <x:c r="C69" s="100" t="n">
        <x:f>'Raw T'!L63</x:f>
        <x:v>-0.0240694873821482</x:v>
      </x:c>
      <x:c r="D69" s="100" t="n">
        <x:f>$B$2</x:f>
        <x:v>-0.01783376051078768</x:v>
      </x:c>
      <x:c r="E69" s="100" t="n">
        <x:f>C69-D69</x:f>
        <x:v>-0.006235726871360519</x:v>
      </x:c>
      <x:c r="F69" s="100" t="n">
        <x:f>E69-B69</x:f>
        <x:v>-0.01267658801474979</x:v>
      </x:c>
      <x:c r="G69" s="100" t="n">
        <x:f>ABS(F69)</x:f>
        <x:v>0.01267658801474979</x:v>
      </x:c>
      <x:c r="H69" s="100" t="n">
        <x:f>'Raw T'!N63</x:f>
        <x:v>0.9898588434376203</x:v>
      </x:c>
      <x:c r="I69" t="b">
        <x:f>'Raw T'!O63</x:f>
        <x:v>1</x:v>
      </x:c>
      <x:c r="J69" s="100" t="n">
        <x:f>IF(I69,B69,"")</x:f>
        <x:v>0.006440861143389272</x:v>
      </x:c>
      <x:c r="K69" s="100" t="n">
        <x:f>IF(I69,E69,"")</x:f>
        <x:v>-0.006235726871360519</x:v>
      </x:c>
      <x:c r="L69" s="100" t="n">
        <x:f>IF(I69,G69,"")</x:f>
        <x:v>0.01267658801474979</x:v>
      </x:c>
      <x:c r="M69" s="100" t="n">
        <x:f>IF(I69,F69^2,"")</x:f>
        <x:v>0.00016069588369569803</x:v>
      </x:c>
      <x:c r="N69" s="100" t="n">
        <x:f>IF(I69,F69,"")</x:f>
        <x:v>-0.01267658801474979</x:v>
      </x:c>
      <x:c r="P69" t="n">
        <x:f>J69</x:f>
        <x:v>0.006440861143389272</x:v>
      </x:c>
      <x:c r="Q69" t="n">
        <x:f>K69</x:f>
        <x:v>-0.006235726871360519</x:v>
      </x:c>
    </x:row>
    <x:row r="70">
      <x:c r="A70" s="99" t="str">
        <x:f>'Raw T'!B64</x:f>
        <x:v>00103</x:v>
      </x:c>
      <x:c r="B70" s="100" t="n">
        <x:f>INDEX('Raw Stations'!$D$2:$D$299,MATCH(A70,'Raw Stations'!$A$2:$A$299,0))</x:f>
        <x:v>0.00383762701612823</x:v>
      </x:c>
      <x:c r="C70" s="100" t="n">
        <x:f>'Raw T'!L64</x:f>
        <x:v>-0.0224917335368774</x:v>
      </x:c>
      <x:c r="D70" s="100" t="n">
        <x:f>$B$2</x:f>
        <x:v>-0.01783376051078768</x:v>
      </x:c>
      <x:c r="E70" s="100" t="n">
        <x:f>C70-D70</x:f>
        <x:v>-0.00465797302608972</x:v>
      </x:c>
      <x:c r="F70" s="100" t="n">
        <x:f>E70-B70</x:f>
        <x:v>-0.00849560004221795</x:v>
      </x:c>
      <x:c r="G70" s="100" t="n">
        <x:f>ABS(F70)</x:f>
        <x:v>0.00849560004221795</x:v>
      </x:c>
      <x:c r="H70" s="100" t="n">
        <x:f>'Raw T'!N64</x:f>
        <x:v>0.9569053853913365</x:v>
      </x:c>
      <x:c r="I70" t="b">
        <x:f>'Raw T'!O64</x:f>
        <x:v>1</x:v>
      </x:c>
      <x:c r="J70" s="100" t="n">
        <x:f>IF(I70,B70,"")</x:f>
        <x:v>0.00383762701612823</x:v>
      </x:c>
      <x:c r="K70" s="100" t="n">
        <x:f>IF(I70,E70,"")</x:f>
        <x:v>-0.00465797302608972</x:v>
      </x:c>
      <x:c r="L70" s="100" t="n">
        <x:f>IF(I70,G70,"")</x:f>
        <x:v>0.00849560004221795</x:v>
      </x:c>
      <x:c r="M70" s="100" t="n">
        <x:f>IF(I70,F70^2,"")</x:f>
        <x:v>0.00007217522007733364</x:v>
      </x:c>
      <x:c r="N70" s="100" t="n">
        <x:f>IF(I70,F70,"")</x:f>
        <x:v>-0.00849560004221795</x:v>
      </x:c>
      <x:c r="P70" t="n">
        <x:f>J70</x:f>
        <x:v>0.00383762701612823</x:v>
      </x:c>
      <x:c r="Q70" t="n">
        <x:f>K70</x:f>
        <x:v>-0.00465797302608972</x:v>
      </x:c>
    </x:row>
    <x:row r="71">
      <x:c r="A71" s="99" t="str">
        <x:f>'Raw T'!B65</x:f>
        <x:v>00104</x:v>
      </x:c>
      <x:c r="B71" s="100" t="n">
        <x:f>INDEX('Raw Stations'!$D$2:$D$299,MATCH(A71,'Raw Stations'!$A$2:$A$299,0))</x:f>
        <x:v>0.01838903316099029</x:v>
      </x:c>
      <x:c r="C71" s="100" t="n">
        <x:f>'Raw T'!L65</x:f>
        <x:v>-0.02112961270881976</x:v>
      </x:c>
      <x:c r="D71" s="100" t="n">
        <x:f>$B$2</x:f>
        <x:v>-0.01783376051078768</x:v>
      </x:c>
      <x:c r="E71" s="100" t="n">
        <x:f>C71-D71</x:f>
        <x:v>-0.0032958521980320787</x:v>
      </x:c>
      <x:c r="F71" s="100" t="n">
        <x:f>E71-B71</x:f>
        <x:v>-0.02168488535902237</x:v>
      </x:c>
      <x:c r="G71" s="100" t="n">
        <x:f>ABS(F71)</x:f>
        <x:v>0.02168488535902237</x:v>
      </x:c>
      <x:c r="H71" s="100" t="n">
        <x:f>'Raw T'!N65</x:f>
        <x:v>0.9294001122112355</x:v>
      </x:c>
      <x:c r="I71" t="b">
        <x:f>'Raw T'!O65</x:f>
        <x:v>1</x:v>
      </x:c>
      <x:c r="J71" s="100" t="n">
        <x:f>IF(I71,B71,"")</x:f>
        <x:v>0.01838903316099029</x:v>
      </x:c>
      <x:c r="K71" s="100" t="n">
        <x:f>IF(I71,E71,"")</x:f>
        <x:v>-0.0032958521980320787</x:v>
      </x:c>
      <x:c r="L71" s="100" t="n">
        <x:f>IF(I71,G71,"")</x:f>
        <x:v>0.02168488535902237</x:v>
      </x:c>
      <x:c r="M71" s="100" t="n">
        <x:f>IF(I71,F71^2,"")</x:f>
        <x:v>0.0004702342530339427</x:v>
      </x:c>
      <x:c r="N71" s="100" t="n">
        <x:f>IF(I71,F71,"")</x:f>
        <x:v>-0.02168488535902237</x:v>
      </x:c>
      <x:c r="P71" t="n">
        <x:f>J71</x:f>
        <x:v>0.01838903316099029</x:v>
      </x:c>
      <x:c r="Q71" t="n">
        <x:f>K71</x:f>
        <x:v>-0.0032958521980320787</x:v>
      </x:c>
    </x:row>
    <x:row r="72">
      <x:c r="A72" s="99" t="str">
        <x:f>'Raw T'!B66</x:f>
        <x:v>00105</x:v>
      </x:c>
      <x:c r="B72" s="100" t="n">
        <x:f>INDEX('Raw Stations'!$D$2:$D$299,MATCH(A72,'Raw Stations'!$A$2:$A$299,0))</x:f>
        <x:v>0.02614009220453565</x:v>
      </x:c>
      <x:c r="C72" s="100" t="n">
        <x:f>'Raw T'!L66</x:f>
        <x:v>-0.01462328816825478</x:v>
      </x:c>
      <x:c r="D72" s="100" t="n">
        <x:f>$B$2</x:f>
        <x:v>-0.01783376051078768</x:v>
      </x:c>
      <x:c r="E72" s="100" t="n">
        <x:f>C72-D72</x:f>
        <x:v>0.0032104723425329003</x:v>
      </x:c>
      <x:c r="F72" s="100" t="n">
        <x:f>E72-B72</x:f>
        <x:v>-0.02292961986200275</x:v>
      </x:c>
      <x:c r="G72" s="100" t="n">
        <x:f>ABS(F72)</x:f>
        <x:v>0.02292961986200275</x:v>
      </x:c>
      <x:c r="H72" s="100" t="n">
        <x:f>'Raw T'!N66</x:f>
        <x:v>0.9685755394932651</x:v>
      </x:c>
      <x:c r="I72" t="b">
        <x:f>'Raw T'!O66</x:f>
        <x:v>1</x:v>
      </x:c>
      <x:c r="J72" s="100" t="n">
        <x:f>IF(I72,B72,"")</x:f>
        <x:v>0.02614009220453565</x:v>
      </x:c>
      <x:c r="K72" s="100" t="n">
        <x:f>IF(I72,E72,"")</x:f>
        <x:v>0.0032104723425329003</x:v>
      </x:c>
      <x:c r="L72" s="100" t="n">
        <x:f>IF(I72,G72,"")</x:f>
        <x:v>0.02292961986200275</x:v>
      </x:c>
      <x:c r="M72" s="100" t="n">
        <x:f>IF(I72,F72^2,"")</x:f>
        <x:v>0.000525767467015951</x:v>
      </x:c>
      <x:c r="N72" s="100" t="n">
        <x:f>IF(I72,F72,"")</x:f>
        <x:v>-0.02292961986200275</x:v>
      </x:c>
      <x:c r="P72" t="n">
        <x:f>J72</x:f>
        <x:v>0.02614009220453565</x:v>
      </x:c>
      <x:c r="Q72" t="n">
        <x:f>K72</x:f>
        <x:v>0.0032104723425329003</x:v>
      </x:c>
    </x:row>
    <x:row r="73">
      <x:c r="A73" s="99" t="str">
        <x:f>'Raw T'!B67</x:f>
        <x:v>00106</x:v>
      </x:c>
      <x:c r="B73" s="100" t="n">
        <x:f>INDEX('Raw Stations'!$D$2:$D$299,MATCH(A73,'Raw Stations'!$A$2:$A$299,0))</x:f>
        <x:v>0.03147805817797152</x:v>
      </x:c>
      <x:c r="C73" s="100" t="n">
        <x:f>'Raw T'!L67</x:f>
        <x:v>-0.01279655527761163</x:v>
      </x:c>
      <x:c r="D73" s="100" t="n">
        <x:f>$B$2</x:f>
        <x:v>-0.01783376051078768</x:v>
      </x:c>
      <x:c r="E73" s="100" t="n">
        <x:f>C73-D73</x:f>
        <x:v>0.005037205233176051</x:v>
      </x:c>
      <x:c r="F73" s="100" t="n">
        <x:f>E73-B73</x:f>
        <x:v>-0.026440852944795472</x:v>
      </x:c>
      <x:c r="G73" s="100" t="n">
        <x:f>ABS(F73)</x:f>
        <x:v>0.026440852944795472</x:v>
      </x:c>
      <x:c r="H73" s="100" t="n">
        <x:f>'Raw T'!N67</x:f>
        <x:v>0.9407751919654077</x:v>
      </x:c>
      <x:c r="I73" t="b">
        <x:f>'Raw T'!O67</x:f>
        <x:v>1</x:v>
      </x:c>
      <x:c r="J73" s="100" t="n">
        <x:f>IF(I73,B73,"")</x:f>
        <x:v>0.03147805817797152</x:v>
      </x:c>
      <x:c r="K73" s="100" t="n">
        <x:f>IF(I73,E73,"")</x:f>
        <x:v>0.005037205233176051</x:v>
      </x:c>
      <x:c r="L73" s="100" t="n">
        <x:f>IF(I73,G73,"")</x:f>
        <x:v>0.026440852944795472</x:v>
      </x:c>
      <x:c r="M73" s="100" t="n">
        <x:f>IF(I73,F73^2,"")</x:f>
        <x:v>0.0006991187044482994</x:v>
      </x:c>
      <x:c r="N73" s="100" t="n">
        <x:f>IF(I73,F73,"")</x:f>
        <x:v>-0.026440852944795472</x:v>
      </x:c>
      <x:c r="P73" t="n">
        <x:f>J73</x:f>
        <x:v>0.03147805817797152</x:v>
      </x:c>
      <x:c r="Q73" t="n">
        <x:f>K73</x:f>
        <x:v>0.005037205233176051</x:v>
      </x:c>
    </x:row>
    <x:row r="74">
      <x:c r="A74" s="99" t="str">
        <x:f>'Raw T'!B68</x:f>
        <x:v>00108</x:v>
      </x:c>
      <x:c r="B74" s="100" t="n">
        <x:f>INDEX('Raw Stations'!$D$2:$D$299,MATCH(A74,'Raw Stations'!$A$2:$A$299,0))</x:f>
        <x:v>0.009928117065160676</x:v>
      </x:c>
      <x:c r="C74" s="100" t="n">
        <x:f>'Raw T'!L68</x:f>
        <x:v>-0.04553740953323029</x:v>
      </x:c>
      <x:c r="D74" s="100" t="n">
        <x:f>$B$2</x:f>
        <x:v>-0.01783376051078768</x:v>
      </x:c>
      <x:c r="E74" s="100" t="n">
        <x:f>C74-D74</x:f>
        <x:v>-0.027703649022442607</x:v>
      </x:c>
      <x:c r="F74" s="100" t="n">
        <x:f>E74-B74</x:f>
        <x:v>-0.03763176608760328</x:v>
      </x:c>
      <x:c r="G74" s="100" t="n">
        <x:f>ABS(F74)</x:f>
        <x:v>0.03763176608760328</x:v>
      </x:c>
      <x:c r="H74" s="100" t="n">
        <x:f>'Raw T'!N68</x:f>
        <x:v>0.9662617855523447</x:v>
      </x:c>
      <x:c r="I74" t="b">
        <x:f>'Raw T'!O68</x:f>
        <x:v>1</x:v>
      </x:c>
      <x:c r="J74" s="100" t="n">
        <x:f>IF(I74,B74,"")</x:f>
        <x:v>0.009928117065160676</x:v>
      </x:c>
      <x:c r="K74" s="100" t="n">
        <x:f>IF(I74,E74,"")</x:f>
        <x:v>-0.027703649022442607</x:v>
      </x:c>
      <x:c r="L74" s="100" t="n">
        <x:f>IF(I74,G74,"")</x:f>
        <x:v>0.03763176608760328</x:v>
      </x:c>
      <x:c r="M74" s="100" t="n">
        <x:f>IF(I74,F74^2,"")</x:f>
        <x:v>0.0014161498188720884</x:v>
      </x:c>
      <x:c r="N74" s="100" t="n">
        <x:f>IF(I74,F74,"")</x:f>
        <x:v>-0.03763176608760328</x:v>
      </x:c>
      <x:c r="P74" t="n">
        <x:f>J74</x:f>
        <x:v>0.009928117065160676</x:v>
      </x:c>
      <x:c r="Q74" t="n">
        <x:f>K74</x:f>
        <x:v>-0.027703649022442607</x:v>
      </x:c>
    </x:row>
    <x:row r="75">
      <x:c r="A75" s="99" t="str">
        <x:f>'Raw T'!B69</x:f>
        <x:v>00109</x:v>
      </x:c>
      <x:c r="B75" s="100" t="n">
        <x:f>INDEX('Raw Stations'!$D$2:$D$299,MATCH(A75,'Raw Stations'!$A$2:$A$299,0))</x:f>
        <x:v>0.00789210134272918</x:v>
      </x:c>
      <x:c r="C75" s="100" t="n">
        <x:f>'Raw T'!L69</x:f>
        <x:v>-0.04838251211285398</x:v>
      </x:c>
      <x:c r="D75" s="100" t="n">
        <x:f>$B$2</x:f>
        <x:v>-0.01783376051078768</x:v>
      </x:c>
      <x:c r="E75" s="100" t="n">
        <x:f>C75-D75</x:f>
        <x:v>-0.0305487516020663</x:v>
      </x:c>
      <x:c r="F75" s="100" t="n">
        <x:f>E75-B75</x:f>
        <x:v>-0.038440852944795476</x:v>
      </x:c>
      <x:c r="G75" s="100" t="n">
        <x:f>ABS(F75)</x:f>
        <x:v>0.038440852944795476</x:v>
      </x:c>
      <x:c r="H75" s="100" t="n">
        <x:f>'Raw T'!N69</x:f>
        <x:v>0.995808154925355</x:v>
      </x:c>
      <x:c r="I75" t="b">
        <x:f>'Raw T'!O69</x:f>
        <x:v>1</x:v>
      </x:c>
      <x:c r="J75" s="100" t="n">
        <x:f>IF(I75,B75,"")</x:f>
        <x:v>0.00789210134272918</x:v>
      </x:c>
      <x:c r="K75" s="100" t="n">
        <x:f>IF(I75,E75,"")</x:f>
        <x:v>-0.0305487516020663</x:v>
      </x:c>
      <x:c r="L75" s="100" t="n">
        <x:f>IF(I75,G75,"")</x:f>
        <x:v>0.038440852944795476</x:v>
      </x:c>
      <x:c r="M75" s="100" t="n">
        <x:f>IF(I75,F75^2,"")</x:f>
        <x:v>0.001477699175123391</x:v>
      </x:c>
      <x:c r="N75" s="100" t="n">
        <x:f>IF(I75,F75,"")</x:f>
        <x:v>-0.038440852944795476</x:v>
      </x:c>
      <x:c r="P75" t="n">
        <x:f>J75</x:f>
        <x:v>0.00789210134272918</x:v>
      </x:c>
      <x:c r="Q75" t="n">
        <x:f>K75</x:f>
        <x:v>-0.0305487516020663</x:v>
      </x:c>
    </x:row>
    <x:row r="76">
      <x:c r="A76" s="99" t="str">
        <x:f>'Raw T'!B70</x:f>
        <x:v>00110</x:v>
      </x:c>
      <x:c r="B76" s="100" t="n">
        <x:f>INDEX('Raw Stations'!$D$2:$D$299,MATCH(A76,'Raw Stations'!$A$2:$A$299,0))</x:f>
        <x:v>-0.003302112007536884</x:v>
      </x:c>
      <x:c r="C76" s="100" t="n">
        <x:f>'Raw T'!L70</x:f>
        <x:v>0.04850579801170393</x:v>
      </x:c>
      <x:c r="D76" s="100" t="n">
        <x:f>$B$2</x:f>
        <x:v>-0.01783376051078768</x:v>
      </x:c>
      <x:c r="E76" s="100" t="n">
        <x:f>C76-D76</x:f>
        <x:v>0.06633955852249161</x:v>
      </x:c>
      <x:c r="F76" s="100" t="n">
        <x:f>E76-B76</x:f>
        <x:v>0.0696416705300285</x:v>
      </x:c>
      <x:c r="G76" s="100" t="n">
        <x:f>ABS(F76)</x:f>
        <x:v>0.0696416705300285</x:v>
      </x:c>
      <x:c r="H76" s="100" t="n">
        <x:f>'Raw T'!N70</x:f>
        <x:v>0.6602285764968738</x:v>
      </x:c>
      <x:c r="I76" t="b">
        <x:f>'Raw T'!O70</x:f>
        <x:v>1</x:v>
      </x:c>
      <x:c r="J76" s="100" t="n">
        <x:f>IF(I76,B76,"")</x:f>
        <x:v>-0.003302112007536884</x:v>
      </x:c>
      <x:c r="K76" s="100" t="n">
        <x:f>IF(I76,E76,"")</x:f>
        <x:v>0.06633955852249161</x:v>
      </x:c>
      <x:c r="L76" s="100" t="n">
        <x:f>IF(I76,G76,"")</x:f>
        <x:v>0.0696416705300285</x:v>
      </x:c>
      <x:c r="M76" s="100" t="n">
        <x:f>IF(I76,F76^2,"")</x:f>
        <x:v>0.00484996227421304</x:v>
      </x:c>
      <x:c r="N76" s="100" t="n">
        <x:f>IF(I76,F76,"")</x:f>
        <x:v>0.0696416705300285</x:v>
      </x:c>
      <x:c r="P76" t="n">
        <x:f>J76</x:f>
        <x:v>-0.003302112007536884</x:v>
      </x:c>
      <x:c r="Q76" t="n">
        <x:f>K76</x:f>
        <x:v>0.06633955852249161</x:v>
      </x:c>
    </x:row>
    <x:row r="77">
      <x:c r="A77" s="99" t="str">
        <x:f>'Raw T'!B71</x:f>
        <x:v>00111</x:v>
      </x:c>
      <x:c r="B77" s="100" t="n">
        <x:f>INDEX('Raw Stations'!$D$2:$D$299,MATCH(A77,'Raw Stations'!$A$2:$A$299,0))</x:f>
        <x:v>-0.001515677461293052</x:v>
      </x:c>
      <x:c r="C77" s="100" t="n">
        <x:f>'Raw T'!L71</x:f>
        <x:v>0.04323715440122786</x:v>
      </x:c>
      <x:c r="D77" s="100" t="n">
        <x:f>$B$2</x:f>
        <x:v>-0.01783376051078768</x:v>
      </x:c>
      <x:c r="E77" s="100" t="n">
        <x:f>C77-D77</x:f>
        <x:v>0.06107091491201554</x:v>
      </x:c>
      <x:c r="F77" s="100" t="n">
        <x:f>E77-B77</x:f>
        <x:v>0.06258659237330859</x:v>
      </x:c>
      <x:c r="G77" s="100" t="n">
        <x:f>ABS(F77)</x:f>
        <x:v>0.06258659237330859</x:v>
      </x:c>
      <x:c r="H77" s="100" t="n">
        <x:f>'Raw T'!N71</x:f>
        <x:v>0.7163623477938725</x:v>
      </x:c>
      <x:c r="I77" t="b">
        <x:f>'Raw T'!O71</x:f>
        <x:v>1</x:v>
      </x:c>
      <x:c r="J77" s="100" t="n">
        <x:f>IF(I77,B77,"")</x:f>
        <x:v>-0.001515677461293052</x:v>
      </x:c>
      <x:c r="K77" s="100" t="n">
        <x:f>IF(I77,E77,"")</x:f>
        <x:v>0.06107091491201554</x:v>
      </x:c>
      <x:c r="L77" s="100" t="n">
        <x:f>IF(I77,G77,"")</x:f>
        <x:v>0.06258659237330859</x:v>
      </x:c>
      <x:c r="M77" s="100" t="n">
        <x:f>IF(I77,F77^2,"")</x:f>
        <x:v>0.003917081544902689</x:v>
      </x:c>
      <x:c r="N77" s="100" t="n">
        <x:f>IF(I77,F77,"")</x:f>
        <x:v>0.06258659237330859</x:v>
      </x:c>
      <x:c r="P77" t="n">
        <x:f>J77</x:f>
        <x:v>-0.001515677461293052</x:v>
      </x:c>
      <x:c r="Q77" t="n">
        <x:f>K77</x:f>
        <x:v>0.06107091491201554</x:v>
      </x:c>
    </x:row>
    <x:row r="78">
      <x:c r="A78" s="99" t="str">
        <x:f>'Raw T'!B72</x:f>
        <x:v>00112</x:v>
      </x:c>
      <x:c r="B78" s="100" t="n">
        <x:f>INDEX('Raw Stations'!$D$2:$D$299,MATCH(A78,'Raw Stations'!$A$2:$A$299,0))</x:f>
        <x:v>-0.005290663059683133</x:v>
      </x:c>
      <x:c r="C78" s="100" t="n">
        <x:f>'Raw T'!L72</x:f>
        <x:v>-0.004794971234540646</x:v>
      </x:c>
      <x:c r="D78" s="100" t="n">
        <x:f>$B$2</x:f>
        <x:v>-0.01783376051078768</x:v>
      </x:c>
      <x:c r="E78" s="100" t="n">
        <x:f>C78-D78</x:f>
        <x:v>0.013038789276247034</x:v>
      </x:c>
      <x:c r="F78" s="100" t="n">
        <x:f>E78-B78</x:f>
        <x:v>0.01832945233593017</x:v>
      </x:c>
      <x:c r="G78" s="100" t="n">
        <x:f>ABS(F78)</x:f>
        <x:v>0.01832945233593017</x:v>
      </x:c>
      <x:c r="H78" s="100" t="n">
        <x:f>'Raw T'!N72</x:f>
        <x:v>0.8750561117144718</x:v>
      </x:c>
      <x:c r="I78" t="b">
        <x:f>'Raw T'!O72</x:f>
        <x:v>1</x:v>
      </x:c>
      <x:c r="J78" s="100" t="n">
        <x:f>IF(I78,B78,"")</x:f>
        <x:v>-0.005290663059683133</x:v>
      </x:c>
      <x:c r="K78" s="100" t="n">
        <x:f>IF(I78,E78,"")</x:f>
        <x:v>0.013038789276247034</x:v>
      </x:c>
      <x:c r="L78" s="100" t="n">
        <x:f>IF(I78,G78,"")</x:f>
        <x:v>0.01832945233593017</x:v>
      </x:c>
      <x:c r="M78" s="100" t="n">
        <x:f>IF(I78,F78^2,"")</x:f>
        <x:v>0.0003359688229351359</x:v>
      </x:c>
      <x:c r="N78" s="100" t="n">
        <x:f>IF(I78,F78,"")</x:f>
        <x:v>0.01832945233593017</x:v>
      </x:c>
      <x:c r="P78" t="n">
        <x:f>J78</x:f>
        <x:v>-0.005290663059683133</x:v>
      </x:c>
      <x:c r="Q78" t="n">
        <x:f>K78</x:f>
        <x:v>0.013038789276247034</x:v>
      </x:c>
    </x:row>
    <x:row r="79">
      <x:c r="A79" s="99" t="str">
        <x:f>'Raw T'!B73</x:f>
        <x:v>00113</x:v>
      </x:c>
      <x:c r="B79" s="100" t="n">
        <x:f>INDEX('Raw Stations'!$D$2:$D$299,MATCH(A79,'Raw Stations'!$A$2:$A$299,0))</x:f>
        <x:v>-0.009539030286302791</x:v>
      </x:c>
      <x:c r="C79" s="100" t="n">
        <x:f>'Raw T'!L73</x:f>
        <x:v>-0.002181504117399924</x:v>
      </x:c>
      <x:c r="D79" s="100" t="n">
        <x:f>$B$2</x:f>
        <x:v>-0.01783376051078768</x:v>
      </x:c>
      <x:c r="E79" s="100" t="n">
        <x:f>C79-D79</x:f>
        <x:v>0.015652256393387756</x:v>
      </x:c>
      <x:c r="F79" s="100" t="n">
        <x:f>E79-B79</x:f>
        <x:v>0.025191286679690547</x:v>
      </x:c>
      <x:c r="G79" s="100" t="n">
        <x:f>ABS(F79)</x:f>
        <x:v>0.025191286679690547</x:v>
      </x:c>
      <x:c r="H79" s="100" t="n">
        <x:f>'Raw T'!N73</x:f>
        <x:v>0.9746330586400506</x:v>
      </x:c>
      <x:c r="I79" t="b">
        <x:f>'Raw T'!O73</x:f>
        <x:v>1</x:v>
      </x:c>
      <x:c r="J79" s="100" t="n">
        <x:f>IF(I79,B79,"")</x:f>
        <x:v>-0.009539030286302791</x:v>
      </x:c>
      <x:c r="K79" s="100" t="n">
        <x:f>IF(I79,E79,"")</x:f>
        <x:v>0.015652256393387756</x:v>
      </x:c>
      <x:c r="L79" s="100" t="n">
        <x:f>IF(I79,G79,"")</x:f>
        <x:v>0.025191286679690547</x:v>
      </x:c>
      <x:c r="M79" s="100" t="n">
        <x:f>IF(I79,F79^2,"")</x:f>
        <x:v>0.0006346009245783543</x:v>
      </x:c>
      <x:c r="N79" s="100" t="n">
        <x:f>IF(I79,F79,"")</x:f>
        <x:v>0.025191286679690547</x:v>
      </x:c>
      <x:c r="P79" t="n">
        <x:f>J79</x:f>
        <x:v>-0.009539030286302791</x:v>
      </x:c>
      <x:c r="Q79" t="n">
        <x:f>K79</x:f>
        <x:v>0.015652256393387756</x:v>
      </x:c>
    </x:row>
    <x:row r="80">
      <x:c r="A80" s="99" t="str">
        <x:f>'Raw T'!B74</x:f>
        <x:v>00114</x:v>
      </x:c>
      <x:c r="B80" s="100" t="n">
        <x:f>INDEX('Raw Stations'!$D$2:$D$299,MATCH(A80,'Raw Stations'!$A$2:$A$299,0))</x:f>
        <x:v>-0.002736037088127169</x:v>
      </x:c>
      <x:c r="C80" s="100" t="n">
        <x:f>'Raw T'!L74</x:f>
        <x:v>-0.005487433566778846</x:v>
      </x:c>
      <x:c r="D80" s="100" t="n">
        <x:f>$B$2</x:f>
        <x:v>-0.01783376051078768</x:v>
      </x:c>
      <x:c r="E80" s="100" t="n">
        <x:f>C80-D80</x:f>
        <x:v>0.012346326944008834</x:v>
      </x:c>
      <x:c r="F80" s="100" t="n">
        <x:f>E80-B80</x:f>
        <x:v>0.015082364032136003</x:v>
      </x:c>
      <x:c r="G80" s="100" t="n">
        <x:f>ABS(F80)</x:f>
        <x:v>0.015082364032136003</x:v>
      </x:c>
      <x:c r="H80" s="100" t="n">
        <x:f>'Raw T'!N74</x:f>
        <x:v>0.9919396274626987</x:v>
      </x:c>
      <x:c r="I80" t="b">
        <x:f>'Raw T'!O74</x:f>
        <x:v>1</x:v>
      </x:c>
      <x:c r="J80" s="100" t="n">
        <x:f>IF(I80,B80,"")</x:f>
        <x:v>-0.002736037088127169</x:v>
      </x:c>
      <x:c r="K80" s="100" t="n">
        <x:f>IF(I80,E80,"")</x:f>
        <x:v>0.012346326944008834</x:v>
      </x:c>
      <x:c r="L80" s="100" t="n">
        <x:f>IF(I80,G80,"")</x:f>
        <x:v>0.015082364032136003</x:v>
      </x:c>
      <x:c r="M80" s="100" t="n">
        <x:f>IF(I80,F80^2,"")</x:f>
        <x:v>0.0002274777047978698</x:v>
      </x:c>
      <x:c r="N80" s="100" t="n">
        <x:f>IF(I80,F80,"")</x:f>
        <x:v>0.015082364032136003</x:v>
      </x:c>
      <x:c r="P80" t="n">
        <x:f>J80</x:f>
        <x:v>-0.002736037088127169</x:v>
      </x:c>
      <x:c r="Q80" t="n">
        <x:f>K80</x:f>
        <x:v>0.012346326944008834</x:v>
      </x:c>
    </x:row>
    <x:row r="81">
      <x:c r="A81" s="99" t="str">
        <x:f>'Raw T'!B75</x:f>
        <x:v>00115</x:v>
      </x:c>
      <x:c r="B81" s="100" t="n">
        <x:f>INDEX('Raw Stations'!$D$2:$D$299,MATCH(A81,'Raw Stations'!$A$2:$A$299,0))</x:f>
        <x:v>-0.002094424782700586</x:v>
      </x:c>
      <x:c r="C81" s="100" t="n">
        <x:f>'Raw T'!L75</x:f>
        <x:v>-0.009609419622609208</x:v>
      </x:c>
      <x:c r="D81" s="100" t="n">
        <x:f>$B$2</x:f>
        <x:v>-0.01783376051078768</x:v>
      </x:c>
      <x:c r="E81" s="100" t="n">
        <x:f>C81-D81</x:f>
        <x:v>0.008224340888178472</x:v>
      </x:c>
      <x:c r="F81" s="100" t="n">
        <x:f>E81-B81</x:f>
        <x:v>0.010318765670879058</x:v>
      </x:c>
      <x:c r="G81" s="100" t="n">
        <x:f>ABS(F81)</x:f>
        <x:v>0.010318765670879058</x:v>
      </x:c>
      <x:c r="H81" s="100" t="n">
        <x:f>'Raw T'!N75</x:f>
        <x:v>0.9898277901432085</x:v>
      </x:c>
      <x:c r="I81" t="b">
        <x:f>'Raw T'!O75</x:f>
        <x:v>1</x:v>
      </x:c>
      <x:c r="J81" s="100" t="n">
        <x:f>IF(I81,B81,"")</x:f>
        <x:v>-0.002094424782700586</x:v>
      </x:c>
      <x:c r="K81" s="100" t="n">
        <x:f>IF(I81,E81,"")</x:f>
        <x:v>0.008224340888178472</x:v>
      </x:c>
      <x:c r="L81" s="100" t="n">
        <x:f>IF(I81,G81,"")</x:f>
        <x:v>0.010318765670879058</x:v>
      </x:c>
      <x:c r="M81" s="100" t="n">
        <x:f>IF(I81,F81^2,"")</x:f>
        <x:v>0.00010647692497051213</x:v>
      </x:c>
      <x:c r="N81" s="100" t="n">
        <x:f>IF(I81,F81,"")</x:f>
        <x:v>0.010318765670879058</x:v>
      </x:c>
      <x:c r="P81" t="n">
        <x:f>J81</x:f>
        <x:v>-0.002094424782700586</x:v>
      </x:c>
      <x:c r="Q81" t="n">
        <x:f>K81</x:f>
        <x:v>0.008224340888178472</x:v>
      </x:c>
    </x:row>
    <x:row r="82">
      <x:c r="A82" s="99" t="str">
        <x:f>'Raw T'!B76</x:f>
        <x:v>00116</x:v>
      </x:c>
      <x:c r="B82" s="100" t="n">
        <x:f>INDEX('Raw Stations'!$D$2:$D$299,MATCH(A82,'Raw Stations'!$A$2:$A$299,0))</x:f>
        <x:v>0.00008376431429451409</x:v>
      </x:c>
      <x:c r="C82" s="100" t="n">
        <x:f>'Raw T'!L76</x:f>
        <x:v>-0.009065999237200098</x:v>
      </x:c>
      <x:c r="D82" s="100" t="n">
        <x:f>$B$2</x:f>
        <x:v>-0.01783376051078768</x:v>
      </x:c>
      <x:c r="E82" s="100" t="n">
        <x:f>C82-D82</x:f>
        <x:v>0.008767761273587582</x:v>
      </x:c>
      <x:c r="F82" s="100" t="n">
        <x:f>E82-B82</x:f>
        <x:v>0.008683996959293068</x:v>
      </x:c>
      <x:c r="G82" s="100" t="n">
        <x:f>ABS(F82)</x:f>
        <x:v>0.008683996959293068</x:v>
      </x:c>
      <x:c r="H82" s="100" t="n">
        <x:f>'Raw T'!N76</x:f>
        <x:v>0.9768426991143774</x:v>
      </x:c>
      <x:c r="I82" t="b">
        <x:f>'Raw T'!O76</x:f>
        <x:v>1</x:v>
      </x:c>
      <x:c r="J82" s="100" t="n">
        <x:f>IF(I82,B82,"")</x:f>
        <x:v>0.00008376431429451409</x:v>
      </x:c>
      <x:c r="K82" s="100" t="n">
        <x:f>IF(I82,E82,"")</x:f>
        <x:v>0.008767761273587582</x:v>
      </x:c>
      <x:c r="L82" s="100" t="n">
        <x:f>IF(I82,G82,"")</x:f>
        <x:v>0.008683996959293068</x:v>
      </x:c>
      <x:c r="M82" s="100" t="n">
        <x:f>IF(I82,F82^2,"")</x:f>
        <x:v>0.00007541180318901125</x:v>
      </x:c>
      <x:c r="N82" s="100" t="n">
        <x:f>IF(I82,F82,"")</x:f>
        <x:v>0.008683996959293068</x:v>
      </x:c>
      <x:c r="P82" t="n">
        <x:f>J82</x:f>
        <x:v>0.00008376431429451409</x:v>
      </x:c>
      <x:c r="Q82" t="n">
        <x:f>K82</x:f>
        <x:v>0.008767761273587582</x:v>
      </x:c>
    </x:row>
    <x:row r="83">
      <x:c r="A83" s="99" t="str">
        <x:f>'Raw T'!B77</x:f>
        <x:v>00117</x:v>
      </x:c>
      <x:c r="B83" s="100" t="n">
        <x:f>INDEX('Raw Stations'!$D$2:$D$299,MATCH(A83,'Raw Stations'!$A$2:$A$299,0))</x:f>
        <x:v>0.007654400323961891</x:v>
      </x:c>
      <x:c r="C83" s="100" t="n">
        <x:f>'Raw T'!L77</x:f>
        <x:v>-0.015733563121496</x:v>
      </x:c>
      <x:c r="D83" s="100" t="n">
        <x:f>$B$2</x:f>
        <x:v>-0.01783376051078768</x:v>
      </x:c>
      <x:c r="E83" s="100" t="n">
        <x:f>C83-D83</x:f>
        <x:v>0.0021001973892916803</x:v>
      </x:c>
      <x:c r="F83" s="100" t="n">
        <x:f>E83-B83</x:f>
        <x:v>-0.00555420293467021</x:v>
      </x:c>
      <x:c r="G83" s="100" t="n">
        <x:f>ABS(F83)</x:f>
        <x:v>0.00555420293467021</x:v>
      </x:c>
      <x:c r="H83" s="100" t="n">
        <x:f>'Raw T'!N77</x:f>
        <x:v>0.9840005939065597</x:v>
      </x:c>
      <x:c r="I83" t="b">
        <x:f>'Raw T'!O77</x:f>
        <x:v>1</x:v>
      </x:c>
      <x:c r="J83" s="100" t="n">
        <x:f>IF(I83,B83,"")</x:f>
        <x:v>0.007654400323961891</x:v>
      </x:c>
      <x:c r="K83" s="100" t="n">
        <x:f>IF(I83,E83,"")</x:f>
        <x:v>0.0021001973892916803</x:v>
      </x:c>
      <x:c r="L83" s="100" t="n">
        <x:f>IF(I83,G83,"")</x:f>
        <x:v>0.00555420293467021</x:v>
      </x:c>
      <x:c r="M83" s="100" t="n">
        <x:f>IF(I83,F83^2,"")</x:f>
        <x:v>0.000030849170239499176</x:v>
      </x:c>
      <x:c r="N83" s="100" t="n">
        <x:f>IF(I83,F83,"")</x:f>
        <x:v>-0.00555420293467021</x:v>
      </x:c>
      <x:c r="P83" t="n">
        <x:f>J83</x:f>
        <x:v>0.007654400323961891</x:v>
      </x:c>
      <x:c r="Q83" t="n">
        <x:f>K83</x:f>
        <x:v>0.0021001973892916803</x:v>
      </x:c>
    </x:row>
    <x:row r="84">
      <x:c r="A84" s="99" t="str">
        <x:f>'Raw T'!B78</x:f>
        <x:v>00118</x:v>
      </x:c>
      <x:c r="B84" s="100" t="n">
        <x:f>INDEX('Raw Stations'!$D$2:$D$299,MATCH(A84,'Raw Stations'!$A$2:$A$299,0))</x:f>
        <x:v>0.01005063021135003</x:v>
      </x:c>
      <x:c r="C84" s="100" t="n">
        <x:f>'Raw T'!L78</x:f>
        <x:v>-0.01459184361974711</x:v>
      </x:c>
      <x:c r="D84" s="100" t="n">
        <x:f>$B$2</x:f>
        <x:v>-0.01783376051078768</x:v>
      </x:c>
      <x:c r="E84" s="100" t="n">
        <x:f>C84-D84</x:f>
        <x:v>0.0032419168910405704</x:v>
      </x:c>
      <x:c r="F84" s="100" t="n">
        <x:f>E84-B84</x:f>
        <x:v>-0.0068087133203094605</x:v>
      </x:c>
      <x:c r="G84" s="100" t="n">
        <x:f>ABS(F84)</x:f>
        <x:v>0.0068087133203094605</x:v>
      </x:c>
      <x:c r="H84" s="100" t="n">
        <x:f>'Raw T'!N78</x:f>
        <x:v>0.9192704414385284</x:v>
      </x:c>
      <x:c r="I84" t="b">
        <x:f>'Raw T'!O78</x:f>
        <x:v>1</x:v>
      </x:c>
      <x:c r="J84" s="100" t="n">
        <x:f>IF(I84,B84,"")</x:f>
        <x:v>0.01005063021135003</x:v>
      </x:c>
      <x:c r="K84" s="100" t="n">
        <x:f>IF(I84,E84,"")</x:f>
        <x:v>0.0032419168910405704</x:v>
      </x:c>
      <x:c r="L84" s="100" t="n">
        <x:f>IF(I84,G84,"")</x:f>
        <x:v>0.0068087133203094605</x:v>
      </x:c>
      <x:c r="M84" s="100" t="n">
        <x:f>IF(I84,F84^2,"")</x:f>
        <x:v>0.000046358577078159475</x:v>
      </x:c>
      <x:c r="N84" s="100" t="n">
        <x:f>IF(I84,F84,"")</x:f>
        <x:v>-0.0068087133203094605</x:v>
      </x:c>
      <x:c r="P84" t="n">
        <x:f>J84</x:f>
        <x:v>0.01005063021135003</x:v>
      </x:c>
      <x:c r="Q84" t="n">
        <x:f>K84</x:f>
        <x:v>0.0032419168910405704</x:v>
      </x:c>
    </x:row>
    <x:row r="85">
      <x:c r="A85" s="99" t="str">
        <x:f>'Raw T'!B79</x:f>
        <x:v>00119</x:v>
      </x:c>
      <x:c r="B85" s="100" t="n">
        <x:f>INDEX('Raw Stations'!$D$2:$D$299,MATCH(A85,'Raw Stations'!$A$2:$A$299,0))</x:f>
        <x:v>0.00549873025298241</x:v>
      </x:c>
      <x:c r="C85" s="100" t="n">
        <x:f>'Raw T'!L79</x:f>
        <x:v>-0.02416798178727389</x:v>
      </x:c>
      <x:c r="D85" s="100" t="n">
        <x:f>$B$2</x:f>
        <x:v>-0.01783376051078768</x:v>
      </x:c>
      <x:c r="E85" s="100" t="n">
        <x:f>C85-D85</x:f>
        <x:v>-0.00633422127648621</x:v>
      </x:c>
      <x:c r="F85" s="100" t="n">
        <x:f>E85-B85</x:f>
        <x:v>-0.01183295152946862</x:v>
      </x:c>
      <x:c r="G85" s="100" t="n">
        <x:f>ABS(F85)</x:f>
        <x:v>0.01183295152946862</x:v>
      </x:c>
      <x:c r="H85" s="100" t="n">
        <x:f>'Raw T'!N79</x:f>
        <x:v>0.9321206157357077</x:v>
      </x:c>
      <x:c r="I85" t="b">
        <x:f>'Raw T'!O79</x:f>
        <x:v>1</x:v>
      </x:c>
      <x:c r="J85" s="100" t="n">
        <x:f>IF(I85,B85,"")</x:f>
        <x:v>0.00549873025298241</x:v>
      </x:c>
      <x:c r="K85" s="100" t="n">
        <x:f>IF(I85,E85,"")</x:f>
        <x:v>-0.00633422127648621</x:v>
      </x:c>
      <x:c r="L85" s="100" t="n">
        <x:f>IF(I85,G85,"")</x:f>
        <x:v>0.01183295152946862</x:v>
      </x:c>
      <x:c r="M85" s="100" t="n">
        <x:f>IF(I85,F85^2,"")</x:f>
        <x:v>0.00014001874189875375</x:v>
      </x:c>
      <x:c r="N85" s="100" t="n">
        <x:f>IF(I85,F85,"")</x:f>
        <x:v>-0.01183295152946862</x:v>
      </x:c>
      <x:c r="P85" t="n">
        <x:f>J85</x:f>
        <x:v>0.00549873025298241</x:v>
      </x:c>
      <x:c r="Q85" t="n">
        <x:f>K85</x:f>
        <x:v>-0.00633422127648621</x:v>
      </x:c>
    </x:row>
    <x:row r="86">
      <x:c r="A86" s="99" t="str">
        <x:f>'Raw T'!B80</x:f>
        <x:v>00120</x:v>
      </x:c>
      <x:c r="B86" s="100" t="n">
        <x:f>INDEX('Raw Stations'!$D$2:$D$299,MATCH(A86,'Raw Stations'!$A$2:$A$299,0))</x:f>
        <x:v>0.009665517223232622</x:v>
      </x:c>
      <x:c r="C86" s="100" t="n">
        <x:f>'Raw T'!L80</x:f>
        <x:v>-0.01785312864657744</x:v>
      </x:c>
      <x:c r="D86" s="100" t="n">
        <x:f>$B$2</x:f>
        <x:v>-0.01783376051078768</x:v>
      </x:c>
      <x:c r="E86" s="100" t="n">
        <x:f>C86-D86</x:f>
        <x:v>-0.000019368135789760155</x:v>
      </x:c>
      <x:c r="F86" s="100" t="n">
        <x:f>E86-B86</x:f>
        <x:v>-0.009684885359022382</x:v>
      </x:c>
      <x:c r="G86" s="100" t="n">
        <x:f>ABS(F86)</x:f>
        <x:v>0.009684885359022382</x:v>
      </x:c>
      <x:c r="H86" s="100" t="n">
        <x:f>'Raw T'!N80</x:f>
        <x:v>0.9597531792441456</x:v>
      </x:c>
      <x:c r="I86" t="b">
        <x:f>'Raw T'!O80</x:f>
        <x:v>1</x:v>
      </x:c>
      <x:c r="J86" s="100" t="n">
        <x:f>IF(I86,B86,"")</x:f>
        <x:v>0.009665517223232622</x:v>
      </x:c>
      <x:c r="K86" s="100" t="n">
        <x:f>IF(I86,E86,"")</x:f>
        <x:v>-0.000019368135789760155</x:v>
      </x:c>
      <x:c r="L86" s="100" t="n">
        <x:f>IF(I86,G86,"")</x:f>
        <x:v>0.009684885359022382</x:v>
      </x:c>
      <x:c r="M86" s="100" t="n">
        <x:f>IF(I86,F86^2,"")</x:f>
        <x:v>0.0000937970044174061</x:v>
      </x:c>
      <x:c r="N86" s="100" t="n">
        <x:f>IF(I86,F86,"")</x:f>
        <x:v>-0.009684885359022382</x:v>
      </x:c>
      <x:c r="P86" t="n">
        <x:f>J86</x:f>
        <x:v>0.009665517223232622</x:v>
      </x:c>
      <x:c r="Q86" t="n">
        <x:f>K86</x:f>
        <x:v>-0.000019368135789760155</x:v>
      </x:c>
    </x:row>
    <x:row r="87">
      <x:c r="A87" s="99" t="str">
        <x:f>'Raw T'!B81</x:f>
        <x:v>00121</x:v>
      </x:c>
      <x:c r="B87" s="100" t="n">
        <x:f>INDEX('Raw Stations'!$D$2:$D$299,MATCH(A87,'Raw Stations'!$A$2:$A$299,0))</x:f>
        <x:v>0.0245258249930322</x:v>
      </x:c>
      <x:c r="C87" s="100" t="n">
        <x:f>'Raw T'!L81</x:f>
        <x:v>-0.01380353555997343</x:v>
      </x:c>
      <x:c r="D87" s="100" t="n">
        <x:f>$B$2</x:f>
        <x:v>-0.01783376051078768</x:v>
      </x:c>
      <x:c r="E87" s="100" t="n">
        <x:f>C87-D87</x:f>
        <x:v>0.004030224950814251</x:v>
      </x:c>
      <x:c r="F87" s="100" t="n">
        <x:f>E87-B87</x:f>
        <x:v>-0.020495600042217947</x:v>
      </x:c>
      <x:c r="G87" s="100" t="n">
        <x:f>ABS(F87)</x:f>
        <x:v>0.020495600042217947</x:v>
      </x:c>
      <x:c r="H87" s="100" t="n">
        <x:f>'Raw T'!N81</x:f>
        <x:v>0.9899843899649023</x:v>
      </x:c>
      <x:c r="I87" t="b">
        <x:f>'Raw T'!O81</x:f>
        <x:v>1</x:v>
      </x:c>
      <x:c r="J87" s="100" t="n">
        <x:f>IF(I87,B87,"")</x:f>
        <x:v>0.0245258249930322</x:v>
      </x:c>
      <x:c r="K87" s="100" t="n">
        <x:f>IF(I87,E87,"")</x:f>
        <x:v>0.004030224950814251</x:v>
      </x:c>
      <x:c r="L87" s="100" t="n">
        <x:f>IF(I87,G87,"")</x:f>
        <x:v>0.020495600042217947</x:v>
      </x:c>
      <x:c r="M87" s="100" t="n">
        <x:f>IF(I87,F87^2,"")</x:f>
        <x:v>0.0004200696210905643</x:v>
      </x:c>
      <x:c r="N87" s="100" t="n">
        <x:f>IF(I87,F87,"")</x:f>
        <x:v>-0.020495600042217947</x:v>
      </x:c>
      <x:c r="P87" t="n">
        <x:f>J87</x:f>
        <x:v>0.0245258249930322</x:v>
      </x:c>
      <x:c r="Q87" t="n">
        <x:f>K87</x:f>
        <x:v>0.004030224950814251</x:v>
      </x:c>
    </x:row>
    <x:row r="88">
      <x:c r="A88" s="99" t="str">
        <x:f>'Raw T'!B82</x:f>
        <x:v>00122</x:v>
      </x:c>
      <x:c r="B88" s="100" t="n">
        <x:f>INDEX('Raw Stations'!$D$2:$D$299,MATCH(A88,'Raw Stations'!$A$2:$A$299,0))</x:f>
        <x:v>0.02265165976256095</x:v>
      </x:c>
      <x:c r="C88" s="100" t="n">
        <x:f>'Raw T'!L82</x:f>
        <x:v>-0.01985868876297653</x:v>
      </x:c>
      <x:c r="D88" s="100" t="n">
        <x:f>$B$2</x:f>
        <x:v>-0.01783376051078768</x:v>
      </x:c>
      <x:c r="E88" s="100" t="n">
        <x:f>C88-D88</x:f>
        <x:v>-0.0020249282521888484</x:v>
      </x:c>
      <x:c r="F88" s="100" t="n">
        <x:f>E88-B88</x:f>
        <x:v>-0.024676588014749798</x:v>
      </x:c>
      <x:c r="G88" s="100" t="n">
        <x:f>ABS(F88)</x:f>
        <x:v>0.024676588014749798</x:v>
      </x:c>
      <x:c r="H88" s="100" t="n">
        <x:f>'Raw T'!N82</x:f>
        <x:v>0.990180671977322</x:v>
      </x:c>
      <x:c r="I88" t="b">
        <x:f>'Raw T'!O82</x:f>
        <x:v>1</x:v>
      </x:c>
      <x:c r="J88" s="100" t="n">
        <x:f>IF(I88,B88,"")</x:f>
        <x:v>0.02265165976256095</x:v>
      </x:c>
      <x:c r="K88" s="100" t="n">
        <x:f>IF(I88,E88,"")</x:f>
        <x:v>-0.0020249282521888484</x:v>
      </x:c>
      <x:c r="L88" s="100" t="n">
        <x:f>IF(I88,G88,"")</x:f>
        <x:v>0.024676588014749798</x:v>
      </x:c>
      <x:c r="M88" s="100" t="n">
        <x:f>IF(I88,F88^2,"")</x:f>
        <x:v>0.0006089339960496933</x:v>
      </x:c>
      <x:c r="N88" s="100" t="n">
        <x:f>IF(I88,F88,"")</x:f>
        <x:v>-0.024676588014749798</x:v>
      </x:c>
      <x:c r="P88" t="n">
        <x:f>J88</x:f>
        <x:v>0.02265165976256095</x:v>
      </x:c>
      <x:c r="Q88" t="n">
        <x:f>K88</x:f>
        <x:v>-0.0020249282521888484</x:v>
      </x:c>
    </x:row>
    <x:row r="89">
      <x:c r="A89" s="99" t="str">
        <x:f>'Raw T'!B83</x:f>
        <x:v>00123</x:v>
      </x:c>
      <x:c r="B89" s="100" t="n">
        <x:f>INDEX('Raw Stations'!$D$2:$D$299,MATCH(A89,'Raw Stations'!$A$2:$A$299,0))</x:f>
        <x:v>0.01763085976760898</x:v>
      </x:c>
      <x:c r="C89" s="100" t="n">
        <x:f>'Raw T'!L83</x:f>
        <x:v>-0.03554149931475198</x:v>
      </x:c>
      <x:c r="D89" s="100" t="n">
        <x:f>$B$2</x:f>
        <x:v>-0.01783376051078768</x:v>
      </x:c>
      <x:c r="E89" s="100" t="n">
        <x:f>C89-D89</x:f>
        <x:v>-0.0177077388039643</x:v>
      </x:c>
      <x:c r="F89" s="100" t="n">
        <x:f>E89-B89</x:f>
        <x:v>-0.035338598571573274</x:v>
      </x:c>
      <x:c r="G89" s="100" t="n">
        <x:f>ABS(F89)</x:f>
        <x:v>0.035338598571573274</x:v>
      </x:c>
      <x:c r="H89" s="100" t="n">
        <x:f>'Raw T'!N83</x:f>
        <x:v>0.9727903990991538</x:v>
      </x:c>
      <x:c r="I89" t="b">
        <x:f>'Raw T'!O83</x:f>
        <x:v>1</x:v>
      </x:c>
      <x:c r="J89" s="100" t="n">
        <x:f>IF(I89,B89,"")</x:f>
        <x:v>0.01763085976760898</x:v>
      </x:c>
      <x:c r="K89" s="100" t="n">
        <x:f>IF(I89,E89,"")</x:f>
        <x:v>-0.0177077388039643</x:v>
      </x:c>
      <x:c r="L89" s="100" t="n">
        <x:f>IF(I89,G89,"")</x:f>
        <x:v>0.035338598571573274</x:v>
      </x:c>
      <x:c r="M89" s="100" t="n">
        <x:f>IF(I89,F89^2,"")</x:f>
        <x:v>0.0012488165490028007</x:v>
      </x:c>
      <x:c r="N89" s="100" t="n">
        <x:f>IF(I89,F89,"")</x:f>
        <x:v>-0.035338598571573274</x:v>
      </x:c>
      <x:c r="P89" t="n">
        <x:f>J89</x:f>
        <x:v>0.01763085976760898</x:v>
      </x:c>
      <x:c r="Q89" t="n">
        <x:f>K89</x:f>
        <x:v>-0.0177077388039643</x:v>
      </x:c>
    </x:row>
    <x:row r="90">
      <x:c r="A90" s="99" t="str">
        <x:f>'Raw T'!B84</x:f>
        <x:v>00124</x:v>
      </x:c>
      <x:c r="B90" s="100" t="n">
        <x:f>INDEX('Raw Stations'!$D$2:$D$299,MATCH(A90,'Raw Stations'!$A$2:$A$299,0))</x:f>
        <x:v>0.008342815360708862</x:v>
      </x:c>
      <x:c r="C90" s="100" t="n">
        <x:f>'Raw T'!L84</x:f>
        <x:v>-0.04148072054833957</x:v>
      </x:c>
      <x:c r="D90" s="100" t="n">
        <x:f>$B$2</x:f>
        <x:v>-0.01783376051078768</x:v>
      </x:c>
      <x:c r="E90" s="100" t="n">
        <x:f>C90-D90</x:f>
        <x:v>-0.023646960037551887</x:v>
      </x:c>
      <x:c r="F90" s="100" t="n">
        <x:f>E90-B90</x:f>
        <x:v>-0.03198977539826075</x:v>
      </x:c>
      <x:c r="G90" s="100" t="n">
        <x:f>ABS(F90)</x:f>
        <x:v>0.03198977539826075</x:v>
      </x:c>
      <x:c r="H90" s="100" t="n">
        <x:f>'Raw T'!N84</x:f>
        <x:v>0.9673000246636937</x:v>
      </x:c>
      <x:c r="I90" t="b">
        <x:f>'Raw T'!O84</x:f>
        <x:v>1</x:v>
      </x:c>
      <x:c r="J90" s="100" t="n">
        <x:f>IF(I90,B90,"")</x:f>
        <x:v>0.008342815360708862</x:v>
      </x:c>
      <x:c r="K90" s="100" t="n">
        <x:f>IF(I90,E90,"")</x:f>
        <x:v>-0.023646960037551887</x:v>
      </x:c>
      <x:c r="L90" s="100" t="n">
        <x:f>IF(I90,G90,"")</x:f>
        <x:v>0.03198977539826075</x:v>
      </x:c>
      <x:c r="M90" s="100" t="n">
        <x:f>IF(I90,F90^2,"")</x:f>
        <x:v>0.0010233457300311687</x:v>
      </x:c>
      <x:c r="N90" s="100" t="n">
        <x:f>IF(I90,F90,"")</x:f>
        <x:v>-0.03198977539826075</x:v>
      </x:c>
      <x:c r="P90" t="n">
        <x:f>J90</x:f>
        <x:v>0.008342815360708862</x:v>
      </x:c>
      <x:c r="Q90" t="n">
        <x:f>K90</x:f>
        <x:v>-0.023646960037551887</x:v>
      </x:c>
    </x:row>
    <x:row r="91">
      <x:c r="A91" s="99" t="str">
        <x:f>'Raw T'!B85</x:f>
        <x:v>00125</x:v>
      </x:c>
      <x:c r="B91" s="100" t="n">
        <x:f>INDEX('Raw Stations'!$D$2:$D$299,MATCH(A91,'Raw Stations'!$A$2:$A$299,0))</x:f>
        <x:v>0.003545034627183582</x:v>
      </x:c>
      <x:c r="C91" s="100" t="n">
        <x:f>'Raw T'!L85</x:f>
        <x:v>-0.03974903533870395</x:v>
      </x:c>
      <x:c r="D91" s="100" t="n">
        <x:f>$B$2</x:f>
        <x:v>-0.01783376051078768</x:v>
      </x:c>
      <x:c r="E91" s="100" t="n">
        <x:f>C91-D91</x:f>
        <x:v>-0.02191527482791627</x:v>
      </x:c>
      <x:c r="F91" s="100" t="n">
        <x:f>E91-B91</x:f>
        <x:v>-0.02546030945509985</x:v>
      </x:c>
      <x:c r="G91" s="100" t="n">
        <x:f>ABS(F91)</x:f>
        <x:v>0.02546030945509985</x:v>
      </x:c>
      <x:c r="H91" s="100" t="n">
        <x:f>'Raw T'!N85</x:f>
        <x:v>0.9808172413093987</x:v>
      </x:c>
      <x:c r="I91" t="b">
        <x:f>'Raw T'!O85</x:f>
        <x:v>1</x:v>
      </x:c>
      <x:c r="J91" s="100" t="n">
        <x:f>IF(I91,B91,"")</x:f>
        <x:v>0.003545034627183582</x:v>
      </x:c>
      <x:c r="K91" s="100" t="n">
        <x:f>IF(I91,E91,"")</x:f>
        <x:v>-0.02191527482791627</x:v>
      </x:c>
      <x:c r="L91" s="100" t="n">
        <x:f>IF(I91,G91,"")</x:f>
        <x:v>0.02546030945509985</x:v>
      </x:c>
      <x:c r="M91" s="100" t="n">
        <x:f>IF(I91,F91^2,"")</x:f>
        <x:v>0.0006482273575494469</x:v>
      </x:c>
      <x:c r="N91" s="100" t="n">
        <x:f>IF(I91,F91,"")</x:f>
        <x:v>-0.02546030945509985</x:v>
      </x:c>
      <x:c r="P91" t="n">
        <x:f>J91</x:f>
        <x:v>0.003545034627183582</x:v>
      </x:c>
      <x:c r="Q91" t="n">
        <x:f>K91</x:f>
        <x:v>-0.02191527482791627</x:v>
      </x:c>
    </x:row>
    <x:row r="92">
      <x:c r="A92" s="99" t="str">
        <x:f>'Raw T'!B86</x:f>
        <x:v>00126</x:v>
      </x:c>
      <x:c r="B92" s="100" t="n">
        <x:f>INDEX('Raw Stations'!$D$2:$D$299,MATCH(A92,'Raw Stations'!$A$2:$A$299,0))</x:f>
        <x:v>-0.01191670881522732</x:v>
      </x:c>
      <x:c r="C92" s="100" t="n">
        <x:f>'Raw T'!L86</x:f>
        <x:v>0.04310051115532428</x:v>
      </x:c>
      <x:c r="D92" s="100" t="n">
        <x:f>$B$2</x:f>
        <x:v>-0.01783376051078768</x:v>
      </x:c>
      <x:c r="E92" s="100" t="n">
        <x:f>C92-D92</x:f>
        <x:v>0.06093427166611196</x:v>
      </x:c>
      <x:c r="F92" s="100" t="n">
        <x:f>E92-B92</x:f>
        <x:v>0.07285098048133928</x:v>
      </x:c>
      <x:c r="G92" s="100" t="n">
        <x:f>ABS(F92)</x:f>
        <x:v>0.07285098048133928</x:v>
      </x:c>
      <x:c r="H92" s="100" t="n">
        <x:f>'Raw T'!N86</x:f>
        <x:v>0.8270116677722629</x:v>
      </x:c>
      <x:c r="I92" t="b">
        <x:f>'Raw T'!O86</x:f>
        <x:v>1</x:v>
      </x:c>
      <x:c r="J92" s="100" t="n">
        <x:f>IF(I92,B92,"")</x:f>
        <x:v>-0.01191670881522732</x:v>
      </x:c>
      <x:c r="K92" s="100" t="n">
        <x:f>IF(I92,E92,"")</x:f>
        <x:v>0.06093427166611196</x:v>
      </x:c>
      <x:c r="L92" s="100" t="n">
        <x:f>IF(I92,G92,"")</x:f>
        <x:v>0.07285098048133928</x:v>
      </x:c>
      <x:c r="M92" s="100" t="n">
        <x:f>IF(I92,F92^2,"")</x:f>
        <x:v>0.005307265357092477</x:v>
      </x:c>
      <x:c r="N92" s="100" t="n">
        <x:f>IF(I92,F92,"")</x:f>
        <x:v>0.07285098048133928</x:v>
      </x:c>
      <x:c r="P92" t="n">
        <x:f>J92</x:f>
        <x:v>-0.01191670881522732</x:v>
      </x:c>
      <x:c r="Q92" t="n">
        <x:f>K92</x:f>
        <x:v>0.06093427166611196</x:v>
      </x:c>
    </x:row>
    <x:row r="93">
      <x:c r="A93" s="99" t="str">
        <x:f>'Raw T'!B87</x:f>
        <x:v>00127</x:v>
      </x:c>
      <x:c r="B93" s="100" t="n">
        <x:f>INDEX('Raw Stations'!$D$2:$D$299,MATCH(A93,'Raw Stations'!$A$2:$A$299,0))</x:f>
        <x:v>-0.005123859288306817</x:v>
      </x:c>
      <x:c r="C93" s="100" t="n">
        <x:f>'Raw T'!L87</x:f>
        <x:v>0.03541061411330222</x:v>
      </x:c>
      <x:c r="D93" s="100" t="n">
        <x:f>$B$2</x:f>
        <x:v>-0.01783376051078768</x:v>
      </x:c>
      <x:c r="E93" s="100" t="n">
        <x:f>C93-D93</x:f>
        <x:v>0.0532443746240899</x:v>
      </x:c>
      <x:c r="F93" s="100" t="n">
        <x:f>E93-B93</x:f>
        <x:v>0.05836823391239672</x:v>
      </x:c>
      <x:c r="G93" s="100" t="n">
        <x:f>ABS(F93)</x:f>
        <x:v>0.05836823391239672</x:v>
      </x:c>
      <x:c r="H93" s="100" t="n">
        <x:f>'Raw T'!N87</x:f>
        <x:v>0.783788926894926</x:v>
      </x:c>
      <x:c r="I93" t="b">
        <x:f>'Raw T'!O87</x:f>
        <x:v>1</x:v>
      </x:c>
      <x:c r="J93" s="100" t="n">
        <x:f>IF(I93,B93,"")</x:f>
        <x:v>-0.005123859288306817</x:v>
      </x:c>
      <x:c r="K93" s="100" t="n">
        <x:f>IF(I93,E93,"")</x:f>
        <x:v>0.0532443746240899</x:v>
      </x:c>
      <x:c r="L93" s="100" t="n">
        <x:f>IF(I93,G93,"")</x:f>
        <x:v>0.05836823391239672</x:v>
      </x:c>
      <x:c r="M93" s="100" t="n">
        <x:f>IF(I93,F93^2,"")</x:f>
        <x:v>0.0034068507300522586</x:v>
      </x:c>
      <x:c r="N93" s="100" t="n">
        <x:f>IF(I93,F93,"")</x:f>
        <x:v>0.05836823391239672</x:v>
      </x:c>
      <x:c r="P93" t="n">
        <x:f>J93</x:f>
        <x:v>-0.005123859288306817</x:v>
      </x:c>
      <x:c r="Q93" t="n">
        <x:f>K93</x:f>
        <x:v>0.0532443746240899</x:v>
      </x:c>
    </x:row>
    <x:row r="94">
      <x:c r="A94" s="99" t="str">
        <x:f>'Raw T'!B88</x:f>
        <x:v>00128</x:v>
      </x:c>
      <x:c r="B94" s="100" t="n">
        <x:f>INDEX('Raw Stations'!$D$2:$D$299,MATCH(A94,'Raw Stations'!$A$2:$A$299,0))</x:f>
        <x:v>-0.003454528970802853</x:v>
      </x:c>
      <x:c r="C94" s="100" t="n">
        <x:f>'Raw T'!L88</x:f>
        <x:v>0.002964385113671239</x:v>
      </x:c>
      <x:c r="D94" s="100" t="n">
        <x:f>$B$2</x:f>
        <x:v>-0.01783376051078768</x:v>
      </x:c>
      <x:c r="E94" s="100" t="n">
        <x:f>C94-D94</x:f>
        <x:v>0.02079814562445892</x:v>
      </x:c>
      <x:c r="F94" s="100" t="n">
        <x:f>E94-B94</x:f>
        <x:v>0.024252674595261772</x:v>
      </x:c>
      <x:c r="G94" s="100" t="n">
        <x:f>ABS(F94)</x:f>
        <x:v>0.024252674595261772</x:v>
      </x:c>
      <x:c r="H94" s="100" t="n">
        <x:f>'Raw T'!N88</x:f>
        <x:v>0.9039601703506162</x:v>
      </x:c>
      <x:c r="I94" t="b">
        <x:f>'Raw T'!O88</x:f>
        <x:v>1</x:v>
      </x:c>
      <x:c r="J94" s="100" t="n">
        <x:f>IF(I94,B94,"")</x:f>
        <x:v>-0.003454528970802853</x:v>
      </x:c>
      <x:c r="K94" s="100" t="n">
        <x:f>IF(I94,E94,"")</x:f>
        <x:v>0.02079814562445892</x:v>
      </x:c>
      <x:c r="L94" s="100" t="n">
        <x:f>IF(I94,G94,"")</x:f>
        <x:v>0.024252674595261772</x:v>
      </x:c>
      <x:c r="M94" s="100" t="n">
        <x:f>IF(I94,F94^2,"")</x:f>
        <x:v>0.0005881922250236558</x:v>
      </x:c>
      <x:c r="N94" s="100" t="n">
        <x:f>IF(I94,F94,"")</x:f>
        <x:v>0.024252674595261772</x:v>
      </x:c>
      <x:c r="P94" t="n">
        <x:f>J94</x:f>
        <x:v>-0.003454528970802853</x:v>
      </x:c>
      <x:c r="Q94" t="n">
        <x:f>K94</x:f>
        <x:v>0.02079814562445892</x:v>
      </x:c>
    </x:row>
    <x:row r="95">
      <x:c r="A95" s="99" t="str">
        <x:f>'Raw T'!B89</x:f>
        <x:v>00129</x:v>
      </x:c>
      <x:c r="B95" s="100" t="n">
        <x:f>INDEX('Raw Stations'!$D$2:$D$299,MATCH(A95,'Raw Stations'!$A$2:$A$299,0))</x:f>
        <x:v>-0.0090830722292536</x:v>
      </x:c>
      <x:c r="C95" s="100" t="n">
        <x:f>'Raw T'!L89</x:f>
        <x:v>-0.005541615872593733</x:v>
      </x:c>
      <x:c r="D95" s="100" t="n">
        <x:f>$B$2</x:f>
        <x:v>-0.01783376051078768</x:v>
      </x:c>
      <x:c r="E95" s="100" t="n">
        <x:f>C95-D95</x:f>
        <x:v>0.012292144638193947</x:v>
      </x:c>
      <x:c r="F95" s="100" t="n">
        <x:f>E95-B95</x:f>
        <x:v>0.021375216867447547</x:v>
      </x:c>
      <x:c r="G95" s="100" t="n">
        <x:f>ABS(F95)</x:f>
        <x:v>0.021375216867447547</x:v>
      </x:c>
      <x:c r="H95" s="100" t="n">
        <x:f>'Raw T'!N89</x:f>
        <x:v>0.9969090869982853</x:v>
      </x:c>
      <x:c r="I95" t="b">
        <x:f>'Raw T'!O89</x:f>
        <x:v>1</x:v>
      </x:c>
      <x:c r="J95" s="100" t="n">
        <x:f>IF(I95,B95,"")</x:f>
        <x:v>-0.0090830722292536</x:v>
      </x:c>
      <x:c r="K95" s="100" t="n">
        <x:f>IF(I95,E95,"")</x:f>
        <x:v>0.012292144638193947</x:v>
      </x:c>
      <x:c r="L95" s="100" t="n">
        <x:f>IF(I95,G95,"")</x:f>
        <x:v>0.021375216867447547</x:v>
      </x:c>
      <x:c r="M95" s="100" t="n">
        <x:f>IF(I95,F95^2,"")</x:f>
        <x:v>0.0004568998961304141</x:v>
      </x:c>
      <x:c r="N95" s="100" t="n">
        <x:f>IF(I95,F95,"")</x:f>
        <x:v>0.021375216867447547</x:v>
      </x:c>
      <x:c r="P95" t="n">
        <x:f>J95</x:f>
        <x:v>-0.0090830722292536</x:v>
      </x:c>
      <x:c r="Q95" t="n">
        <x:f>K95</x:f>
        <x:v>0.012292144638193947</x:v>
      </x:c>
    </x:row>
    <x:row r="96">
      <x:c r="A96" s="99" t="str">
        <x:f>'Raw T'!B90</x:f>
        <x:v>00130</x:v>
      </x:c>
      <x:c r="B96" s="100" t="n">
        <x:f>INDEX('Raw Stations'!$D$2:$D$299,MATCH(A96,'Raw Stations'!$A$2:$A$299,0))</x:f>
        <x:v>0.001677001059362093</x:v>
      </x:c>
      <x:c r="C96" s="100" t="n">
        <x:f>'Raw T'!L90</x:f>
        <x:v>-0.0008333474661753881</x:v>
      </x:c>
      <x:c r="D96" s="100" t="n">
        <x:f>$B$2</x:f>
        <x:v>-0.01783376051078768</x:v>
      </x:c>
      <x:c r="E96" s="100" t="n">
        <x:f>C96-D96</x:f>
        <x:v>0.017000413044612292</x:v>
      </x:c>
      <x:c r="F96" s="100" t="n">
        <x:f>E96-B96</x:f>
        <x:v>0.0153234119852502</x:v>
      </x:c>
      <x:c r="G96" s="100" t="n">
        <x:f>ABS(F96)</x:f>
        <x:v>0.0153234119852502</x:v>
      </x:c>
      <x:c r="H96" s="100" t="n">
        <x:f>'Raw T'!N90</x:f>
        <x:v>0.9856707013259814</x:v>
      </x:c>
      <x:c r="I96" t="b">
        <x:f>'Raw T'!O90</x:f>
        <x:v>1</x:v>
      </x:c>
      <x:c r="J96" s="100" t="n">
        <x:f>IF(I96,B96,"")</x:f>
        <x:v>0.001677001059362093</x:v>
      </x:c>
      <x:c r="K96" s="100" t="n">
        <x:f>IF(I96,E96,"")</x:f>
        <x:v>0.017000413044612292</x:v>
      </x:c>
      <x:c r="L96" s="100" t="n">
        <x:f>IF(I96,G96,"")</x:f>
        <x:v>0.0153234119852502</x:v>
      </x:c>
      <x:c r="M96" s="100" t="n">
        <x:f>IF(I96,F96^2,"")</x:f>
        <x:v>0.00023480695486970945</x:v>
      </x:c>
      <x:c r="N96" s="100" t="n">
        <x:f>IF(I96,F96,"")</x:f>
        <x:v>0.0153234119852502</x:v>
      </x:c>
      <x:c r="P96" t="n">
        <x:f>J96</x:f>
        <x:v>0.001677001059362093</x:v>
      </x:c>
      <x:c r="Q96" t="n">
        <x:f>K96</x:f>
        <x:v>0.017000413044612292</x:v>
      </x:c>
    </x:row>
    <x:row r="97">
      <x:c r="A97" s="99" t="str">
        <x:f>'Raw T'!B91</x:f>
        <x:v>00131</x:v>
      </x:c>
      <x:c r="B97" s="100" t="n">
        <x:f>INDEX('Raw Stations'!$D$2:$D$299,MATCH(A97,'Raw Stations'!$A$2:$A$299,0))</x:f>
        <x:v>-0.01277863472198023</x:v>
      </x:c>
      <x:c r="C97" s="100" t="n">
        <x:f>'Raw T'!L91</x:f>
        <x:v>-0.01272407712238346</x:v>
      </x:c>
      <x:c r="D97" s="100" t="n">
        <x:f>$B$2</x:f>
        <x:v>-0.01783376051078768</x:v>
      </x:c>
      <x:c r="E97" s="100" t="n">
        <x:f>C97-D97</x:f>
        <x:v>0.0051096833884042205</x:v>
      </x:c>
      <x:c r="F97" s="100" t="n">
        <x:f>E97-B97</x:f>
        <x:v>0.017888318110384452</x:v>
      </x:c>
      <x:c r="G97" s="100" t="n">
        <x:f>ABS(F97)</x:f>
        <x:v>0.017888318110384452</x:v>
      </x:c>
      <x:c r="H97" s="100" t="n">
        <x:f>'Raw T'!N91</x:f>
        <x:v>0.9865023903214352</x:v>
      </x:c>
      <x:c r="I97" t="b">
        <x:f>'Raw T'!O91</x:f>
        <x:v>1</x:v>
      </x:c>
      <x:c r="J97" s="100" t="n">
        <x:f>IF(I97,B97,"")</x:f>
        <x:v>-0.01277863472198023</x:v>
      </x:c>
      <x:c r="K97" s="100" t="n">
        <x:f>IF(I97,E97,"")</x:f>
        <x:v>0.0051096833884042205</x:v>
      </x:c>
      <x:c r="L97" s="100" t="n">
        <x:f>IF(I97,G97,"")</x:f>
        <x:v>0.017888318110384452</x:v>
      </x:c>
      <x:c r="M97" s="100" t="n">
        <x:f>IF(I97,F97^2,"")</x:f>
        <x:v>0.00031999192481830835</x:v>
      </x:c>
      <x:c r="N97" s="100" t="n">
        <x:f>IF(I97,F97,"")</x:f>
        <x:v>0.017888318110384452</x:v>
      </x:c>
      <x:c r="P97" t="n">
        <x:f>J97</x:f>
        <x:v>-0.01277863472198023</x:v>
      </x:c>
      <x:c r="Q97" t="n">
        <x:f>K97</x:f>
        <x:v>0.0051096833884042205</x:v>
      </x:c>
    </x:row>
    <x:row r="98">
      <x:c r="A98" s="99" t="str">
        <x:f>'Raw T'!B92</x:f>
        <x:v>00132</x:v>
      </x:c>
      <x:c r="B98" s="100" t="n">
        <x:f>INDEX('Raw Stations'!$D$2:$D$299,MATCH(A98,'Raw Stations'!$A$2:$A$299,0))</x:f>
        <x:v>0.00000237585917226002</x:v>
      </x:c>
      <x:c r="C98" s="100" t="n">
        <x:f>'Raw T'!L92</x:f>
        <x:v>-0.0138378728012131</x:v>
      </x:c>
      <x:c r="D98" s="100" t="n">
        <x:f>$B$2</x:f>
        <x:v>-0.01783376051078768</x:v>
      </x:c>
      <x:c r="E98" s="100" t="n">
        <x:f>C98-D98</x:f>
        <x:v>0.00399588770957458</x:v>
      </x:c>
      <x:c r="F98" s="100" t="n">
        <x:f>E98-B98</x:f>
        <x:v>0.00399351185040232</x:v>
      </x:c>
      <x:c r="G98" s="100" t="n">
        <x:f>ABS(F98)</x:f>
        <x:v>0.00399351185040232</x:v>
      </x:c>
      <x:c r="H98" s="100" t="n">
        <x:f>'Raw T'!N92</x:f>
        <x:v>0.9785891926799473</x:v>
      </x:c>
      <x:c r="I98" t="b">
        <x:f>'Raw T'!O92</x:f>
        <x:v>1</x:v>
      </x:c>
      <x:c r="J98" s="100" t="n">
        <x:f>IF(I98,B98,"")</x:f>
        <x:v>0.00000237585917226002</x:v>
      </x:c>
      <x:c r="K98" s="100" t="n">
        <x:f>IF(I98,E98,"")</x:f>
        <x:v>0.00399588770957458</x:v>
      </x:c>
      <x:c r="L98" s="100" t="n">
        <x:f>IF(I98,G98,"")</x:f>
        <x:v>0.00399351185040232</x:v>
      </x:c>
      <x:c r="M98" s="100" t="n">
        <x:f>IF(I98,F98^2,"")</x:f>
        <x:v>0.00001594813689930376</x:v>
      </x:c>
      <x:c r="N98" s="100" t="n">
        <x:f>IF(I98,F98,"")</x:f>
        <x:v>0.00399351185040232</x:v>
      </x:c>
      <x:c r="P98" t="n">
        <x:f>J98</x:f>
        <x:v>0.00000237585917226002</x:v>
      </x:c>
      <x:c r="Q98" t="n">
        <x:f>K98</x:f>
        <x:v>0.00399588770957458</x:v>
      </x:c>
    </x:row>
    <x:row r="99">
      <x:c r="A99" s="99" t="str">
        <x:f>'Raw T'!B93</x:f>
        <x:v>00133</x:v>
      </x:c>
      <x:c r="B99" s="100" t="n">
        <x:f>INDEX('Raw Stations'!$D$2:$D$299,MATCH(A99,'Raw Stations'!$A$2:$A$299,0))</x:f>
        <x:v>0.003180636074596069</x:v>
      </x:c>
      <x:c r="C99" s="100" t="n">
        <x:f>'Raw T'!L93</x:f>
        <x:v>-0.02076480632580717</x:v>
      </x:c>
      <x:c r="D99" s="100" t="n">
        <x:f>$B$2</x:f>
        <x:v>-0.01783376051078768</x:v>
      </x:c>
      <x:c r="E99" s="100" t="n">
        <x:f>C99-D99</x:f>
        <x:v>-0.0029310458150194896</x:v>
      </x:c>
      <x:c r="F99" s="100" t="n">
        <x:f>E99-B99</x:f>
        <x:v>-0.006111681889615559</x:v>
      </x:c>
      <x:c r="G99" s="100" t="n">
        <x:f>ABS(F99)</x:f>
        <x:v>0.006111681889615559</x:v>
      </x:c>
      <x:c r="H99" s="100" t="n">
        <x:f>'Raw T'!N93</x:f>
        <x:v>0.9693758980305756</x:v>
      </x:c>
      <x:c r="I99" t="b">
        <x:f>'Raw T'!O93</x:f>
        <x:v>1</x:v>
      </x:c>
      <x:c r="J99" s="100" t="n">
        <x:f>IF(I99,B99,"")</x:f>
        <x:v>0.003180636074596069</x:v>
      </x:c>
      <x:c r="K99" s="100" t="n">
        <x:f>IF(I99,E99,"")</x:f>
        <x:v>-0.0029310458150194896</x:v>
      </x:c>
      <x:c r="L99" s="100" t="n">
        <x:f>IF(I99,G99,"")</x:f>
        <x:v>0.006111681889615559</x:v>
      </x:c>
      <x:c r="M99" s="100" t="n">
        <x:f>IF(I99,F99^2,"")</x:f>
        <x:v>0.00003735265551985481</x:v>
      </x:c>
      <x:c r="N99" s="100" t="n">
        <x:f>IF(I99,F99,"")</x:f>
        <x:v>-0.006111681889615559</x:v>
      </x:c>
      <x:c r="P99" t="n">
        <x:f>J99</x:f>
        <x:v>0.003180636074596069</x:v>
      </x:c>
      <x:c r="Q99" t="n">
        <x:f>K99</x:f>
        <x:v>-0.0029310458150194896</x:v>
      </x:c>
    </x:row>
    <x:row r="100">
      <x:c r="A100" s="99" t="str">
        <x:f>'Raw T'!B94</x:f>
        <x:v>00134</x:v>
      </x:c>
      <x:c r="B100" s="100" t="n">
        <x:f>INDEX('Raw Stations'!$D$2:$D$299,MATCH(A100,'Raw Stations'!$A$2:$A$299,0))</x:f>
        <x:v>0.00977127780644159</x:v>
      </x:c>
      <x:c r="C100" s="100" t="n">
        <x:f>'Raw T'!L94</x:f>
        <x:v>-0.01468726583689854</x:v>
      </x:c>
      <x:c r="D100" s="100" t="n">
        <x:f>$B$2</x:f>
        <x:v>-0.01783376051078768</x:v>
      </x:c>
      <x:c r="E100" s="100" t="n">
        <x:f>C100-D100</x:f>
        <x:v>0.0031464946738891404</x:v>
      </x:c>
      <x:c r="F100" s="100" t="n">
        <x:f>E100-B100</x:f>
        <x:v>-0.00662478313255245</x:v>
      </x:c>
      <x:c r="G100" s="100" t="n">
        <x:f>ABS(F100)</x:f>
        <x:v>0.00662478313255245</x:v>
      </x:c>
      <x:c r="H100" s="100" t="n">
        <x:f>'Raw T'!N94</x:f>
        <x:v>0.9571234329416284</x:v>
      </x:c>
      <x:c r="I100" t="b">
        <x:f>'Raw T'!O94</x:f>
        <x:v>1</x:v>
      </x:c>
      <x:c r="J100" s="100" t="n">
        <x:f>IF(I100,B100,"")</x:f>
        <x:v>0.00977127780644159</x:v>
      </x:c>
      <x:c r="K100" s="100" t="n">
        <x:f>IF(I100,E100,"")</x:f>
        <x:v>0.0031464946738891404</x:v>
      </x:c>
      <x:c r="L100" s="100" t="n">
        <x:f>IF(I100,G100,"")</x:f>
        <x:v>0.00662478313255245</x:v>
      </x:c>
      <x:c r="M100" s="100" t="n">
        <x:f>IF(I100,F100^2,"")</x:f>
        <x:v>0.000043887751553351455</x:v>
      </x:c>
      <x:c r="N100" s="100" t="n">
        <x:f>IF(I100,F100,"")</x:f>
        <x:v>-0.00662478313255245</x:v>
      </x:c>
      <x:c r="P100" t="n">
        <x:f>J100</x:f>
        <x:v>0.00977127780644159</x:v>
      </x:c>
      <x:c r="Q100" t="n">
        <x:f>K100</x:f>
        <x:v>0.0031464946738891404</x:v>
      </x:c>
    </x:row>
    <x:row r="101">
      <x:c r="A101" s="99" t="str">
        <x:f>'Raw T'!B95</x:f>
        <x:v>00135</x:v>
      </x:c>
      <x:c r="B101" s="100" t="n">
        <x:f>INDEX('Raw Stations'!$D$2:$D$299,MATCH(A101,'Raw Stations'!$A$2:$A$299,0))</x:f>
        <x:v>0.01389111542165143</x:v>
      </x:c>
      <x:c r="C101" s="100" t="n">
        <x:f>'Raw T'!L95</x:f>
        <x:v>-0.01405432697875181</x:v>
      </x:c>
      <x:c r="D101" s="100" t="n">
        <x:f>$B$2</x:f>
        <x:v>-0.01783376051078768</x:v>
      </x:c>
      <x:c r="E101" s="100" t="n">
        <x:f>C101-D101</x:f>
        <x:v>0.0037794335320358707</x:v>
      </x:c>
      <x:c r="F101" s="100" t="n">
        <x:f>E101-B101</x:f>
        <x:v>-0.01011168188961556</x:v>
      </x:c>
      <x:c r="G101" s="100" t="n">
        <x:f>ABS(F101)</x:f>
        <x:v>0.01011168188961556</x:v>
      </x:c>
      <x:c r="H101" s="100" t="n">
        <x:f>'Raw T'!N95</x:f>
        <x:v>0.9342419184178065</x:v>
      </x:c>
      <x:c r="I101" t="b">
        <x:f>'Raw T'!O95</x:f>
        <x:v>1</x:v>
      </x:c>
      <x:c r="J101" s="100" t="n">
        <x:f>IF(I101,B101,"")</x:f>
        <x:v>0.01389111542165143</x:v>
      </x:c>
      <x:c r="K101" s="100" t="n">
        <x:f>IF(I101,E101,"")</x:f>
        <x:v>0.0037794335320358707</x:v>
      </x:c>
      <x:c r="L101" s="100" t="n">
        <x:f>IF(I101,G101,"")</x:f>
        <x:v>0.01011168188961556</x:v>
      </x:c>
      <x:c r="M101" s="100" t="n">
        <x:f>IF(I101,F101^2,"")</x:f>
        <x:v>0.00010224611063677929</x:v>
      </x:c>
      <x:c r="N101" s="100" t="n">
        <x:f>IF(I101,F101,"")</x:f>
        <x:v>-0.01011168188961556</x:v>
      </x:c>
      <x:c r="P101" t="n">
        <x:f>J101</x:f>
        <x:v>0.01389111542165143</x:v>
      </x:c>
      <x:c r="Q101" t="n">
        <x:f>K101</x:f>
        <x:v>0.0037794335320358707</x:v>
      </x:c>
    </x:row>
    <x:row r="102">
      <x:c r="A102" s="99" t="str">
        <x:f>'Raw T'!B96</x:f>
        <x:v>00136</x:v>
      </x:c>
      <x:c r="B102" s="100" t="n">
        <x:f>INDEX('Raw Stations'!$D$2:$D$299,MATCH(A102,'Raw Stations'!$A$2:$A$299,0))</x:f>
        <x:v>0.00946584466341623</x:v>
      </x:c>
      <x:c r="C102" s="100" t="n">
        <x:f>'Raw T'!L96</x:f>
        <x:v>-0.02528555181523545</x:v>
      </x:c>
      <x:c r="D102" s="100" t="n">
        <x:f>$B$2</x:f>
        <x:v>-0.01783376051078768</x:v>
      </x:c>
      <x:c r="E102" s="100" t="n">
        <x:f>C102-D102</x:f>
        <x:v>-0.007451791304447768</x:v>
      </x:c>
      <x:c r="F102" s="100" t="n">
        <x:f>E102-B102</x:f>
        <x:v>-0.016917635967863998</x:v>
      </x:c>
      <x:c r="G102" s="100" t="n">
        <x:f>ABS(F102)</x:f>
        <x:v>0.016917635967863998</x:v>
      </x:c>
      <x:c r="H102" s="100" t="n">
        <x:f>'Raw T'!N96</x:f>
        <x:v>0.9576551410141538</x:v>
      </x:c>
      <x:c r="I102" t="b">
        <x:f>'Raw T'!O96</x:f>
        <x:v>1</x:v>
      </x:c>
      <x:c r="J102" s="100" t="n">
        <x:f>IF(I102,B102,"")</x:f>
        <x:v>0.00946584466341623</x:v>
      </x:c>
      <x:c r="K102" s="100" t="n">
        <x:f>IF(I102,E102,"")</x:f>
        <x:v>-0.007451791304447768</x:v>
      </x:c>
      <x:c r="L102" s="100" t="n">
        <x:f>IF(I102,G102,"")</x:f>
        <x:v>0.016917635967863998</x:v>
      </x:c>
      <x:c r="M102" s="100" t="n">
        <x:f>IF(I102,F102^2,"")</x:f>
        <x:v>0.0002862064067411656</x:v>
      </x:c>
      <x:c r="N102" s="100" t="n">
        <x:f>IF(I102,F102,"")</x:f>
        <x:v>-0.016917635967863998</x:v>
      </x:c>
      <x:c r="P102" t="n">
        <x:f>J102</x:f>
        <x:v>0.00946584466341623</x:v>
      </x:c>
      <x:c r="Q102" t="n">
        <x:f>K102</x:f>
        <x:v>-0.007451791304447768</x:v>
      </x:c>
    </x:row>
    <x:row r="103">
      <x:c r="A103" s="99" t="str">
        <x:f>'Raw T'!B97</x:f>
        <x:v>00137</x:v>
      </x:c>
      <x:c r="B103" s="100" t="n">
        <x:f>INDEX('Raw Stations'!$D$2:$D$299,MATCH(A103,'Raw Stations'!$A$2:$A$299,0))</x:f>
        <x:v>0.02676921859416015</x:v>
      </x:c>
      <x:c r="C103" s="100" t="n">
        <x:f>'Raw T'!L97</x:f>
        <x:v>-0.00599416177863029</x:v>
      </x:c>
      <x:c r="D103" s="100" t="n">
        <x:f>$B$2</x:f>
        <x:v>-0.01783376051078768</x:v>
      </x:c>
      <x:c r="E103" s="100" t="n">
        <x:f>C103-D103</x:f>
        <x:v>0.01183959873215739</x:v>
      </x:c>
      <x:c r="F103" s="100" t="n">
        <x:f>E103-B103</x:f>
        <x:v>-0.014929619862002759</x:v>
      </x:c>
      <x:c r="G103" s="100" t="n">
        <x:f>ABS(F103)</x:f>
        <x:v>0.014929619862002759</x:v>
      </x:c>
      <x:c r="H103" s="100" t="n">
        <x:f>'Raw T'!N97</x:f>
        <x:v>0.9735983103787844</x:v>
      </x:c>
      <x:c r="I103" t="b">
        <x:f>'Raw T'!O97</x:f>
        <x:v>1</x:v>
      </x:c>
      <x:c r="J103" s="100" t="n">
        <x:f>IF(I103,B103,"")</x:f>
        <x:v>0.02676921859416015</x:v>
      </x:c>
      <x:c r="K103" s="100" t="n">
        <x:f>IF(I103,E103,"")</x:f>
        <x:v>0.01183959873215739</x:v>
      </x:c>
      <x:c r="L103" s="100" t="n">
        <x:f>IF(I103,G103,"")</x:f>
        <x:v>0.014929619862002759</x:v>
      </x:c>
      <x:c r="M103" s="100" t="n">
        <x:f>IF(I103,F103^2,"")</x:f>
        <x:v>0.0002228935492239073</x:v>
      </x:c>
      <x:c r="N103" s="100" t="n">
        <x:f>IF(I103,F103,"")</x:f>
        <x:v>-0.014929619862002759</x:v>
      </x:c>
      <x:c r="P103" t="n">
        <x:f>J103</x:f>
        <x:v>0.02676921859416015</x:v>
      </x:c>
      <x:c r="Q103" t="n">
        <x:f>K103</x:f>
        <x:v>0.01183959873215739</x:v>
      </x:c>
    </x:row>
    <x:row r="104">
      <x:c r="A104" s="99" t="str">
        <x:f>'Raw T'!B98</x:f>
        <x:v>00138</x:v>
      </x:c>
      <x:c r="B104" s="100" t="n">
        <x:f>INDEX('Raw Stations'!$D$2:$D$299,MATCH(A104,'Raw Stations'!$A$2:$A$299,0))</x:f>
        <x:v>0.01176849858523049</x:v>
      </x:c>
      <x:c r="C104" s="100" t="n">
        <x:f>'Raw T'!L98</x:f>
        <x:v>-0.03498289789342119</x:v>
      </x:c>
      <x:c r="D104" s="100" t="n">
        <x:f>$B$2</x:f>
        <x:v>-0.01783376051078768</x:v>
      </x:c>
      <x:c r="E104" s="100" t="n">
        <x:f>C104-D104</x:f>
        <x:v>-0.01714913738263351</x:v>
      </x:c>
      <x:c r="F104" s="100" t="n">
        <x:f>E104-B104</x:f>
        <x:v>-0.028917635967864</x:v>
      </x:c>
      <x:c r="G104" s="100" t="n">
        <x:f>ABS(F104)</x:f>
        <x:v>0.028917635967864</x:v>
      </x:c>
      <x:c r="H104" s="100" t="n">
        <x:f>'Raw T'!N98</x:f>
        <x:v>0.898103974355875</x:v>
      </x:c>
      <x:c r="I104" t="b">
        <x:f>'Raw T'!O98</x:f>
        <x:v>1</x:v>
      </x:c>
      <x:c r="J104" s="100" t="n">
        <x:f>IF(I104,B104,"")</x:f>
        <x:v>0.01176849858523049</x:v>
      </x:c>
      <x:c r="K104" s="100" t="n">
        <x:f>IF(I104,E104,"")</x:f>
        <x:v>-0.01714913738263351</x:v>
      </x:c>
      <x:c r="L104" s="100" t="n">
        <x:f>IF(I104,G104,"")</x:f>
        <x:v>0.028917635967864</x:v>
      </x:c>
      <x:c r="M104" s="100" t="n">
        <x:f>IF(I104,F104^2,"")</x:f>
        <x:v>0.0008362296699699018</x:v>
      </x:c>
      <x:c r="N104" s="100" t="n">
        <x:f>IF(I104,F104,"")</x:f>
        <x:v>-0.028917635967864</x:v>
      </x:c>
      <x:c r="P104" t="n">
        <x:f>J104</x:f>
        <x:v>0.01176849858523049</x:v>
      </x:c>
      <x:c r="Q104" t="n">
        <x:f>K104</x:f>
        <x:v>-0.01714913738263351</x:v>
      </x:c>
    </x:row>
    <x:row r="105">
      <x:c r="A105" s="99" t="str">
        <x:f>'Raw T'!B99</x:f>
        <x:v>00139</x:v>
      </x:c>
      <x:c r="B105" s="100" t="n">
        <x:f>INDEX('Raw Stations'!$D$2:$D$299,MATCH(A105,'Raw Stations'!$A$2:$A$299,0))</x:f>
        <x:v>0.01070551839501107</x:v>
      </x:c>
      <x:c r="C105" s="100" t="n">
        <x:f>'Raw T'!L99</x:f>
        <x:v>-0.033074678896527</x:v>
      </x:c>
      <x:c r="D105" s="100" t="n">
        <x:f>$B$2</x:f>
        <x:v>-0.01783376051078768</x:v>
      </x:c>
      <x:c r="E105" s="100" t="n">
        <x:f>C105-D105</x:f>
        <x:v>-0.015240918385739322</x:v>
      </x:c>
      <x:c r="F105" s="100" t="n">
        <x:f>E105-B105</x:f>
        <x:v>-0.02594643678075039</x:v>
      </x:c>
      <x:c r="G105" s="100" t="n">
        <x:f>ABS(F105)</x:f>
        <x:v>0.02594643678075039</x:v>
      </x:c>
      <x:c r="H105" s="100" t="n">
        <x:f>'Raw T'!N99</x:f>
        <x:v>0.9717029265131214</x:v>
      </x:c>
      <x:c r="I105" t="b">
        <x:f>'Raw T'!O99</x:f>
        <x:v>1</x:v>
      </x:c>
      <x:c r="J105" s="100" t="n">
        <x:f>IF(I105,B105,"")</x:f>
        <x:v>0.01070551839501107</x:v>
      </x:c>
      <x:c r="K105" s="100" t="n">
        <x:f>IF(I105,E105,"")</x:f>
        <x:v>-0.015240918385739322</x:v>
      </x:c>
      <x:c r="L105" s="100" t="n">
        <x:f>IF(I105,G105,"")</x:f>
        <x:v>0.02594643678075039</x:v>
      </x:c>
      <x:c r="M105" s="100" t="n">
        <x:f>IF(I105,F105^2,"")</x:f>
        <x:v>0.0006732175816174768</x:v>
      </x:c>
      <x:c r="N105" s="100" t="n">
        <x:f>IF(I105,F105,"")</x:f>
        <x:v>-0.02594643678075039</x:v>
      </x:c>
      <x:c r="P105" t="n">
        <x:f>J105</x:f>
        <x:v>0.01070551839501107</x:v>
      </x:c>
      <x:c r="Q105" t="n">
        <x:f>K105</x:f>
        <x:v>-0.015240918385739322</x:v>
      </x:c>
    </x:row>
    <x:row r="106">
      <x:c r="A106" s="99" t="str">
        <x:f>'Raw T'!B100</x:f>
        <x:v>00140</x:v>
      </x:c>
      <x:c r="B106" s="100" t="n">
        <x:f>INDEX('Raw Stations'!$D$2:$D$299,MATCH(A106,'Raw Stations'!$A$2:$A$299,0))</x:f>
        <x:v>0.009794512092151049</x:v>
      </x:c>
      <x:c r="C106" s="100" t="n">
        <x:f>'Raw T'!L100</x:f>
        <x:v>-0.03772413377765901</x:v>
      </x:c>
      <x:c r="D106" s="100" t="n">
        <x:f>$B$2</x:f>
        <x:v>-0.01783376051078768</x:v>
      </x:c>
      <x:c r="E106" s="100" t="n">
        <x:f>C106-D106</x:f>
        <x:v>-0.019890373266871327</x:v>
      </x:c>
      <x:c r="F106" s="100" t="n">
        <x:f>E106-B106</x:f>
        <x:v>-0.029684885359022375</x:v>
      </x:c>
      <x:c r="G106" s="100" t="n">
        <x:f>ABS(F106)</x:f>
        <x:v>0.029684885359022375</x:v>
      </x:c>
      <x:c r="H106" s="100" t="n">
        <x:f>'Raw T'!N100</x:f>
        <x:v>0.9967662717457307</x:v>
      </x:c>
      <x:c r="I106" t="b">
        <x:f>'Raw T'!O100</x:f>
        <x:v>1</x:v>
      </x:c>
      <x:c r="J106" s="100" t="n">
        <x:f>IF(I106,B106,"")</x:f>
        <x:v>0.009794512092151049</x:v>
      </x:c>
      <x:c r="K106" s="100" t="n">
        <x:f>IF(I106,E106,"")</x:f>
        <x:v>-0.019890373266871327</x:v>
      </x:c>
      <x:c r="L106" s="100" t="n">
        <x:f>IF(I106,G106,"")</x:f>
        <x:v>0.029684885359022375</x:v>
      </x:c>
      <x:c r="M106" s="100" t="n">
        <x:f>IF(I106,F106^2,"")</x:f>
        <x:v>0.000881192418778301</x:v>
      </x:c>
      <x:c r="N106" s="100" t="n">
        <x:f>IF(I106,F106,"")</x:f>
        <x:v>-0.029684885359022375</x:v>
      </x:c>
      <x:c r="P106" t="n">
        <x:f>J106</x:f>
        <x:v>0.009794512092151049</x:v>
      </x:c>
      <x:c r="Q106" t="n">
        <x:f>K106</x:f>
        <x:v>-0.019890373266871327</x:v>
      </x:c>
    </x:row>
    <x:row r="107">
      <x:c r="A107" s="99" t="str">
        <x:f>'Raw T'!B101</x:f>
        <x:v>00141</x:v>
      </x:c>
      <x:c r="B107" s="100" t="n">
        <x:f>INDEX('Raw Stations'!$D$2:$D$299,MATCH(A107,'Raw Stations'!$A$2:$A$299,0))</x:f>
        <x:v>0.001433630043454155</x:v>
      </x:c>
      <x:c r="C107" s="100" t="n">
        <x:f>'Raw T'!L101</x:f>
        <x:v>-0.0380850158263559</x:v>
      </x:c>
      <x:c r="D107" s="100" t="n">
        <x:f>$B$2</x:f>
        <x:v>-0.01783376051078768</x:v>
      </x:c>
      <x:c r="E107" s="100" t="n">
        <x:f>C107-D107</x:f>
        <x:v>-0.02025125531556822</x:v>
      </x:c>
      <x:c r="F107" s="100" t="n">
        <x:f>E107-B107</x:f>
        <x:v>-0.021684885359022375</x:v>
      </x:c>
      <x:c r="G107" s="100" t="n">
        <x:f>ABS(F107)</x:f>
        <x:v>0.021684885359022375</x:v>
      </x:c>
      <x:c r="H107" s="100" t="n">
        <x:f>'Raw T'!N101</x:f>
        <x:v>0.9507949844031928</x:v>
      </x:c>
      <x:c r="I107" t="b">
        <x:f>'Raw T'!O101</x:f>
        <x:v>1</x:v>
      </x:c>
      <x:c r="J107" s="100" t="n">
        <x:f>IF(I107,B107,"")</x:f>
        <x:v>0.001433630043454155</x:v>
      </x:c>
      <x:c r="K107" s="100" t="n">
        <x:f>IF(I107,E107,"")</x:f>
        <x:v>-0.02025125531556822</x:v>
      </x:c>
      <x:c r="L107" s="100" t="n">
        <x:f>IF(I107,G107,"")</x:f>
        <x:v>0.021684885359022375</x:v>
      </x:c>
      <x:c r="M107" s="100" t="n">
        <x:f>IF(I107,F107^2,"")</x:f>
        <x:v>0.00047023425303394296</x:v>
      </x:c>
      <x:c r="N107" s="100" t="n">
        <x:f>IF(I107,F107,"")</x:f>
        <x:v>-0.021684885359022375</x:v>
      </x:c>
      <x:c r="P107" t="n">
        <x:f>J107</x:f>
        <x:v>0.001433630043454155</x:v>
      </x:c>
      <x:c r="Q107" t="n">
        <x:f>K107</x:f>
        <x:v>-0.02025125531556822</x:v>
      </x:c>
    </x:row>
    <x:row r="108">
      <x:c r="A108" s="99" t="str">
        <x:f>'Raw T'!B102</x:f>
        <x:v>00142</x:v>
      </x:c>
      <x:c r="B108" s="100" t="n">
        <x:f>INDEX('Raw Stations'!$D$2:$D$299,MATCH(A108,'Raw Stations'!$A$2:$A$299,0))</x:f>
        <x:v>-0.0131765084679257</x:v>
      </x:c>
      <x:c r="C108" s="100" t="n">
        <x:f>'Raw T'!L102</x:f>
        <x:v>0.03454887807649115</x:v>
      </x:c>
      <x:c r="D108" s="100" t="n">
        <x:f>$B$2</x:f>
        <x:v>-0.01783376051078768</x:v>
      </x:c>
      <x:c r="E108" s="100" t="n">
        <x:f>C108-D108</x:f>
        <x:v>0.05238263858727883</x:v>
      </x:c>
      <x:c r="F108" s="100" t="n">
        <x:f>E108-B108</x:f>
        <x:v>0.06555914705520453</x:v>
      </x:c>
      <x:c r="G108" s="100" t="n">
        <x:f>ABS(F108)</x:f>
        <x:v>0.06555914705520453</x:v>
      </x:c>
      <x:c r="H108" s="100" t="n">
        <x:f>'Raw T'!N102</x:f>
        <x:v>0.8448923705470254</x:v>
      </x:c>
      <x:c r="I108" t="b">
        <x:f>'Raw T'!O102</x:f>
        <x:v>1</x:v>
      </x:c>
      <x:c r="J108" s="100" t="n">
        <x:f>IF(I108,B108,"")</x:f>
        <x:v>-0.0131765084679257</x:v>
      </x:c>
      <x:c r="K108" s="100" t="n">
        <x:f>IF(I108,E108,"")</x:f>
        <x:v>0.05238263858727883</x:v>
      </x:c>
      <x:c r="L108" s="100" t="n">
        <x:f>IF(I108,G108,"")</x:f>
        <x:v>0.06555914705520453</x:v>
      </x:c>
      <x:c r="M108" s="100" t="n">
        <x:f>IF(I108,F108^2,"")</x:f>
        <x:v>0.004298001762605933</x:v>
      </x:c>
      <x:c r="N108" s="100" t="n">
        <x:f>IF(I108,F108,"")</x:f>
        <x:v>0.06555914705520453</x:v>
      </x:c>
      <x:c r="P108" t="n">
        <x:f>J108</x:f>
        <x:v>-0.0131765084679257</x:v>
      </x:c>
      <x:c r="Q108" t="n">
        <x:f>K108</x:f>
        <x:v>0.05238263858727883</x:v>
      </x:c>
    </x:row>
    <x:row r="109">
      <x:c r="A109" s="99" t="str">
        <x:f>'Raw T'!B103</x:f>
        <x:v>00143</x:v>
      </x:c>
      <x:c r="B109" s="100" t="n">
        <x:f>INDEX('Raw Stations'!$D$2:$D$299,MATCH(A109,'Raw Stations'!$A$2:$A$299,0))</x:f>
        <x:v>-0.007809072405819819</x:v>
      </x:c>
      <x:c r="C109" s="100" t="n">
        <x:f>'Raw T'!L103</x:f>
        <x:v>0.02652421555392387</x:v>
      </x:c>
      <x:c r="D109" s="100" t="n">
        <x:f>$B$2</x:f>
        <x:v>-0.01783376051078768</x:v>
      </x:c>
      <x:c r="E109" s="100" t="n">
        <x:f>C109-D109</x:f>
        <x:v>0.04435797606471155</x:v>
      </x:c>
      <x:c r="F109" s="100" t="n">
        <x:f>E109-B109</x:f>
        <x:v>0.05216704847053137</x:v>
      </x:c>
      <x:c r="G109" s="100" t="n">
        <x:f>ABS(F109)</x:f>
        <x:v>0.05216704847053137</x:v>
      </x:c>
      <x:c r="H109" s="100" t="n">
        <x:f>'Raw T'!N103</x:f>
        <x:v>0.9090760647038416</x:v>
      </x:c>
      <x:c r="I109" t="b">
        <x:f>'Raw T'!O103</x:f>
        <x:v>1</x:v>
      </x:c>
      <x:c r="J109" s="100" t="n">
        <x:f>IF(I109,B109,"")</x:f>
        <x:v>-0.007809072405819819</x:v>
      </x:c>
      <x:c r="K109" s="100" t="n">
        <x:f>IF(I109,E109,"")</x:f>
        <x:v>0.04435797606471155</x:v>
      </x:c>
      <x:c r="L109" s="100" t="n">
        <x:f>IF(I109,G109,"")</x:f>
        <x:v>0.05216704847053137</x:v>
      </x:c>
      <x:c r="M109" s="100" t="n">
        <x:f>IF(I109,F109^2,"")</x:f>
        <x:v>0.0027214009461267695</x:v>
      </x:c>
      <x:c r="N109" s="100" t="n">
        <x:f>IF(I109,F109,"")</x:f>
        <x:v>0.05216704847053137</x:v>
      </x:c>
      <x:c r="P109" t="n">
        <x:f>J109</x:f>
        <x:v>-0.007809072405819819</x:v>
      </x:c>
      <x:c r="Q109" t="n">
        <x:f>K109</x:f>
        <x:v>0.04435797606471155</x:v>
      </x:c>
    </x:row>
    <x:row r="110">
      <x:c r="A110" s="99" t="str">
        <x:f>'Raw T'!B104</x:f>
        <x:v>00144</x:v>
      </x:c>
      <x:c r="B110" s="100" t="n">
        <x:f>INDEX('Raw Stations'!$D$2:$D$299,MATCH(A110,'Raw Stations'!$A$2:$A$299,0))</x:f>
        <x:v>-0.01176502607705689</x:v>
      </x:c>
      <x:c r="C110" s="100" t="n">
        <x:f>'Raw T'!L104</x:f>
        <x:v>-0.0003155348142755282</x:v>
      </x:c>
      <x:c r="D110" s="100" t="n">
        <x:f>$B$2</x:f>
        <x:v>-0.01783376051078768</x:v>
      </x:c>
      <x:c r="E110" s="100" t="n">
        <x:f>C110-D110</x:f>
        <x:v>0.017518225696512152</x:v>
      </x:c>
      <x:c r="F110" s="100" t="n">
        <x:f>E110-B110</x:f>
        <x:v>0.029283251773569042</x:v>
      </x:c>
      <x:c r="G110" s="100" t="n">
        <x:f>ABS(F110)</x:f>
        <x:v>0.029283251773569042</x:v>
      </x:c>
      <x:c r="H110" s="100" t="n">
        <x:f>'Raw T'!N104</x:f>
        <x:v>0.9267502983026166</x:v>
      </x:c>
      <x:c r="I110" t="b">
        <x:f>'Raw T'!O104</x:f>
        <x:v>1</x:v>
      </x:c>
      <x:c r="J110" s="100" t="n">
        <x:f>IF(I110,B110,"")</x:f>
        <x:v>-0.01176502607705689</x:v>
      </x:c>
      <x:c r="K110" s="100" t="n">
        <x:f>IF(I110,E110,"")</x:f>
        <x:v>0.017518225696512152</x:v>
      </x:c>
      <x:c r="L110" s="100" t="n">
        <x:f>IF(I110,G110,"")</x:f>
        <x:v>0.029283251773569042</x:v>
      </x:c>
      <x:c r="M110" s="100" t="n">
        <x:f>IF(I110,F110^2,"")</x:f>
        <x:v>0.0008575088344342345</x:v>
      </x:c>
      <x:c r="N110" s="100" t="n">
        <x:f>IF(I110,F110,"")</x:f>
        <x:v>0.029283251773569042</x:v>
      </x:c>
      <x:c r="P110" t="n">
        <x:f>J110</x:f>
        <x:v>-0.01176502607705689</x:v>
      </x:c>
      <x:c r="Q110" t="n">
        <x:f>K110</x:f>
        <x:v>0.017518225696512152</x:v>
      </x:c>
    </x:row>
    <x:row r="111">
      <x:c r="A111" s="99" t="str">
        <x:f>'Raw T'!B105</x:f>
        <x:v>00145</x:v>
      </x:c>
      <x:c r="B111" s="100" t="n">
        <x:f>INDEX('Raw Stations'!$D$2:$D$299,MATCH(A111,'Raw Stations'!$A$2:$A$299,0))</x:f>
        <x:v>-0.01520966297060058</x:v>
      </x:c>
      <x:c r="C111" s="100" t="n">
        <x:f>'Raw T'!L105</x:f>
        <x:v>-0.007760171707819216</x:v>
      </x:c>
      <x:c r="D111" s="100" t="n">
        <x:f>$B$2</x:f>
        <x:v>-0.01783376051078768</x:v>
      </x:c>
      <x:c r="E111" s="100" t="n">
        <x:f>C111-D111</x:f>
        <x:v>0.010073588802968464</x:v>
      </x:c>
      <x:c r="F111" s="100" t="n">
        <x:f>E111-B111</x:f>
        <x:v>0.025283251773569042</x:v>
      </x:c>
      <x:c r="G111" s="100" t="n">
        <x:f>ABS(F111)</x:f>
        <x:v>0.025283251773569042</x:v>
      </x:c>
      <x:c r="H111" s="100" t="n">
        <x:f>'Raw T'!N105</x:f>
        <x:v>0.9261538905941895</x:v>
      </x:c>
      <x:c r="I111" t="b">
        <x:f>'Raw T'!O105</x:f>
        <x:v>1</x:v>
      </x:c>
      <x:c r="J111" s="100" t="n">
        <x:f>IF(I111,B111,"")</x:f>
        <x:v>-0.01520966297060058</x:v>
      </x:c>
      <x:c r="K111" s="100" t="n">
        <x:f>IF(I111,E111,"")</x:f>
        <x:v>0.010073588802968464</x:v>
      </x:c>
      <x:c r="L111" s="100" t="n">
        <x:f>IF(I111,G111,"")</x:f>
        <x:v>0.025283251773569042</x:v>
      </x:c>
      <x:c r="M111" s="100" t="n">
        <x:f>IF(I111,F111^2,"")</x:f>
        <x:v>0.0006392428202456821</x:v>
      </x:c>
      <x:c r="N111" s="100" t="n">
        <x:f>IF(I111,F111,"")</x:f>
        <x:v>0.025283251773569042</x:v>
      </x:c>
      <x:c r="P111" t="n">
        <x:f>J111</x:f>
        <x:v>-0.01520966297060058</x:v>
      </x:c>
      <x:c r="Q111" t="n">
        <x:f>K111</x:f>
        <x:v>0.010073588802968464</x:v>
      </x:c>
    </x:row>
    <x:row r="112">
      <x:c r="A112" s="99" t="str">
        <x:f>'Raw T'!B106</x:f>
        <x:v>00146</x:v>
      </x:c>
      <x:c r="B112" s="100" t="n">
        <x:f>INDEX('Raw Stations'!$D$2:$D$299,MATCH(A112,'Raw Stations'!$A$2:$A$299,0))</x:f>
        <x:v>-0.00357796407435395</x:v>
      </x:c>
      <x:c r="C112" s="100" t="n">
        <x:f>'Raw T'!L106</x:f>
        <x:v>-0.00232936055300563</x:v>
      </x:c>
      <x:c r="D112" s="100" t="n">
        <x:f>$B$2</x:f>
        <x:v>-0.01783376051078768</x:v>
      </x:c>
      <x:c r="E112" s="100" t="n">
        <x:f>C112-D112</x:f>
        <x:v>0.01550439995778205</x:v>
      </x:c>
      <x:c r="F112" s="100" t="n">
        <x:f>E112-B112</x:f>
        <x:v>0.019082364032136</x:v>
      </x:c>
      <x:c r="G112" s="100" t="n">
        <x:f>ABS(F112)</x:f>
        <x:v>0.019082364032136</x:v>
      </x:c>
      <x:c r="H112" s="100" t="n">
        <x:f>'Raw T'!N106</x:f>
        <x:v>0.958527146381109</x:v>
      </x:c>
      <x:c r="I112" t="b">
        <x:f>'Raw T'!O106</x:f>
        <x:v>1</x:v>
      </x:c>
      <x:c r="J112" s="100" t="n">
        <x:f>IF(I112,B112,"")</x:f>
        <x:v>-0.00357796407435395</x:v>
      </x:c>
      <x:c r="K112" s="100" t="n">
        <x:f>IF(I112,E112,"")</x:f>
        <x:v>0.01550439995778205</x:v>
      </x:c>
      <x:c r="L112" s="100" t="n">
        <x:f>IF(I112,G112,"")</x:f>
        <x:v>0.019082364032136</x:v>
      </x:c>
      <x:c r="M112" s="100" t="n">
        <x:f>IF(I112,F112^2,"")</x:f>
        <x:v>0.0003641366170549577</x:v>
      </x:c>
      <x:c r="N112" s="100" t="n">
        <x:f>IF(I112,F112,"")</x:f>
        <x:v>0.019082364032136</x:v>
      </x:c>
      <x:c r="P112" t="n">
        <x:f>J112</x:f>
        <x:v>-0.00357796407435395</x:v>
      </x:c>
      <x:c r="Q112" t="n">
        <x:f>K112</x:f>
        <x:v>0.01550439995778205</x:v>
      </x:c>
    </x:row>
    <x:row r="113">
      <x:c r="A113" s="99" t="str">
        <x:f>'Raw T'!B107</x:f>
        <x:v>00147</x:v>
      </x:c>
      <x:c r="B113" s="100" t="n">
        <x:f>INDEX('Raw Stations'!$D$2:$D$299,MATCH(A113,'Raw Stations'!$A$2:$A$299,0))</x:f>
        <x:v>0.00393074184116592</x:v>
      </x:c>
      <x:c r="C113" s="100" t="n">
        <x:f>'Raw T'!L107</x:f>
        <x:v>0.00226402980090961</x:v>
      </x:c>
      <x:c r="D113" s="100" t="n">
        <x:f>$B$2</x:f>
        <x:v>-0.01783376051078768</x:v>
      </x:c>
      <x:c r="E113" s="100" t="n">
        <x:f>C113-D113</x:f>
        <x:v>0.02009779031169729</x:v>
      </x:c>
      <x:c r="F113" s="100" t="n">
        <x:f>E113-B113</x:f>
        <x:v>0.01616704847053137</x:v>
      </x:c>
      <x:c r="G113" s="100" t="n">
        <x:f>ABS(F113)</x:f>
        <x:v>0.01616704847053137</x:v>
      </x:c>
      <x:c r="H113" s="100" t="n">
        <x:f>'Raw T'!N107</x:f>
        <x:v>0.9666904739543053</x:v>
      </x:c>
      <x:c r="I113" t="b">
        <x:f>'Raw T'!O107</x:f>
        <x:v>1</x:v>
      </x:c>
      <x:c r="J113" s="100" t="n">
        <x:f>IF(I113,B113,"")</x:f>
        <x:v>0.00393074184116592</x:v>
      </x:c>
      <x:c r="K113" s="100" t="n">
        <x:f>IF(I113,E113,"")</x:f>
        <x:v>0.02009779031169729</x:v>
      </x:c>
      <x:c r="L113" s="100" t="n">
        <x:f>IF(I113,G113,"")</x:f>
        <x:v>0.01616704847053137</x:v>
      </x:c>
      <x:c r="M113" s="100" t="n">
        <x:f>IF(I113,F113^2,"")</x:f>
        <x:v>0.0002613734562485107</x:v>
      </x:c>
      <x:c r="N113" s="100" t="n">
        <x:f>IF(I113,F113,"")</x:f>
        <x:v>0.01616704847053137</x:v>
      </x:c>
      <x:c r="P113" t="n">
        <x:f>J113</x:f>
        <x:v>0.00393074184116592</x:v>
      </x:c>
      <x:c r="Q113" t="n">
        <x:f>K113</x:f>
        <x:v>0.02009779031169729</x:v>
      </x:c>
    </x:row>
    <x:row r="114">
      <x:c r="A114" s="99" t="str">
        <x:f>'Raw T'!B108</x:f>
        <x:v>00148</x:v>
      </x:c>
      <x:c r="B114" s="100" t="n">
        <x:f>INDEX('Raw Stations'!$D$2:$D$299,MATCH(A114,'Raw Stations'!$A$2:$A$299,0))</x:f>
        <x:v>0.007627592197452477</x:v>
      </x:c>
      <x:c r="C114" s="100" t="n">
        <x:f>'Raw T'!L108</x:f>
        <x:v>-0.007862668521697314</x:v>
      </x:c>
      <x:c r="D114" s="100" t="n">
        <x:f>$B$2</x:f>
        <x:v>-0.01783376051078768</x:v>
      </x:c>
      <x:c r="E114" s="100" t="n">
        <x:f>C114-D114</x:f>
        <x:v>0.009971091989090367</x:v>
      </x:c>
      <x:c r="F114" s="100" t="n">
        <x:f>E114-B114</x:f>
        <x:v>0.0023434997916378895</x:v>
      </x:c>
      <x:c r="G114" s="100" t="n">
        <x:f>ABS(F114)</x:f>
        <x:v>0.0023434997916378895</x:v>
      </x:c>
      <x:c r="H114" s="100" t="n">
        <x:f>'Raw T'!N108</x:f>
        <x:v>0.98568814794643</x:v>
      </x:c>
      <x:c r="I114" t="b">
        <x:f>'Raw T'!O108</x:f>
        <x:v>1</x:v>
      </x:c>
      <x:c r="J114" s="100" t="n">
        <x:f>IF(I114,B114,"")</x:f>
        <x:v>0.007627592197452477</x:v>
      </x:c>
      <x:c r="K114" s="100" t="n">
        <x:f>IF(I114,E114,"")</x:f>
        <x:v>0.009971091989090367</x:v>
      </x:c>
      <x:c r="L114" s="100" t="n">
        <x:f>IF(I114,G114,"")</x:f>
        <x:v>0.0023434997916378895</x:v>
      </x:c>
      <x:c r="M114" s="100" t="n">
        <x:f>IF(I114,F114^2,"")</x:f>
        <x:v>0.000005491991273406832</x:v>
      </x:c>
      <x:c r="N114" s="100" t="n">
        <x:f>IF(I114,F114,"")</x:f>
        <x:v>0.0023434997916378895</x:v>
      </x:c>
      <x:c r="P114" t="n">
        <x:f>J114</x:f>
        <x:v>0.007627592197452477</x:v>
      </x:c>
      <x:c r="Q114" t="n">
        <x:f>K114</x:f>
        <x:v>0.009971091989090367</x:v>
      </x:c>
    </x:row>
    <x:row r="115">
      <x:c r="A115" s="99" t="str">
        <x:f>'Raw T'!B109</x:f>
        <x:v>00149</x:v>
      </x:c>
      <x:c r="B115" s="100" t="n">
        <x:f>INDEX('Raw Stations'!$D$2:$D$299,MATCH(A115,'Raw Stations'!$A$2:$A$299,0))</x:f>
        <x:v>0.006252124324200541</x:v>
      </x:c>
      <x:c r="C115" s="100" t="n">
        <x:f>'Raw T'!L109</x:f>
        <x:v>-0.009041945641686984</x:v>
      </x:c>
      <x:c r="D115" s="100" t="n">
        <x:f>$B$2</x:f>
        <x:v>-0.01783376051078768</x:v>
      </x:c>
      <x:c r="E115" s="100" t="n">
        <x:f>C115-D115</x:f>
        <x:v>0.008791814869100696</x:v>
      </x:c>
      <x:c r="F115" s="100" t="n">
        <x:f>E115-B115</x:f>
        <x:v>0.002539690544900155</x:v>
      </x:c>
      <x:c r="G115" s="100" t="n">
        <x:f>ABS(F115)</x:f>
        <x:v>0.002539690544900155</x:v>
      </x:c>
      <x:c r="H115" s="100" t="n">
        <x:f>'Raw T'!N109</x:f>
        <x:v>0.9828209403151398</x:v>
      </x:c>
      <x:c r="I115" t="b">
        <x:f>'Raw T'!O109</x:f>
        <x:v>1</x:v>
      </x:c>
      <x:c r="J115" s="100" t="n">
        <x:f>IF(I115,B115,"")</x:f>
        <x:v>0.006252124324200541</x:v>
      </x:c>
      <x:c r="K115" s="100" t="n">
        <x:f>IF(I115,E115,"")</x:f>
        <x:v>0.008791814869100696</x:v>
      </x:c>
      <x:c r="L115" s="100" t="n">
        <x:f>IF(I115,G115,"")</x:f>
        <x:v>0.002539690544900155</x:v>
      </x:c>
      <x:c r="M115" s="100" t="n">
        <x:f>IF(I115,F115^2,"")</x:f>
        <x:v>0.000006450028063855247</x:v>
      </x:c>
      <x:c r="N115" s="100" t="n">
        <x:f>IF(I115,F115,"")</x:f>
        <x:v>0.002539690544900155</x:v>
      </x:c>
      <x:c r="P115" t="n">
        <x:f>J115</x:f>
        <x:v>0.006252124324200541</x:v>
      </x:c>
      <x:c r="Q115" t="n">
        <x:f>K115</x:f>
        <x:v>0.008791814869100696</x:v>
      </x:c>
    </x:row>
    <x:row r="116">
      <x:c r="A116" s="99" t="str">
        <x:f>'Raw T'!B110</x:f>
        <x:v>00150</x:v>
      </x:c>
      <x:c r="B116" s="100" t="n">
        <x:f>INDEX('Raw Stations'!$D$2:$D$299,MATCH(A116,'Raw Stations'!$A$2:$A$299,0))</x:f>
        <x:v>0.009131620025796459</x:v>
      </x:c>
      <x:c r="C116" s="100" t="n">
        <x:f>'Raw T'!L110</x:f>
        <x:v>-0.01081382237460678</x:v>
      </x:c>
      <x:c r="D116" s="100" t="n">
        <x:f>$B$2</x:f>
        <x:v>-0.01783376051078768</x:v>
      </x:c>
      <x:c r="E116" s="100" t="n">
        <x:f>C116-D116</x:f>
        <x:v>0.0070199381361809</x:v>
      </x:c>
      <x:c r="F116" s="100" t="n">
        <x:f>E116-B116</x:f>
        <x:v>-0.002111681889615559</x:v>
      </x:c>
      <x:c r="G116" s="100" t="n">
        <x:f>ABS(F116)</x:f>
        <x:v>0.002111681889615559</x:v>
      </x:c>
      <x:c r="H116" s="100" t="n">
        <x:f>'Raw T'!N110</x:f>
        <x:v>0.9496636834405471</x:v>
      </x:c>
      <x:c r="I116" t="b">
        <x:f>'Raw T'!O110</x:f>
        <x:v>1</x:v>
      </x:c>
      <x:c r="J116" s="100" t="n">
        <x:f>IF(I116,B116,"")</x:f>
        <x:v>0.009131620025796459</x:v>
      </x:c>
      <x:c r="K116" s="100" t="n">
        <x:f>IF(I116,E116,"")</x:f>
        <x:v>0.0070199381361809</x:v>
      </x:c>
      <x:c r="L116" s="100" t="n">
        <x:f>IF(I116,G116,"")</x:f>
        <x:v>0.002111681889615559</x:v>
      </x:c>
      <x:c r="M116" s="100" t="n">
        <x:f>IF(I116,F116^2,"")</x:f>
        <x:v>0.000004459200402930338</x:v>
      </x:c>
      <x:c r="N116" s="100" t="n">
        <x:f>IF(I116,F116,"")</x:f>
        <x:v>-0.002111681889615559</x:v>
      </x:c>
      <x:c r="P116" t="n">
        <x:f>J116</x:f>
        <x:v>0.009131620025796459</x:v>
      </x:c>
      <x:c r="Q116" t="n">
        <x:f>K116</x:f>
        <x:v>0.0070199381361809</x:v>
      </x:c>
    </x:row>
    <x:row r="117">
      <x:c r="A117" s="99" t="str">
        <x:f>'Raw T'!B111</x:f>
        <x:v>00151</x:v>
      </x:c>
      <x:c r="B117" s="100" t="n">
        <x:f>INDEX('Raw Stations'!$D$2:$D$299,MATCH(A117,'Raw Stations'!$A$2:$A$299,0))</x:f>
        <x:v>0.01418779123125887</x:v>
      </x:c>
      <x:c r="C117" s="100" t="n">
        <x:f>'Raw T'!L111</x:f>
        <x:v>-0.01775765116914436</x:v>
      </x:c>
      <x:c r="D117" s="100" t="n">
        <x:f>$B$2</x:f>
        <x:v>-0.01783376051078768</x:v>
      </x:c>
      <x:c r="E117" s="100" t="n">
        <x:f>C117-D117</x:f>
        <x:v>0.00007610934164331909</x:v>
      </x:c>
      <x:c r="F117" s="100" t="n">
        <x:f>E117-B117</x:f>
        <x:v>-0.01411168188961555</x:v>
      </x:c>
      <x:c r="G117" s="100" t="n">
        <x:f>ABS(F117)</x:f>
        <x:v>0.01411168188961555</x:v>
      </x:c>
      <x:c r="H117" s="100" t="n">
        <x:f>'Raw T'!N111</x:f>
        <x:v>0.9661416943819547</x:v>
      </x:c>
      <x:c r="I117" t="b">
        <x:f>'Raw T'!O111</x:f>
        <x:v>1</x:v>
      </x:c>
      <x:c r="J117" s="100" t="n">
        <x:f>IF(I117,B117,"")</x:f>
        <x:v>0.01418779123125887</x:v>
      </x:c>
      <x:c r="K117" s="100" t="n">
        <x:f>IF(I117,E117,"")</x:f>
        <x:v>0.00007610934164331909</x:v>
      </x:c>
      <x:c r="L117" s="100" t="n">
        <x:f>IF(I117,G117,"")</x:f>
        <x:v>0.01411168188961555</x:v>
      </x:c>
      <x:c r="M117" s="100" t="n">
        <x:f>IF(I117,F117^2,"")</x:f>
        <x:v>0.00019913956575370352</x:v>
      </x:c>
      <x:c r="N117" s="100" t="n">
        <x:f>IF(I117,F117,"")</x:f>
        <x:v>-0.01411168188961555</x:v>
      </x:c>
      <x:c r="P117" t="n">
        <x:f>J117</x:f>
        <x:v>0.01418779123125887</x:v>
      </x:c>
      <x:c r="Q117" t="n">
        <x:f>K117</x:f>
        <x:v>0.00007610934164331909</x:v>
      </x:c>
    </x:row>
    <x:row r="118">
      <x:c r="A118" s="99" t="str">
        <x:f>'Raw T'!B112</x:f>
        <x:v>00152</x:v>
      </x:c>
      <x:c r="B118" s="100" t="n">
        <x:f>INDEX('Raw Stations'!$D$2:$D$299,MATCH(A118,'Raw Stations'!$A$2:$A$299,0))</x:f>
        <x:v>0.009298753097606798</x:v>
      </x:c>
      <x:c r="C118" s="100" t="n">
        <x:f>'Raw T'!L112</x:f>
        <x:v>-0.0163679589426495</x:v>
      </x:c>
      <x:c r="D118" s="100" t="n">
        <x:f>$B$2</x:f>
        <x:v>-0.01783376051078768</x:v>
      </x:c>
      <x:c r="E118" s="100" t="n">
        <x:f>C118-D118</x:f>
        <x:v>0.0014658015681381815</x:v>
      </x:c>
      <x:c r="F118" s="100" t="n">
        <x:f>E118-B118</x:f>
        <x:v>-0.007832951529468616</x:v>
      </x:c>
      <x:c r="G118" s="100" t="n">
        <x:f>ABS(F118)</x:f>
        <x:v>0.007832951529468616</x:v>
      </x:c>
      <x:c r="H118" s="100" t="n">
        <x:f>'Raw T'!N112</x:f>
        <x:v>0.9529736231911413</x:v>
      </x:c>
      <x:c r="I118" t="b">
        <x:f>'Raw T'!O112</x:f>
        <x:v>1</x:v>
      </x:c>
      <x:c r="J118" s="100" t="n">
        <x:f>IF(I118,B118,"")</x:f>
        <x:v>0.009298753097606798</x:v>
      </x:c>
      <x:c r="K118" s="100" t="n">
        <x:f>IF(I118,E118,"")</x:f>
        <x:v>0.0014658015681381815</x:v>
      </x:c>
      <x:c r="L118" s="100" t="n">
        <x:f>IF(I118,G118,"")</x:f>
        <x:v>0.007832951529468616</x:v>
      </x:c>
      <x:c r="M118" s="100" t="n">
        <x:f>IF(I118,F118^2,"")</x:f>
        <x:v>0.00006135512966300474</x:v>
      </x:c>
      <x:c r="N118" s="100" t="n">
        <x:f>IF(I118,F118,"")</x:f>
        <x:v>-0.007832951529468616</x:v>
      </x:c>
      <x:c r="P118" t="n">
        <x:f>J118</x:f>
        <x:v>0.009298753097606798</x:v>
      </x:c>
      <x:c r="Q118" t="n">
        <x:f>K118</x:f>
        <x:v>0.0014658015681381815</x:v>
      </x:c>
    </x:row>
    <x:row r="119">
      <x:c r="A119" s="99" t="str">
        <x:f>'Raw T'!B113</x:f>
        <x:v>00153</x:v>
      </x:c>
      <x:c r="B119" s="100" t="n">
        <x:f>INDEX('Raw Stations'!$D$2:$D$299,MATCH(A119,'Raw Stations'!$A$2:$A$299,0))</x:f>
        <x:v>0.008459962962277095</x:v>
      </x:c>
      <x:c r="C119" s="100" t="n">
        <x:f>'Raw T'!L113</x:f>
        <x:v>-0.01505868290753296</x:v>
      </x:c>
      <x:c r="D119" s="100" t="n">
        <x:f>$B$2</x:f>
        <x:v>-0.01783376051078768</x:v>
      </x:c>
      <x:c r="E119" s="100" t="n">
        <x:f>C119-D119</x:f>
        <x:v>0.0027750776032547195</x:v>
      </x:c>
      <x:c r="F119" s="100" t="n">
        <x:f>E119-B119</x:f>
        <x:v>-0.005684885359022375</x:v>
      </x:c>
      <x:c r="G119" s="100" t="n">
        <x:f>ABS(F119)</x:f>
        <x:v>0.005684885359022375</x:v>
      </x:c>
      <x:c r="H119" s="100" t="n">
        <x:f>'Raw T'!N113</x:f>
        <x:v>0.9735814123895051</x:v>
      </x:c>
      <x:c r="I119" t="b">
        <x:f>'Raw T'!O113</x:f>
        <x:v>1</x:v>
      </x:c>
      <x:c r="J119" s="100" t="n">
        <x:f>IF(I119,B119,"")</x:f>
        <x:v>0.008459962962277095</x:v>
      </x:c>
      <x:c r="K119" s="100" t="n">
        <x:f>IF(I119,E119,"")</x:f>
        <x:v>0.0027750776032547195</x:v>
      </x:c>
      <x:c r="L119" s="100" t="n">
        <x:f>IF(I119,G119,"")</x:f>
        <x:v>0.005684885359022375</x:v>
      </x:c>
      <x:c r="M119" s="100" t="n">
        <x:f>IF(I119,F119^2,"")</x:f>
        <x:v>0.00003231792154522696</x:v>
      </x:c>
      <x:c r="N119" s="100" t="n">
        <x:f>IF(I119,F119,"")</x:f>
        <x:v>-0.005684885359022375</x:v>
      </x:c>
      <x:c r="P119" t="n">
        <x:f>J119</x:f>
        <x:v>0.008459962962277095</x:v>
      </x:c>
      <x:c r="Q119" t="n">
        <x:f>K119</x:f>
        <x:v>0.0027750776032547195</x:v>
      </x:c>
    </x:row>
    <x:row r="120">
      <x:c r="A120" s="99" t="str">
        <x:f>'Raw T'!B114</x:f>
        <x:v>00155</x:v>
      </x:c>
      <x:c r="B120" s="100" t="n">
        <x:f>INDEX('Raw Stations'!$D$2:$D$299,MATCH(A120,'Raw Stations'!$A$2:$A$299,0))</x:f>
        <x:v>0.02223076330157774</x:v>
      </x:c>
      <x:c r="C120" s="100" t="n">
        <x:f>'Raw T'!L114</x:f>
        <x:v>-0.02128788256823232</x:v>
      </x:c>
      <x:c r="D120" s="100" t="n">
        <x:f>$B$2</x:f>
        <x:v>-0.01783376051078768</x:v>
      </x:c>
      <x:c r="E120" s="100" t="n">
        <x:f>C120-D120</x:f>
        <x:v>-0.0034541220574446398</x:v>
      </x:c>
      <x:c r="F120" s="100" t="n">
        <x:f>E120-B120</x:f>
        <x:v>-0.02568488535902238</x:v>
      </x:c>
      <x:c r="G120" s="100" t="n">
        <x:f>ABS(F120)</x:f>
        <x:v>0.02568488535902238</x:v>
      </x:c>
      <x:c r="H120" s="100" t="n">
        <x:f>'Raw T'!N114</x:f>
        <x:v>0.9742297828677731</x:v>
      </x:c>
      <x:c r="I120" t="b">
        <x:f>'Raw T'!O114</x:f>
        <x:v>1</x:v>
      </x:c>
      <x:c r="J120" s="100" t="n">
        <x:f>IF(I120,B120,"")</x:f>
        <x:v>0.02223076330157774</x:v>
      </x:c>
      <x:c r="K120" s="100" t="n">
        <x:f>IF(I120,E120,"")</x:f>
        <x:v>-0.0034541220574446398</x:v>
      </x:c>
      <x:c r="L120" s="100" t="n">
        <x:f>IF(I120,G120,"")</x:f>
        <x:v>0.02568488535902238</x:v>
      </x:c>
      <x:c r="M120" s="100" t="n">
        <x:f>IF(I120,F120^2,"")</x:f>
        <x:v>0.0006597133359061222</x:v>
      </x:c>
      <x:c r="N120" s="100" t="n">
        <x:f>IF(I120,F120,"")</x:f>
        <x:v>-0.02568488535902238</x:v>
      </x:c>
      <x:c r="P120" t="n">
        <x:f>J120</x:f>
        <x:v>0.02223076330157774</x:v>
      </x:c>
      <x:c r="Q120" t="n">
        <x:f>K120</x:f>
        <x:v>-0.0034541220574446398</x:v>
      </x:c>
    </x:row>
    <x:row r="121">
      <x:c r="A121" s="99" t="str">
        <x:f>'Raw T'!B115</x:f>
        <x:v>00156</x:v>
      </x:c>
      <x:c r="B121" s="100" t="n">
        <x:f>INDEX('Raw Stations'!$D$2:$D$299,MATCH(A121,'Raw Stations'!$A$2:$A$299,0))</x:f>
        <x:v>0.008486234802744842</x:v>
      </x:c>
      <x:c r="C121" s="100" t="n">
        <x:f>'Raw T'!L115</x:f>
        <x:v>-0.03300922498805069</x:v>
      </x:c>
      <x:c r="D121" s="100" t="n">
        <x:f>$B$2</x:f>
        <x:v>-0.01783376051078768</x:v>
      </x:c>
      <x:c r="E121" s="100" t="n">
        <x:f>C121-D121</x:f>
        <x:v>-0.015175464477263007</x:v>
      </x:c>
      <x:c r="F121" s="100" t="n">
        <x:f>E121-B121</x:f>
        <x:v>-0.023661699280007848</x:v>
      </x:c>
      <x:c r="G121" s="100" t="n">
        <x:f>ABS(F121)</x:f>
        <x:v>0.023661699280007848</x:v>
      </x:c>
      <x:c r="H121" s="100" t="n">
        <x:f>'Raw T'!N115</x:f>
        <x:v>0.9558050684675156</x:v>
      </x:c>
      <x:c r="I121" t="b">
        <x:f>'Raw T'!O115</x:f>
        <x:v>1</x:v>
      </x:c>
      <x:c r="J121" s="100" t="n">
        <x:f>IF(I121,B121,"")</x:f>
        <x:v>0.008486234802744842</x:v>
      </x:c>
      <x:c r="K121" s="100" t="n">
        <x:f>IF(I121,E121,"")</x:f>
        <x:v>-0.015175464477263007</x:v>
      </x:c>
      <x:c r="L121" s="100" t="n">
        <x:f>IF(I121,G121,"")</x:f>
        <x:v>0.023661699280007848</x:v>
      </x:c>
      <x:c r="M121" s="100" t="n">
        <x:f>IF(I121,F121^2,"")</x:f>
        <x:v>0.0005598760128175239</x:v>
      </x:c>
      <x:c r="N121" s="100" t="n">
        <x:f>IF(I121,F121,"")</x:f>
        <x:v>-0.023661699280007848</x:v>
      </x:c>
      <x:c r="P121" t="n">
        <x:f>J121</x:f>
        <x:v>0.008486234802744842</x:v>
      </x:c>
      <x:c r="Q121" t="n">
        <x:f>K121</x:f>
        <x:v>-0.015175464477263007</x:v>
      </x:c>
    </x:row>
    <x:row r="122">
      <x:c r="A122" s="99" t="str">
        <x:f>'Raw T'!B116</x:f>
        <x:v>00157</x:v>
      </x:c>
      <x:c r="B122" s="100" t="n">
        <x:f>INDEX('Raw Stations'!$D$2:$D$299,MATCH(A122,'Raw Stations'!$A$2:$A$299,0))</x:f>
        <x:v>0.01668834420464577</x:v>
      </x:c>
      <x:c r="C122" s="100" t="n">
        <x:f>'Raw T'!L116</x:f>
        <x:v>-0.04518479630279158</x:v>
      </x:c>
      <x:c r="D122" s="100" t="n">
        <x:f>$B$2</x:f>
        <x:v>-0.01783376051078768</x:v>
      </x:c>
      <x:c r="E122" s="100" t="n">
        <x:f>C122-D122</x:f>
        <x:v>-0.027351035792003903</x:v>
      </x:c>
      <x:c r="F122" s="100" t="n">
        <x:f>E122-B122</x:f>
        <x:v>-0.04403937999664967</x:v>
      </x:c>
      <x:c r="G122" s="100" t="n">
        <x:f>ABS(F122)</x:f>
        <x:v>0.04403937999664967</x:v>
      </x:c>
      <x:c r="H122" s="100" t="n">
        <x:f>'Raw T'!N116</x:f>
        <x:v>0.9922588832530023</x:v>
      </x:c>
      <x:c r="I122" t="b">
        <x:f>'Raw T'!O116</x:f>
        <x:v>1</x:v>
      </x:c>
      <x:c r="J122" s="100" t="n">
        <x:f>IF(I122,B122,"")</x:f>
        <x:v>0.01668834420464577</x:v>
      </x:c>
      <x:c r="K122" s="100" t="n">
        <x:f>IF(I122,E122,"")</x:f>
        <x:v>-0.027351035792003903</x:v>
      </x:c>
      <x:c r="L122" s="100" t="n">
        <x:f>IF(I122,G122,"")</x:f>
        <x:v>0.04403937999664967</x:v>
      </x:c>
      <x:c r="M122" s="100" t="n">
        <x:f>IF(I122,F122^2,"")</x:f>
        <x:v>0.001939466990489307</x:v>
      </x:c>
      <x:c r="N122" s="100" t="n">
        <x:f>IF(I122,F122,"")</x:f>
        <x:v>-0.04403937999664967</x:v>
      </x:c>
      <x:c r="P122" t="n">
        <x:f>J122</x:f>
        <x:v>0.01668834420464577</x:v>
      </x:c>
      <x:c r="Q122" t="n">
        <x:f>K122</x:f>
        <x:v>-0.027351035792003903</x:v>
      </x:c>
    </x:row>
    <x:row r="123">
      <x:c r="A123" s="99" t="str">
        <x:f>'Raw T'!B117</x:f>
        <x:v>00158</x:v>
      </x:c>
      <x:c r="B123" s="100" t="n">
        <x:f>INDEX('Raw Stations'!$D$2:$D$299,MATCH(A123,'Raw Stations'!$A$2:$A$299,0))</x:f>
        <x:v>-0.012951444958942</x:v>
      </x:c>
      <x:c r="C123" s="100" t="n">
        <x:f>'Raw T'!L117</x:f>
        <x:v>0.04228517466826757</x:v>
      </x:c>
      <x:c r="D123" s="100" t="n">
        <x:f>$B$2</x:f>
        <x:v>-0.01783376051078768</x:v>
      </x:c>
      <x:c r="E123" s="100" t="n">
        <x:f>C123-D123</x:f>
        <x:v>0.06011893517905525</x:v>
      </x:c>
      <x:c r="F123" s="100" t="n">
        <x:f>E123-B123</x:f>
        <x:v>0.07307038013799724</x:v>
      </x:c>
      <x:c r="G123" s="100" t="n">
        <x:f>ABS(F123)</x:f>
        <x:v>0.07307038013799724</x:v>
      </x:c>
      <x:c r="H123" s="100" t="n">
        <x:f>'Raw T'!N117</x:f>
        <x:v>0.7951915663243144</x:v>
      </x:c>
      <x:c r="I123" t="b">
        <x:f>'Raw T'!O117</x:f>
        <x:v>1</x:v>
      </x:c>
      <x:c r="J123" s="100" t="n">
        <x:f>IF(I123,B123,"")</x:f>
        <x:v>-0.012951444958942</x:v>
      </x:c>
      <x:c r="K123" s="100" t="n">
        <x:f>IF(I123,E123,"")</x:f>
        <x:v>0.06011893517905525</x:v>
      </x:c>
      <x:c r="L123" s="100" t="n">
        <x:f>IF(I123,G123,"")</x:f>
        <x:v>0.07307038013799724</x:v>
      </x:c>
      <x:c r="M123" s="100" t="n">
        <x:f>IF(I123,F123^2,"")</x:f>
        <x:v>0.005339280453511422</x:v>
      </x:c>
      <x:c r="N123" s="100" t="n">
        <x:f>IF(I123,F123,"")</x:f>
        <x:v>0.07307038013799724</x:v>
      </x:c>
      <x:c r="P123" t="n">
        <x:f>J123</x:f>
        <x:v>-0.012951444958942</x:v>
      </x:c>
      <x:c r="Q123" t="n">
        <x:f>K123</x:f>
        <x:v>0.06011893517905525</x:v>
      </x:c>
    </x:row>
    <x:row r="124">
      <x:c r="A124" s="99" t="str">
        <x:f>'Raw T'!B118</x:f>
        <x:v>00160</x:v>
      </x:c>
      <x:c r="B124" s="100" t="n">
        <x:f>INDEX('Raw Stations'!$D$2:$D$299,MATCH(A124,'Raw Stations'!$A$2:$A$299,0))</x:f>
        <x:v>-0.01501962920241523</x:v>
      </x:c>
      <x:c r="C124" s="100" t="n">
        <x:f>'Raw T'!L118</x:f>
        <x:v>-0.002313699168302763</x:v>
      </x:c>
      <x:c r="D124" s="100" t="n">
        <x:f>$B$2</x:f>
        <x:v>-0.01783376051078768</x:v>
      </x:c>
      <x:c r="E124" s="100" t="n">
        <x:f>C124-D124</x:f>
        <x:v>0.015520061342484917</x:v>
      </x:c>
      <x:c r="F124" s="100" t="n">
        <x:f>E124-B124</x:f>
        <x:v>0.030539690544900147</x:v>
      </x:c>
      <x:c r="G124" s="100" t="n">
        <x:f>ABS(F124)</x:f>
        <x:v>0.030539690544900147</x:v>
      </x:c>
      <x:c r="H124" s="100" t="n">
        <x:f>'Raw T'!N118</x:f>
        <x:v>0.7028745045096533</x:v>
      </x:c>
      <x:c r="I124" t="b">
        <x:f>'Raw T'!O118</x:f>
        <x:v>1</x:v>
      </x:c>
      <x:c r="J124" s="100" t="n">
        <x:f>IF(I124,B124,"")</x:f>
        <x:v>-0.01501962920241523</x:v>
      </x:c>
      <x:c r="K124" s="100" t="n">
        <x:f>IF(I124,E124,"")</x:f>
        <x:v>0.015520061342484917</x:v>
      </x:c>
      <x:c r="L124" s="100" t="n">
        <x:f>IF(I124,G124,"")</x:f>
        <x:v>0.030539690544900147</x:v>
      </x:c>
      <x:c r="M124" s="100" t="n">
        <x:f>IF(I124,F124^2,"")</x:f>
        <x:v>0.0009326726985782634</x:v>
      </x:c>
      <x:c r="N124" s="100" t="n">
        <x:f>IF(I124,F124,"")</x:f>
        <x:v>0.030539690544900147</x:v>
      </x:c>
      <x:c r="P124" t="n">
        <x:f>J124</x:f>
        <x:v>-0.01501962920241523</x:v>
      </x:c>
      <x:c r="Q124" t="n">
        <x:f>K124</x:f>
        <x:v>0.015520061342484917</x:v>
      </x:c>
    </x:row>
    <x:row r="125">
      <x:c r="A125" s="99" t="str">
        <x:f>'Raw T'!B119</x:f>
        <x:v>00162</x:v>
      </x:c>
      <x:c r="B125" s="100" t="n">
        <x:f>INDEX('Raw Stations'!$D$2:$D$299,MATCH(A125,'Raw Stations'!$A$2:$A$299,0))</x:f>
        <x:v>-0.01164070995954073</x:v>
      </x:c>
      <x:c r="C125" s="100" t="n">
        <x:f>'Raw T'!L119</x:f>
        <x:v>-0.003106236557931692</x:v>
      </x:c>
      <x:c r="D125" s="100" t="n">
        <x:f>$B$2</x:f>
        <x:v>-0.01783376051078768</x:v>
      </x:c>
      <x:c r="E125" s="100" t="n">
        <x:f>C125-D125</x:f>
        <x:v>0.014727523952855988</x:v>
      </x:c>
      <x:c r="F125" s="100" t="n">
        <x:f>E125-B125</x:f>
        <x:v>0.02636823391239672</x:v>
      </x:c>
      <x:c r="G125" s="100" t="n">
        <x:f>ABS(F125)</x:f>
        <x:v>0.02636823391239672</x:v>
      </x:c>
      <x:c r="H125" s="100" t="n">
        <x:f>'Raw T'!N119</x:f>
        <x:v>0.8565779319536181</x:v>
      </x:c>
      <x:c r="I125" t="b">
        <x:f>'Raw T'!O119</x:f>
        <x:v>1</x:v>
      </x:c>
      <x:c r="J125" s="100" t="n">
        <x:f>IF(I125,B125,"")</x:f>
        <x:v>-0.01164070995954073</x:v>
      </x:c>
      <x:c r="K125" s="100" t="n">
        <x:f>IF(I125,E125,"")</x:f>
        <x:v>0.014727523952855988</x:v>
      </x:c>
      <x:c r="L125" s="100" t="n">
        <x:f>IF(I125,G125,"")</x:f>
        <x:v>0.02636823391239672</x:v>
      </x:c>
      <x:c r="M125" s="100" t="n">
        <x:f>IF(I125,F125^2,"")</x:f>
        <x:v>0.0006952837596588684</x:v>
      </x:c>
      <x:c r="N125" s="100" t="n">
        <x:f>IF(I125,F125,"")</x:f>
        <x:v>0.02636823391239672</x:v>
      </x:c>
      <x:c r="P125" t="n">
        <x:f>J125</x:f>
        <x:v>-0.01164070995954073</x:v>
      </x:c>
      <x:c r="Q125" t="n">
        <x:f>K125</x:f>
        <x:v>0.014727523952855988</x:v>
      </x:c>
    </x:row>
    <x:row r="126">
      <x:c r="A126" s="99" t="str">
        <x:f>'Raw T'!B120</x:f>
        <x:v>00163</x:v>
      </x:c>
      <x:c r="B126" s="100" t="n">
        <x:f>INDEX('Raw Stations'!$D$2:$D$299,MATCH(A126,'Raw Stations'!$A$2:$A$299,0))</x:f>
        <x:v>-0.005360337288270491</x:v>
      </x:c>
      <x:c r="C126" s="100" t="n">
        <x:f>'Raw T'!L120</x:f>
        <x:v>-0.003870685813807964</x:v>
      </x:c>
      <x:c r="D126" s="100" t="n">
        <x:f>$B$2</x:f>
        <x:v>-0.01783376051078768</x:v>
      </x:c>
      <x:c r="E126" s="100" t="n">
        <x:f>C126-D126</x:f>
        <x:v>0.013963074696979716</x:v>
      </x:c>
      <x:c r="F126" s="100" t="n">
        <x:f>E126-B126</x:f>
        <x:v>0.019323411985250206</x:v>
      </x:c>
      <x:c r="G126" s="100" t="n">
        <x:f>ABS(F126)</x:f>
        <x:v>0.019323411985250206</x:v>
      </x:c>
      <x:c r="H126" s="100" t="n">
        <x:f>'Raw T'!N120</x:f>
        <x:v>0.9572584971381223</x:v>
      </x:c>
      <x:c r="I126" t="b">
        <x:f>'Raw T'!O120</x:f>
        <x:v>1</x:v>
      </x:c>
      <x:c r="J126" s="100" t="n">
        <x:f>IF(I126,B126,"")</x:f>
        <x:v>-0.005360337288270491</x:v>
      </x:c>
      <x:c r="K126" s="100" t="n">
        <x:f>IF(I126,E126,"")</x:f>
        <x:v>0.013963074696979716</x:v>
      </x:c>
      <x:c r="L126" s="100" t="n">
        <x:f>IF(I126,G126,"")</x:f>
        <x:v>0.019323411985250206</x:v>
      </x:c>
      <x:c r="M126" s="100" t="n">
        <x:f>IF(I126,F126^2,"")</x:f>
        <x:v>0.0003733942507517113</x:v>
      </x:c>
      <x:c r="N126" s="100" t="n">
        <x:f>IF(I126,F126,"")</x:f>
        <x:v>0.019323411985250206</x:v>
      </x:c>
      <x:c r="P126" t="n">
        <x:f>J126</x:f>
        <x:v>-0.005360337288270491</x:v>
      </x:c>
      <x:c r="Q126" t="n">
        <x:f>K126</x:f>
        <x:v>0.013963074696979716</x:v>
      </x:c>
    </x:row>
    <x:row r="127">
      <x:c r="A127" s="99" t="str">
        <x:f>'Raw T'!B121</x:f>
        <x:v>00164</x:v>
      </x:c>
      <x:c r="B127" s="100" t="n">
        <x:f>INDEX('Raw Stations'!$D$2:$D$299,MATCH(A127,'Raw Stations'!$A$2:$A$299,0))</x:f>
        <x:v>0.009066754401085238</x:v>
      </x:c>
      <x:c r="C127" s="100" t="n">
        <x:f>'Raw T'!L121</x:f>
        <x:v>-0.0007567815079631834</x:v>
      </x:c>
      <x:c r="D127" s="100" t="n">
        <x:f>$B$2</x:f>
        <x:v>-0.01783376051078768</x:v>
      </x:c>
      <x:c r="E127" s="100" t="n">
        <x:f>C127-D127</x:f>
        <x:v>0.017076979002824497</x:v>
      </x:c>
      <x:c r="F127" s="100" t="n">
        <x:f>E127-B127</x:f>
        <x:v>0.008010224601739259</x:v>
      </x:c>
      <x:c r="G127" s="100" t="n">
        <x:f>ABS(F127)</x:f>
        <x:v>0.008010224601739259</x:v>
      </x:c>
      <x:c r="H127" s="100" t="n">
        <x:f>'Raw T'!N121</x:f>
        <x:v>0.9488334041913383</x:v>
      </x:c>
      <x:c r="I127" t="b">
        <x:f>'Raw T'!O121</x:f>
        <x:v>1</x:v>
      </x:c>
      <x:c r="J127" s="100" t="n">
        <x:f>IF(I127,B127,"")</x:f>
        <x:v>0.009066754401085238</x:v>
      </x:c>
      <x:c r="K127" s="100" t="n">
        <x:f>IF(I127,E127,"")</x:f>
        <x:v>0.017076979002824497</x:v>
      </x:c>
      <x:c r="L127" s="100" t="n">
        <x:f>IF(I127,G127,"")</x:f>
        <x:v>0.008010224601739259</x:v>
      </x:c>
      <x:c r="M127" s="100" t="n">
        <x:f>IF(I127,F127^2,"")</x:f>
        <x:v>0.00006416369817030887</x:v>
      </x:c>
      <x:c r="N127" s="100" t="n">
        <x:f>IF(I127,F127,"")</x:f>
        <x:v>0.008010224601739259</x:v>
      </x:c>
      <x:c r="P127" t="n">
        <x:f>J127</x:f>
        <x:v>0.009066754401085238</x:v>
      </x:c>
      <x:c r="Q127" t="n">
        <x:f>K127</x:f>
        <x:v>0.017076979002824497</x:v>
      </x:c>
    </x:row>
    <x:row r="128">
      <x:c r="A128" s="99" t="str">
        <x:f>'Raw T'!B122</x:f>
        <x:v>00165</x:v>
      </x:c>
      <x:c r="B128" s="100" t="n">
        <x:f>INDEX('Raw Stations'!$D$2:$D$299,MATCH(A128,'Raw Stations'!$A$2:$A$299,0))</x:f>
        <x:v>0.01762817250118931</x:v>
      </x:c>
      <x:c r="C128" s="100" t="n">
        <x:f>'Raw T'!L122</x:f>
        <x:v>0.004864792128398868</x:v>
      </x:c>
      <x:c r="D128" s="100" t="n">
        <x:f>$B$2</x:f>
        <x:v>-0.01783376051078768</x:v>
      </x:c>
      <x:c r="E128" s="100" t="n">
        <x:f>C128-D128</x:f>
        <x:v>0.022698552639186548</x:v>
      </x:c>
      <x:c r="F128" s="100" t="n">
        <x:f>E128-B128</x:f>
        <x:v>0.005070380137997238</x:v>
      </x:c>
      <x:c r="G128" s="100" t="n">
        <x:f>ABS(F128)</x:f>
        <x:v>0.005070380137997238</x:v>
      </x:c>
      <x:c r="H128" s="100" t="n">
        <x:f>'Raw T'!N122</x:f>
        <x:v>0.9327956717643842</x:v>
      </x:c>
      <x:c r="I128" t="b">
        <x:f>'Raw T'!O122</x:f>
        <x:v>1</x:v>
      </x:c>
      <x:c r="J128" s="100" t="n">
        <x:f>IF(I128,B128,"")</x:f>
        <x:v>0.01762817250118931</x:v>
      </x:c>
      <x:c r="K128" s="100" t="n">
        <x:f>IF(I128,E128,"")</x:f>
        <x:v>0.022698552639186548</x:v>
      </x:c>
      <x:c r="L128" s="100" t="n">
        <x:f>IF(I128,G128,"")</x:f>
        <x:v>0.005070380137997238</x:v>
      </x:c>
      <x:c r="M128" s="100" t="n">
        <x:f>IF(I128,F128^2,"")</x:f>
        <x:v>0.00002570875474379689</x:v>
      </x:c>
      <x:c r="N128" s="100" t="n">
        <x:f>IF(I128,F128,"")</x:f>
        <x:v>0.005070380137997238</x:v>
      </x:c>
      <x:c r="P128" t="n">
        <x:f>J128</x:f>
        <x:v>0.01762817250118931</x:v>
      </x:c>
      <x:c r="Q128" t="n">
        <x:f>K128</x:f>
        <x:v>0.022698552639186548</x:v>
      </x:c>
    </x:row>
    <x:row r="129">
      <x:c r="A129" s="99" t="str">
        <x:f>'Raw T'!B123</x:f>
        <x:v>00166</x:v>
      </x:c>
      <x:c r="B129" s="100" t="n">
        <x:f>INDEX('Raw Stations'!$D$2:$D$299,MATCH(A129,'Raw Stations'!$A$2:$A$299,0))</x:f>
        <x:v>0.009613964970582822</x:v>
      </x:c>
      <x:c r="C129" s="100" t="n">
        <x:f>'Raw T'!L123</x:f>
        <x:v>-0.006844578672757323</x:v>
      </x:c>
      <x:c r="D129" s="100" t="n">
        <x:f>$B$2</x:f>
        <x:v>-0.01783376051078768</x:v>
      </x:c>
      <x:c r="E129" s="100" t="n">
        <x:f>C129-D129</x:f>
        <x:v>0.010989181838030358</x:v>
      </x:c>
      <x:c r="F129" s="100" t="n">
        <x:f>E129-B129</x:f>
        <x:v>0.001375216867447536</x:v>
      </x:c>
      <x:c r="G129" s="100" t="n">
        <x:f>ABS(F129)</x:f>
        <x:v>0.001375216867447536</x:v>
      </x:c>
      <x:c r="H129" s="100" t="n">
        <x:f>'Raw T'!N123</x:f>
        <x:v>0.9881931748172942</x:v>
      </x:c>
      <x:c r="I129" t="b">
        <x:f>'Raw T'!O123</x:f>
        <x:v>1</x:v>
      </x:c>
      <x:c r="J129" s="100" t="n">
        <x:f>IF(I129,B129,"")</x:f>
        <x:v>0.009613964970582822</x:v>
      </x:c>
      <x:c r="K129" s="100" t="n">
        <x:f>IF(I129,E129,"")</x:f>
        <x:v>0.010989181838030358</x:v>
      </x:c>
      <x:c r="L129" s="100" t="n">
        <x:f>IF(I129,G129,"")</x:f>
        <x:v>0.001375216867447536</x:v>
      </x:c>
      <x:c r="M129" s="100" t="n">
        <x:f>IF(I129,F129^2,"")</x:f>
        <x:v>0.0000018912214325122138</x:v>
      </x:c>
      <x:c r="N129" s="100" t="n">
        <x:f>IF(I129,F129,"")</x:f>
        <x:v>0.001375216867447536</x:v>
      </x:c>
      <x:c r="P129" t="n">
        <x:f>J129</x:f>
        <x:v>0.009613964970582822</x:v>
      </x:c>
      <x:c r="Q129" t="n">
        <x:f>K129</x:f>
        <x:v>0.010989181838030358</x:v>
      </x:c>
    </x:row>
    <x:row r="130">
      <x:c r="A130" s="99" t="str">
        <x:f>'Raw T'!B124</x:f>
        <x:v>00167</x:v>
      </x:c>
      <x:c r="B130" s="100" t="n">
        <x:f>INDEX('Raw Stations'!$D$2:$D$299,MATCH(A130,'Raw Stations'!$A$2:$A$299,0))</x:f>
        <x:v>0.008180611803975802</x:v>
      </x:c>
      <x:c r="C130" s="100" t="n">
        <x:f>'Raw T'!L124</x:f>
        <x:v>-0.01528491479441517</x:v>
      </x:c>
      <x:c r="D130" s="100" t="n">
        <x:f>$B$2</x:f>
        <x:v>-0.01783376051078768</x:v>
      </x:c>
      <x:c r="E130" s="100" t="n">
        <x:f>C130-D130</x:f>
        <x:v>0.002548845716372511</x:v>
      </x:c>
      <x:c r="F130" s="100" t="n">
        <x:f>E130-B130</x:f>
        <x:v>-0.005631766087603291</x:v>
      </x:c>
      <x:c r="G130" s="100" t="n">
        <x:f>ABS(F130)</x:f>
        <x:v>0.005631766087603291</x:v>
      </x:c>
      <x:c r="H130" s="100" t="n">
        <x:f>'Raw T'!N124</x:f>
        <x:v>0.9667364164284545</x:v>
      </x:c>
      <x:c r="I130" t="b">
        <x:f>'Raw T'!O124</x:f>
        <x:v>1</x:v>
      </x:c>
      <x:c r="J130" s="100" t="n">
        <x:f>IF(I130,B130,"")</x:f>
        <x:v>0.008180611803975802</x:v>
      </x:c>
      <x:c r="K130" s="100" t="n">
        <x:f>IF(I130,E130,"")</x:f>
        <x:v>0.002548845716372511</x:v>
      </x:c>
      <x:c r="L130" s="100" t="n">
        <x:f>IF(I130,G130,"")</x:f>
        <x:v>0.005631766087603291</x:v>
      </x:c>
      <x:c r="M130" s="100" t="n">
        <x:f>IF(I130,F130^2,"")</x:f>
        <x:v>0.00003171678926547848</x:v>
      </x:c>
      <x:c r="N130" s="100" t="n">
        <x:f>IF(I130,F130,"")</x:f>
        <x:v>-0.005631766087603291</x:v>
      </x:c>
      <x:c r="P130" t="n">
        <x:f>J130</x:f>
        <x:v>0.008180611803975802</x:v>
      </x:c>
      <x:c r="Q130" t="n">
        <x:f>K130</x:f>
        <x:v>0.002548845716372511</x:v>
      </x:c>
    </x:row>
    <x:row r="131">
      <x:c r="A131" s="99" t="str">
        <x:f>'Raw T'!B125</x:f>
        <x:v>00168</x:v>
      </x:c>
      <x:c r="B131" s="100" t="n">
        <x:f>INDEX('Raw Stations'!$D$2:$D$299,MATCH(A131,'Raw Stations'!$A$2:$A$299,0))</x:f>
        <x:v>0.008587878213091081</x:v>
      </x:c>
      <x:c r="C131" s="100" t="n">
        <x:f>'Raw T'!L125</x:f>
        <x:v>-0.0141635182655606</x:v>
      </x:c>
      <x:c r="D131" s="100" t="n">
        <x:f>$B$2</x:f>
        <x:v>-0.01783376051078768</x:v>
      </x:c>
      <x:c r="E131" s="100" t="n">
        <x:f>C131-D131</x:f>
        <x:v>0.0036702422452270806</x:v>
      </x:c>
      <x:c r="F131" s="100" t="n">
        <x:f>E131-B131</x:f>
        <x:v>-0.004917635967864001</x:v>
      </x:c>
      <x:c r="G131" s="100" t="n">
        <x:f>ABS(F131)</x:f>
        <x:v>0.004917635967864001</x:v>
      </x:c>
      <x:c r="H131" s="100" t="n">
        <x:f>'Raw T'!N125</x:f>
        <x:v>0.9675710281693791</x:v>
      </x:c>
      <x:c r="I131" t="b">
        <x:f>'Raw T'!O125</x:f>
        <x:v>1</x:v>
      </x:c>
      <x:c r="J131" s="100" t="n">
        <x:f>IF(I131,B131,"")</x:f>
        <x:v>0.008587878213091081</x:v>
      </x:c>
      <x:c r="K131" s="100" t="n">
        <x:f>IF(I131,E131,"")</x:f>
        <x:v>0.0036702422452270806</x:v>
      </x:c>
      <x:c r="L131" s="100" t="n">
        <x:f>IF(I131,G131,"")</x:f>
        <x:v>0.004917635967864001</x:v>
      </x:c>
      <x:c r="M131" s="100" t="n">
        <x:f>IF(I131,F131^2,"")</x:f>
        <x:v>0.00002418314351242971</x:v>
      </x:c>
      <x:c r="N131" s="100" t="n">
        <x:f>IF(I131,F131,"")</x:f>
        <x:v>-0.004917635967864001</x:v>
      </x:c>
      <x:c r="P131" t="n">
        <x:f>J131</x:f>
        <x:v>0.008587878213091081</x:v>
      </x:c>
      <x:c r="Q131" t="n">
        <x:f>K131</x:f>
        <x:v>0.0036702422452270806</x:v>
      </x:c>
    </x:row>
    <x:row r="132">
      <x:c r="A132" s="99" t="str">
        <x:f>'Raw T'!B126</x:f>
        <x:v>00169</x:v>
      </x:c>
      <x:c r="B132" s="100" t="n">
        <x:f>INDEX('Raw Stations'!$D$2:$D$299,MATCH(A132,'Raw Stations'!$A$2:$A$299,0))</x:f>
        <x:v>0.01140518142590066</x:v>
      </x:c>
      <x:c r="C132" s="100" t="n">
        <x:f>'Raw T'!L126</x:f>
        <x:v>-0.01441835448314777</x:v>
      </x:c>
      <x:c r="D132" s="100" t="n">
        <x:f>$B$2</x:f>
        <x:v>-0.01783376051078768</x:v>
      </x:c>
      <x:c r="E132" s="100" t="n">
        <x:f>C132-D132</x:f>
        <x:v>0.0034154060276399105</x:v>
      </x:c>
      <x:c r="F132" s="100" t="n">
        <x:f>E132-B132</x:f>
        <x:v>-0.00798977539826075</x:v>
      </x:c>
      <x:c r="G132" s="100" t="n">
        <x:f>ABS(F132)</x:f>
        <x:v>0.00798977539826075</x:v>
      </x:c>
      <x:c r="H132" s="100" t="n">
        <x:f>'Raw T'!N126</x:f>
        <x:v>0.9615382304346115</x:v>
      </x:c>
      <x:c r="I132" t="b">
        <x:f>'Raw T'!O126</x:f>
        <x:v>1</x:v>
      </x:c>
      <x:c r="J132" s="100" t="n">
        <x:f>IF(I132,B132,"")</x:f>
        <x:v>0.01140518142590066</x:v>
      </x:c>
      <x:c r="K132" s="100" t="n">
        <x:f>IF(I132,E132,"")</x:f>
        <x:v>0.0034154060276399105</x:v>
      </x:c>
      <x:c r="L132" s="100" t="n">
        <x:f>IF(I132,G132,"")</x:f>
        <x:v>0.00798977539826075</x:v>
      </x:c>
      <x:c r="M132" s="100" t="n">
        <x:f>IF(I132,F132^2,"")</x:f>
        <x:v>0.00006383651091465272</x:v>
      </x:c>
      <x:c r="N132" s="100" t="n">
        <x:f>IF(I132,F132,"")</x:f>
        <x:v>-0.00798977539826075</x:v>
      </x:c>
      <x:c r="P132" t="n">
        <x:f>J132</x:f>
        <x:v>0.01140518142590066</x:v>
      </x:c>
      <x:c r="Q132" t="n">
        <x:f>K132</x:f>
        <x:v>0.0034154060276399105</x:v>
      </x:c>
    </x:row>
    <x:row r="133">
      <x:c r="A133" s="99" t="str">
        <x:f>'Raw T'!B127</x:f>
        <x:v>00170</x:v>
      </x:c>
      <x:c r="B133" s="100" t="n">
        <x:f>INDEX('Raw Stations'!$D$2:$D$299,MATCH(A133,'Raw Stations'!$A$2:$A$299,0))</x:f>
        <x:v>0.02580311407847424</x:v>
      </x:c>
      <x:c r="C133" s="100" t="n">
        <x:f>'Raw T'!L127</x:f>
        <x:v>-0.01202042183057418</x:v>
      </x:c>
      <x:c r="D133" s="100" t="n">
        <x:f>$B$2</x:f>
        <x:v>-0.01783376051078768</x:v>
      </x:c>
      <x:c r="E133" s="100" t="n">
        <x:f>C133-D133</x:f>
        <x:v>0.0058133386802135</x:v>
      </x:c>
      <x:c r="F133" s="100" t="n">
        <x:f>E133-B133</x:f>
        <x:v>-0.019989775398260738</x:v>
      </x:c>
      <x:c r="G133" s="100" t="n">
        <x:f>ABS(F133)</x:f>
        <x:v>0.019989775398260738</x:v>
      </x:c>
      <x:c r="H133" s="100" t="n">
        <x:f>'Raw T'!N127</x:f>
        <x:v>0.930340067845468</x:v>
      </x:c>
      <x:c r="I133" t="b">
        <x:f>'Raw T'!O127</x:f>
        <x:v>1</x:v>
      </x:c>
      <x:c r="J133" s="100" t="n">
        <x:f>IF(I133,B133,"")</x:f>
        <x:v>0.02580311407847424</x:v>
      </x:c>
      <x:c r="K133" s="100" t="n">
        <x:f>IF(I133,E133,"")</x:f>
        <x:v>0.0058133386802135</x:v>
      </x:c>
      <x:c r="L133" s="100" t="n">
        <x:f>IF(I133,G133,"")</x:f>
        <x:v>0.019989775398260738</x:v>
      </x:c>
      <x:c r="M133" s="100" t="n">
        <x:f>IF(I133,F133^2,"")</x:f>
        <x:v>0.00039959112047291027</x:v>
      </x:c>
      <x:c r="N133" s="100" t="n">
        <x:f>IF(I133,F133,"")</x:f>
        <x:v>-0.019989775398260738</x:v>
      </x:c>
      <x:c r="P133" t="n">
        <x:f>J133</x:f>
        <x:v>0.02580311407847424</x:v>
      </x:c>
      <x:c r="Q133" t="n">
        <x:f>K133</x:f>
        <x:v>0.0058133386802135</x:v>
      </x:c>
    </x:row>
    <x:row r="134">
      <x:c r="A134" s="99" t="str">
        <x:f>'Raw T'!B128</x:f>
        <x:v>00172</x:v>
      </x:c>
      <x:c r="B134" s="100" t="n">
        <x:f>INDEX('Raw Stations'!$D$2:$D$299,MATCH(A134,'Raw Stations'!$A$2:$A$299,0))</x:f>
        <x:v>0.01661207426215918</x:v>
      </x:c>
      <x:c r="C134" s="100" t="n">
        <x:f>'Raw T'!L128</x:f>
        <x:v>-0.03090657160765087</x:v>
      </x:c>
      <x:c r="D134" s="100" t="n">
        <x:f>$B$2</x:f>
        <x:v>-0.01783376051078768</x:v>
      </x:c>
      <x:c r="E134" s="100" t="n">
        <x:f>C134-D134</x:f>
        <x:v>-0.013072811096863191</x:v>
      </x:c>
      <x:c r="F134" s="100" t="n">
        <x:f>E134-B134</x:f>
        <x:v>-0.029684885359022372</x:v>
      </x:c>
      <x:c r="G134" s="100" t="n">
        <x:f>ABS(F134)</x:f>
        <x:v>0.029684885359022372</x:v>
      </x:c>
      <x:c r="H134" s="100" t="n">
        <x:f>'Raw T'!N128</x:f>
        <x:v>0.9832416551064478</x:v>
      </x:c>
      <x:c r="I134" t="b">
        <x:f>'Raw T'!O128</x:f>
        <x:v>1</x:v>
      </x:c>
      <x:c r="J134" s="100" t="n">
        <x:f>IF(I134,B134,"")</x:f>
        <x:v>0.01661207426215918</x:v>
      </x:c>
      <x:c r="K134" s="100" t="n">
        <x:f>IF(I134,E134,"")</x:f>
        <x:v>-0.013072811096863191</x:v>
      </x:c>
      <x:c r="L134" s="100" t="n">
        <x:f>IF(I134,G134,"")</x:f>
        <x:v>0.029684885359022372</x:v>
      </x:c>
      <x:c r="M134" s="100" t="n">
        <x:f>IF(I134,F134^2,"")</x:f>
        <x:v>0.0008811924187783008</x:v>
      </x:c>
      <x:c r="N134" s="100" t="n">
        <x:f>IF(I134,F134,"")</x:f>
        <x:v>-0.029684885359022372</x:v>
      </x:c>
      <x:c r="P134" t="n">
        <x:f>J134</x:f>
        <x:v>0.01661207426215918</x:v>
      </x:c>
      <x:c r="Q134" t="n">
        <x:f>K134</x:f>
        <x:v>-0.013072811096863191</x:v>
      </x:c>
    </x:row>
    <x:row r="135">
      <x:c r="A135" s="99" t="str">
        <x:f>'Raw T'!B129</x:f>
        <x:v>00173</x:v>
      </x:c>
      <x:c r="B135" s="100" t="n">
        <x:f>INDEX('Raw Stations'!$D$2:$D$299,MATCH(A135,'Raw Stations'!$A$2:$A$299,0))</x:f>
        <x:v>0.001890886602348679</x:v>
      </x:c>
      <x:c r="C135" s="100" t="n">
        <x:f>'Raw T'!L129</x:f>
        <x:v>-0.0376667120402563</x:v>
      </x:c>
      <x:c r="D135" s="100" t="n">
        <x:f>$B$2</x:f>
        <x:v>-0.01783376051078768</x:v>
      </x:c>
      <x:c r="E135" s="100" t="n">
        <x:f>C135-D135</x:f>
        <x:v>-0.019832951529468623</x:v>
      </x:c>
      <x:c r="F135" s="100" t="n">
        <x:f>E135-B135</x:f>
        <x:v>-0.021723838131817302</x:v>
      </x:c>
      <x:c r="G135" s="100" t="n">
        <x:f>ABS(F135)</x:f>
        <x:v>0.021723838131817302</x:v>
      </x:c>
      <x:c r="H135" s="100" t="n">
        <x:f>'Raw T'!N129</x:f>
        <x:v>0.9948466367058083</x:v>
      </x:c>
      <x:c r="I135" t="b">
        <x:f>'Raw T'!O129</x:f>
        <x:v>1</x:v>
      </x:c>
      <x:c r="J135" s="100" t="n">
        <x:f>IF(I135,B135,"")</x:f>
        <x:v>0.001890886602348679</x:v>
      </x:c>
      <x:c r="K135" s="100" t="n">
        <x:f>IF(I135,E135,"")</x:f>
        <x:v>-0.019832951529468623</x:v>
      </x:c>
      <x:c r="L135" s="100" t="n">
        <x:f>IF(I135,G135,"")</x:f>
        <x:v>0.021723838131817302</x:v>
      </x:c>
      <x:c r="M135" s="100" t="n">
        <x:f>IF(I135,F135^2,"")</x:f>
        <x:v>0.00047192514317739945</x:v>
      </x:c>
      <x:c r="N135" s="100" t="n">
        <x:f>IF(I135,F135,"")</x:f>
        <x:v>-0.021723838131817302</x:v>
      </x:c>
      <x:c r="P135" t="n">
        <x:f>J135</x:f>
        <x:v>0.001890886602348679</x:v>
      </x:c>
      <x:c r="Q135" t="n">
        <x:f>K135</x:f>
        <x:v>-0.019832951529468623</x:v>
      </x:c>
    </x:row>
    <x:row r="136">
      <x:c r="A136" s="99" t="str">
        <x:f>'Raw T'!B130</x:f>
        <x:v>00174</x:v>
      </x:c>
      <x:c r="B136" s="100" t="n">
        <x:f>INDEX('Raw Stations'!$D$2:$D$299,MATCH(A136,'Raw Stations'!$A$2:$A$299,0))</x:f>
        <x:v>-0.01099566257145661</x:v>
      </x:c>
      <x:c r="C136" s="100" t="n">
        <x:f>'Raw T'!L130</x:f>
        <x:v>0.04445382869132476</x:v>
      </x:c>
      <x:c r="D136" s="100" t="n">
        <x:f>$B$2</x:f>
        <x:v>-0.01783376051078768</x:v>
      </x:c>
      <x:c r="E136" s="100" t="n">
        <x:f>C136-D136</x:f>
        <x:v>0.06228758920211244</x:v>
      </x:c>
      <x:c r="F136" s="100" t="n">
        <x:f>E136-B136</x:f>
        <x:v>0.07328325177356905</x:v>
      </x:c>
      <x:c r="G136" s="100" t="n">
        <x:f>ABS(F136)</x:f>
        <x:v>0.07328325177356905</x:v>
      </x:c>
      <x:c r="H136" s="100" t="n">
        <x:f>'Raw T'!N130</x:f>
        <x:v>0.6914222697923318</x:v>
      </x:c>
      <x:c r="I136" t="b">
        <x:f>'Raw T'!O130</x:f>
        <x:v>1</x:v>
      </x:c>
      <x:c r="J136" s="100" t="n">
        <x:f>IF(I136,B136,"")</x:f>
        <x:v>-0.01099566257145661</x:v>
      </x:c>
      <x:c r="K136" s="100" t="n">
        <x:f>IF(I136,E136,"")</x:f>
        <x:v>0.06228758920211244</x:v>
      </x:c>
      <x:c r="L136" s="100" t="n">
        <x:f>IF(I136,G136,"")</x:f>
        <x:v>0.07328325177356905</x:v>
      </x:c>
      <x:c r="M136" s="100" t="n">
        <x:f>IF(I136,F136^2,"")</x:f>
        <x:v>0.005370434990508311</x:v>
      </x:c>
      <x:c r="N136" s="100" t="n">
        <x:f>IF(I136,F136,"")</x:f>
        <x:v>0.07328325177356905</x:v>
      </x:c>
      <x:c r="P136" t="n">
        <x:f>J136</x:f>
        <x:v>-0.01099566257145661</x:v>
      </x:c>
      <x:c r="Q136" t="n">
        <x:f>K136</x:f>
        <x:v>0.06228758920211244</x:v>
      </x:c>
    </x:row>
    <x:row r="137">
      <x:c r="A137" s="99" t="str">
        <x:f>'Raw T'!B131</x:f>
        <x:v>00175</x:v>
      </x:c>
      <x:c r="B137" s="100" t="n">
        <x:f>INDEX('Raw Stations'!$D$2:$D$299,MATCH(A137,'Raw Stations'!$A$2:$A$299,0))</x:f>
        <x:v>0.03054522035927432</x:v>
      </x:c>
      <x:c r="C137" s="100" t="n">
        <x:f>'Raw T'!L131</x:f>
        <x:v>-0.007327920148163032</x:v>
      </x:c>
      <x:c r="D137" s="100" t="n">
        <x:f>$B$2</x:f>
        <x:v>-0.01783376051078768</x:v>
      </x:c>
      <x:c r="E137" s="100" t="n">
        <x:f>C137-D137</x:f>
        <x:v>0.010505840362624648</x:v>
      </x:c>
      <x:c r="F137" s="100" t="n">
        <x:f>E137-B137</x:f>
        <x:v>-0.020039379996649672</x:v>
      </x:c>
      <x:c r="G137" s="100" t="n">
        <x:f>ABS(F137)</x:f>
        <x:v>0.020039379996649672</x:v>
      </x:c>
      <x:c r="H137" s="100" t="n">
        <x:f>'Raw T'!N131</x:f>
        <x:v>0.5132107003211788</x:v>
      </x:c>
      <x:c r="I137" t="b">
        <x:f>'Raw T'!O131</x:f>
        <x:v>0</x:v>
      </x:c>
      <x:c r="J137" s="100" t="str">
        <x:f>IF(I137,B137,"")</x:f>
      </x:c>
      <x:c r="K137" s="100" t="str">
        <x:f>IF(I137,E137,"")</x:f>
      </x:c>
      <x:c r="L137" s="100" t="str">
        <x:f>IF(I137,G137,"")</x:f>
      </x:c>
      <x:c r="M137" s="100" t="str">
        <x:f>IF(I137,F137^2,"")</x:f>
      </x:c>
      <x:c r="N137" s="100" t="str">
        <x:f>IF(I137,F137,"")</x:f>
      </x:c>
      <x:c r="P137" t="str">
        <x:f>J137</x:f>
      </x:c>
      <x:c r="Q137" t="str">
        <x:f>K137</x:f>
      </x:c>
    </x:row>
    <x:row r="138">
      <x:c r="A138" s="99" t="str">
        <x:f>'Raw T'!B132</x:f>
        <x:v>00176</x:v>
      </x:c>
      <x:c r="B138" s="100" t="n">
        <x:f>INDEX('Raw Stations'!$D$2:$D$299,MATCH(A138,'Raw Stations'!$A$2:$A$299,0))</x:f>
        <x:v>-0.01182894483360597</x:v>
      </x:c>
      <x:c r="C138" s="100" t="n">
        <x:f>'Raw T'!L132</x:f>
        <x:v>-0.004287488476946114</x:v>
      </x:c>
      <x:c r="D138" s="100" t="n">
        <x:f>$B$2</x:f>
        <x:v>-0.01783376051078768</x:v>
      </x:c>
      <x:c r="E138" s="100" t="n">
        <x:f>C138-D138</x:f>
        <x:v>0.013546272033841567</x:v>
      </x:c>
      <x:c r="F138" s="100" t="n">
        <x:f>E138-B138</x:f>
        <x:v>0.025375216867447536</x:v>
      </x:c>
      <x:c r="G138" s="100" t="n">
        <x:f>ABS(F138)</x:f>
        <x:v>0.025375216867447536</x:v>
      </x:c>
      <x:c r="H138" s="100" t="n">
        <x:f>'Raw T'!N132</x:f>
        <x:v>0.7248063123417238</x:v>
      </x:c>
      <x:c r="I138" t="b">
        <x:f>'Raw T'!O132</x:f>
        <x:v>1</x:v>
      </x:c>
      <x:c r="J138" s="100" t="n">
        <x:f>IF(I138,B138,"")</x:f>
        <x:v>-0.01182894483360597</x:v>
      </x:c>
      <x:c r="K138" s="100" t="n">
        <x:f>IF(I138,E138,"")</x:f>
        <x:v>0.013546272033841567</x:v>
      </x:c>
      <x:c r="L138" s="100" t="n">
        <x:f>IF(I138,G138,"")</x:f>
        <x:v>0.025375216867447536</x:v>
      </x:c>
      <x:c r="M138" s="100" t="n">
        <x:f>IF(I138,F138^2,"")</x:f>
        <x:v>0.000643901631069994</x:v>
      </x:c>
      <x:c r="N138" s="100" t="n">
        <x:f>IF(I138,F138,"")</x:f>
        <x:v>0.025375216867447536</x:v>
      </x:c>
      <x:c r="P138" t="n">
        <x:f>J138</x:f>
        <x:v>-0.01182894483360597</x:v>
      </x:c>
      <x:c r="Q138" t="n">
        <x:f>K138</x:f>
        <x:v>0.013546272033841567</x:v>
      </x:c>
    </x:row>
    <x:row r="139">
      <x:c r="A139" s="99" t="str">
        <x:f>'Raw T'!B133</x:f>
        <x:v>00177</x:v>
      </x:c>
      <x:c r="B139" s="100" t="n">
        <x:f>INDEX('Raw Stations'!$D$2:$D$299,MATCH(A139,'Raw Stations'!$A$2:$A$299,0))</x:f>
        <x:v>-0.01351927101027975</x:v>
      </x:c>
      <x:c r="C139" s="100" t="n">
        <x:f>'Raw T'!L133</x:f>
        <x:v>-0.003342806919328166</x:v>
      </x:c>
      <x:c r="D139" s="100" t="n">
        <x:f>$B$2</x:f>
        <x:v>-0.01783376051078768</x:v>
      </x:c>
      <x:c r="E139" s="100" t="n">
        <x:f>C139-D139</x:f>
        <x:v>0.014490953591459514</x:v>
      </x:c>
      <x:c r="F139" s="100" t="n">
        <x:f>E139-B139</x:f>
        <x:v>0.028010224601739263</x:v>
      </x:c>
      <x:c r="G139" s="100" t="n">
        <x:f>ABS(F139)</x:f>
        <x:v>0.028010224601739263</x:v>
      </x:c>
      <x:c r="H139" s="100" t="n">
        <x:f>'Raw T'!N133</x:f>
        <x:v>0.8897327998167894</x:v>
      </x:c>
      <x:c r="I139" t="b">
        <x:f>'Raw T'!O133</x:f>
        <x:v>1</x:v>
      </x:c>
      <x:c r="J139" s="100" t="n">
        <x:f>IF(I139,B139,"")</x:f>
        <x:v>-0.01351927101027975</x:v>
      </x:c>
      <x:c r="K139" s="100" t="n">
        <x:f>IF(I139,E139,"")</x:f>
        <x:v>0.014490953591459514</x:v>
      </x:c>
      <x:c r="L139" s="100" t="n">
        <x:f>IF(I139,G139,"")</x:f>
        <x:v>0.028010224601739263</x:v>
      </x:c>
      <x:c r="M139" s="100" t="n">
        <x:f>IF(I139,F139^2,"")</x:f>
        <x:v>0.0007845726822398795</x:v>
      </x:c>
      <x:c r="N139" s="100" t="n">
        <x:f>IF(I139,F139,"")</x:f>
        <x:v>0.028010224601739263</x:v>
      </x:c>
      <x:c r="P139" t="n">
        <x:f>J139</x:f>
        <x:v>-0.01351927101027975</x:v>
      </x:c>
      <x:c r="Q139" t="n">
        <x:f>K139</x:f>
        <x:v>0.014490953591459514</x:v>
      </x:c>
    </x:row>
    <x:row r="140">
      <x:c r="A140" s="99" t="str">
        <x:f>'Raw T'!B134</x:f>
        <x:v>00178</x:v>
      </x:c>
      <x:c r="B140" s="100" t="n">
        <x:f>INDEX('Raw Stations'!$D$2:$D$299,MATCH(A140,'Raw Stations'!$A$2:$A$299,0))</x:f>
        <x:v>-0.016410237551615</x:v>
      </x:c>
      <x:c r="C140" s="100" t="n">
        <x:f>'Raw T'!L134</x:f>
        <x:v>-0.01595332730293905</x:v>
      </x:c>
      <x:c r="D140" s="100" t="n">
        <x:f>$B$2</x:f>
        <x:v>-0.01783376051078768</x:v>
      </x:c>
      <x:c r="E140" s="100" t="n">
        <x:f>C140-D140</x:f>
        <x:v>0.0018804332078486315</x:v>
      </x:c>
      <x:c r="F140" s="100" t="n">
        <x:f>E140-B140</x:f>
        <x:v>0.018290670759463633</x:v>
      </x:c>
      <x:c r="G140" s="100" t="n">
        <x:f>ABS(F140)</x:f>
        <x:v>0.018290670759463633</x:v>
      </x:c>
      <x:c r="H140" s="100" t="n">
        <x:f>'Raw T'!N134</x:f>
        <x:v>0.8831467505820535</x:v>
      </x:c>
      <x:c r="I140" t="b">
        <x:f>'Raw T'!O134</x:f>
        <x:v>1</x:v>
      </x:c>
      <x:c r="J140" s="100" t="n">
        <x:f>IF(I140,B140,"")</x:f>
        <x:v>-0.016410237551615</x:v>
      </x:c>
      <x:c r="K140" s="100" t="n">
        <x:f>IF(I140,E140,"")</x:f>
        <x:v>0.0018804332078486315</x:v>
      </x:c>
      <x:c r="L140" s="100" t="n">
        <x:f>IF(I140,G140,"")</x:f>
        <x:v>0.018290670759463633</x:v>
      </x:c>
      <x:c r="M140" s="100" t="n">
        <x:f>IF(I140,F140^2,"")</x:f>
        <x:v>0.00033454863683109794</x:v>
      </x:c>
      <x:c r="N140" s="100" t="n">
        <x:f>IF(I140,F140,"")</x:f>
        <x:v>0.018290670759463633</x:v>
      </x:c>
      <x:c r="P140" t="n">
        <x:f>J140</x:f>
        <x:v>-0.016410237551615</x:v>
      </x:c>
      <x:c r="Q140" t="n">
        <x:f>K140</x:f>
        <x:v>0.0018804332078486315</x:v>
      </x:c>
    </x:row>
    <x:row r="141">
      <x:c r="A141" s="99" t="str">
        <x:f>'Raw T'!B135</x:f>
        <x:v>00180</x:v>
      </x:c>
      <x:c r="B141" s="100" t="n">
        <x:f>INDEX('Raw Stations'!$D$2:$D$299,MATCH(A141,'Raw Stations'!$A$2:$A$299,0))</x:f>
        <x:v>0.006782414507763993</x:v>
      </x:c>
      <x:c r="C141" s="100" t="n">
        <x:f>'Raw T'!L135</x:f>
        <x:v>-0.004683112090626985</x:v>
      </x:c>
      <x:c r="D141" s="100" t="n">
        <x:f>$B$2</x:f>
        <x:v>-0.01783376051078768</x:v>
      </x:c>
      <x:c r="E141" s="100" t="n">
        <x:f>C141-D141</x:f>
        <x:v>0.013150648420160695</x:v>
      </x:c>
      <x:c r="F141" s="100" t="n">
        <x:f>E141-B141</x:f>
        <x:v>0.0063682339123967025</x:v>
      </x:c>
      <x:c r="G141" s="100" t="n">
        <x:f>ABS(F141)</x:f>
        <x:v>0.0063682339123967025</x:v>
      </x:c>
      <x:c r="H141" s="100" t="n">
        <x:f>'Raw T'!N135</x:f>
        <x:v>0.9749227819260976</x:v>
      </x:c>
      <x:c r="I141" t="b">
        <x:f>'Raw T'!O135</x:f>
        <x:v>1</x:v>
      </x:c>
      <x:c r="J141" s="100" t="n">
        <x:f>IF(I141,B141,"")</x:f>
        <x:v>0.006782414507763993</x:v>
      </x:c>
      <x:c r="K141" s="100" t="n">
        <x:f>IF(I141,E141,"")</x:f>
        <x:v>0.013150648420160695</x:v>
      </x:c>
      <x:c r="L141" s="100" t="n">
        <x:f>IF(I141,G141,"")</x:f>
        <x:v>0.0063682339123967025</x:v>
      </x:c>
      <x:c r="M141" s="100" t="n">
        <x:f>IF(I141,F141^2,"")</x:f>
        <x:v>0.00004055440316299941</x:v>
      </x:c>
      <x:c r="N141" s="100" t="n">
        <x:f>IF(I141,F141,"")</x:f>
        <x:v>0.0063682339123967025</x:v>
      </x:c>
      <x:c r="P141" t="n">
        <x:f>J141</x:f>
        <x:v>0.006782414507763993</x:v>
      </x:c>
      <x:c r="Q141" t="n">
        <x:f>K141</x:f>
        <x:v>0.013150648420160695</x:v>
      </x:c>
    </x:row>
    <x:row r="142">
      <x:c r="A142" s="99" t="str">
        <x:f>'Raw T'!B136</x:f>
        <x:v>00181</x:v>
      </x:c>
      <x:c r="B142" s="100" t="n">
        <x:f>INDEX('Raw Stations'!$D$2:$D$299,MATCH(A142,'Raw Stations'!$A$2:$A$299,0))</x:f>
        <x:v>0.01851034852553748</x:v>
      </x:c>
      <x:c r="C142" s="100" t="n">
        <x:f>'Raw T'!L136</x:f>
        <x:v>0</x:v>
      </x:c>
      <x:c r="D142" s="100" t="n">
        <x:f>$B$2</x:f>
        <x:v>-0.01783376051078768</x:v>
      </x:c>
      <x:c r="E142" s="100" t="n">
        <x:f>C142-D142</x:f>
        <x:v>0.01783376051078768</x:v>
      </x:c>
      <x:c r="F142" s="100" t="n">
        <x:f>E142-B142</x:f>
        <x:v>-0.0006765880147498009</x:v>
      </x:c>
      <x:c r="G142" s="100" t="n">
        <x:f>ABS(F142)</x:f>
        <x:v>0.0006765880147498009</x:v>
      </x:c>
      <x:c r="H142" s="100" t="n">
        <x:f>'Raw T'!N136</x:f>
        <x:v>0.9951860202336621</x:v>
      </x:c>
      <x:c r="I142" t="b">
        <x:f>'Raw T'!O136</x:f>
        <x:v>1</x:v>
      </x:c>
      <x:c r="J142" s="100" t="n">
        <x:f>IF(I142,B142,"")</x:f>
        <x:v>0.01851034852553748</x:v>
      </x:c>
      <x:c r="K142" s="100" t="n">
        <x:f>IF(I142,E142,"")</x:f>
        <x:v>0.01783376051078768</x:v>
      </x:c>
      <x:c r="L142" s="100" t="n">
        <x:f>IF(I142,G142,"")</x:f>
        <x:v>0.0006765880147498009</x:v>
      </x:c>
      <x:c r="M142" s="100" t="n">
        <x:f>IF(I142,F142^2,"")</x:f>
        <x:v>4.577713417030768e-7</x:v>
      </x:c>
      <x:c r="N142" s="100" t="n">
        <x:f>IF(I142,F142,"")</x:f>
        <x:v>-0.0006765880147498009</x:v>
      </x:c>
      <x:c r="P142" t="n">
        <x:f>J142</x:f>
        <x:v>0.01851034852553748</x:v>
      </x:c>
      <x:c r="Q142" t="n">
        <x:f>K142</x:f>
        <x:v>0.01783376051078768</x:v>
      </x:c>
    </x:row>
    <x:row r="143">
      <x:c r="A143" s="99" t="str">
        <x:f>'Raw T'!B137</x:f>
        <x:v>00182</x:v>
      </x:c>
      <x:c r="B143" s="100" t="n">
        <x:f>INDEX('Raw Stations'!$D$2:$D$299,MATCH(A143,'Raw Stations'!$A$2:$A$299,0))</x:f>
        <x:v>0.01835378137447511</x:v>
      </x:c>
      <x:c r="C143" s="100" t="n">
        <x:f>'Raw T'!L137</x:f>
        <x:v>0.00189523773113497</x:v>
      </x:c>
      <x:c r="D143" s="100" t="n">
        <x:f>$B$2</x:f>
        <x:v>-0.01783376051078768</x:v>
      </x:c>
      <x:c r="E143" s="100" t="n">
        <x:f>C143-D143</x:f>
        <x:v>0.01972899824192265</x:v>
      </x:c>
      <x:c r="F143" s="100" t="n">
        <x:f>E143-B143</x:f>
        <x:v>0.0013752168674475394</x:v>
      </x:c>
      <x:c r="G143" s="100" t="n">
        <x:f>ABS(F143)</x:f>
        <x:v>0.0013752168674475394</x:v>
      </x:c>
      <x:c r="H143" s="100" t="n">
        <x:f>'Raw T'!N137</x:f>
        <x:v>0.9516061564996494</x:v>
      </x:c>
      <x:c r="I143" t="b">
        <x:f>'Raw T'!O137</x:f>
        <x:v>1</x:v>
      </x:c>
      <x:c r="J143" s="100" t="n">
        <x:f>IF(I143,B143,"")</x:f>
        <x:v>0.01835378137447511</x:v>
      </x:c>
      <x:c r="K143" s="100" t="n">
        <x:f>IF(I143,E143,"")</x:f>
        <x:v>0.01972899824192265</x:v>
      </x:c>
      <x:c r="L143" s="100" t="n">
        <x:f>IF(I143,G143,"")</x:f>
        <x:v>0.0013752168674475394</x:v>
      </x:c>
      <x:c r="M143" s="100" t="n">
        <x:f>IF(I143,F143^2,"")</x:f>
        <x:v>0.0000018912214325122233</x:v>
      </x:c>
      <x:c r="N143" s="100" t="n">
        <x:f>IF(I143,F143,"")</x:f>
        <x:v>0.0013752168674475394</x:v>
      </x:c>
      <x:c r="P143" t="n">
        <x:f>J143</x:f>
        <x:v>0.01835378137447511</x:v>
      </x:c>
      <x:c r="Q143" t="n">
        <x:f>K143</x:f>
        <x:v>0.01972899824192265</x:v>
      </x:c>
    </x:row>
    <x:row r="144">
      <x:c r="A144" s="99" t="str">
        <x:f>'Raw T'!B138</x:f>
        <x:v>00183</x:v>
      </x:c>
      <x:c r="B144" s="100" t="n">
        <x:f>INDEX('Raw Stations'!$D$2:$D$299,MATCH(A144,'Raw Stations'!$A$2:$A$299,0))</x:f>
        <x:v>0.005519076889924051</x:v>
      </x:c>
      <x:c r="C144" s="100" t="n">
        <x:f>'Raw T'!L138</x:f>
        <x:v>-0.01402401286139999</x:v>
      </x:c>
      <x:c r="D144" s="100" t="n">
        <x:f>$B$2</x:f>
        <x:v>-0.01783376051078768</x:v>
      </x:c>
      <x:c r="E144" s="100" t="n">
        <x:f>C144-D144</x:f>
        <x:v>0.00380974764938769</x:v>
      </x:c>
      <x:c r="F144" s="100" t="n">
        <x:f>E144-B144</x:f>
        <x:v>-0.0017093292405363607</x:v>
      </x:c>
      <x:c r="G144" s="100" t="n">
        <x:f>ABS(F144)</x:f>
        <x:v>0.0017093292405363607</x:v>
      </x:c>
      <x:c r="H144" s="100" t="n">
        <x:f>'Raw T'!N138</x:f>
        <x:v>0.9873763177042713</x:v>
      </x:c>
      <x:c r="I144" t="b">
        <x:f>'Raw T'!O138</x:f>
        <x:v>1</x:v>
      </x:c>
      <x:c r="J144" s="100" t="n">
        <x:f>IF(I144,B144,"")</x:f>
        <x:v>0.005519076889924051</x:v>
      </x:c>
      <x:c r="K144" s="100" t="n">
        <x:f>IF(I144,E144,"")</x:f>
        <x:v>0.00380974764938769</x:v>
      </x:c>
      <x:c r="L144" s="100" t="n">
        <x:f>IF(I144,G144,"")</x:f>
        <x:v>0.0017093292405363607</x:v>
      </x:c>
      <x:c r="M144" s="100" t="n">
        <x:f>IF(I144,F144^2,"")</x:f>
        <x:v>0.0000029218064525526117</x:v>
      </x:c>
      <x:c r="N144" s="100" t="n">
        <x:f>IF(I144,F144,"")</x:f>
        <x:v>-0.0017093292405363607</x:v>
      </x:c>
      <x:c r="P144" t="n">
        <x:f>J144</x:f>
        <x:v>0.005519076889924051</x:v>
      </x:c>
      <x:c r="Q144" t="n">
        <x:f>K144</x:f>
        <x:v>0.00380974764938769</x:v>
      </x:c>
    </x:row>
    <x:row r="145">
      <x:c r="A145" s="99" t="str">
        <x:f>'Raw T'!B139</x:f>
        <x:v>00184</x:v>
      </x:c>
      <x:c r="B145" s="100" t="n">
        <x:f>INDEX('Raw Stations'!$D$2:$D$299,MATCH(A145,'Raw Stations'!$A$2:$A$299,0))</x:f>
        <x:v>0.01701232412322604</x:v>
      </x:c>
      <x:c r="C145" s="100" t="n">
        <x:f>'Raw T'!L139</x:f>
        <x:v>-0.002375639322231862</x:v>
      </x:c>
      <x:c r="D145" s="100" t="n">
        <x:f>$B$2</x:f>
        <x:v>-0.01783376051078768</x:v>
      </x:c>
      <x:c r="E145" s="100" t="n">
        <x:f>C145-D145</x:f>
        <x:v>0.015458121188555819</x:v>
      </x:c>
      <x:c r="F145" s="100" t="n">
        <x:f>E145-B145</x:f>
        <x:v>-0.0015542029346702207</x:v>
      </x:c>
      <x:c r="G145" s="100" t="n">
        <x:f>ABS(F145)</x:f>
        <x:v>0.0015542029346702207</x:v>
      </x:c>
      <x:c r="H145" s="100" t="n">
        <x:f>'Raw T'!N139</x:f>
        <x:v>0.9594870621094089</x:v>
      </x:c>
      <x:c r="I145" t="b">
        <x:f>'Raw T'!O139</x:f>
        <x:v>1</x:v>
      </x:c>
      <x:c r="J145" s="100" t="n">
        <x:f>IF(I145,B145,"")</x:f>
        <x:v>0.01701232412322604</x:v>
      </x:c>
      <x:c r="K145" s="100" t="n">
        <x:f>IF(I145,E145,"")</x:f>
        <x:v>0.015458121188555819</x:v>
      </x:c>
      <x:c r="L145" s="100" t="n">
        <x:f>IF(I145,G145,"")</x:f>
        <x:v>0.0015542029346702207</x:v>
      </x:c>
      <x:c r="M145" s="100" t="n">
        <x:f>IF(I145,F145^2,"")</x:f>
        <x:v>0.0000024155467621375264</x:v>
      </x:c>
      <x:c r="N145" s="100" t="n">
        <x:f>IF(I145,F145,"")</x:f>
        <x:v>-0.0015542029346702207</x:v>
      </x:c>
      <x:c r="P145" t="n">
        <x:f>J145</x:f>
        <x:v>0.01701232412322604</x:v>
      </x:c>
      <x:c r="Q145" t="n">
        <x:f>K145</x:f>
        <x:v>0.015458121188555819</x:v>
      </x:c>
    </x:row>
    <x:row r="146">
      <x:c r="A146" s="99" t="str">
        <x:f>'Raw T'!B140</x:f>
        <x:v>00185</x:v>
      </x:c>
      <x:c r="B146" s="100" t="n">
        <x:f>INDEX('Raw Stations'!$D$2:$D$299,MATCH(A146,'Raw Stations'!$A$2:$A$299,0))</x:f>
        <x:v>0.01901763013329982</x:v>
      </x:c>
      <x:c r="C146" s="100" t="n">
        <x:f>'Raw T'!L140</x:f>
        <x:v>-0.005256983322283332</x:v>
      </x:c>
      <x:c r="D146" s="100" t="n">
        <x:f>$B$2</x:f>
        <x:v>-0.01783376051078768</x:v>
      </x:c>
      <x:c r="E146" s="100" t="n">
        <x:f>C146-D146</x:f>
        <x:v>0.012576777188504348</x:v>
      </x:c>
      <x:c r="F146" s="100" t="n">
        <x:f>E146-B146</x:f>
        <x:v>-0.006440852944795471</x:v>
      </x:c>
      <x:c r="G146" s="100" t="n">
        <x:f>ABS(F146)</x:f>
        <x:v>0.006440852944795471</x:v>
      </x:c>
      <x:c r="H146" s="100" t="n">
        <x:f>'Raw T'!N140</x:f>
        <x:v>0.9820615127296664</x:v>
      </x:c>
      <x:c r="I146" t="b">
        <x:f>'Raw T'!O140</x:f>
        <x:v>1</x:v>
      </x:c>
      <x:c r="J146" s="100" t="n">
        <x:f>IF(I146,B146,"")</x:f>
        <x:v>0.01901763013329982</x:v>
      </x:c>
      <x:c r="K146" s="100" t="n">
        <x:f>IF(I146,E146,"")</x:f>
        <x:v>0.012576777188504348</x:v>
      </x:c>
      <x:c r="L146" s="100" t="n">
        <x:f>IF(I146,G146,"")</x:f>
        <x:v>0.006440852944795471</x:v>
      </x:c>
      <x:c r="M146" s="100" t="n">
        <x:f>IF(I146,F146^2,"")</x:f>
        <x:v>0.00004148458665648049</x:v>
      </x:c>
      <x:c r="N146" s="100" t="n">
        <x:f>IF(I146,F146,"")</x:f>
        <x:v>-0.006440852944795471</x:v>
      </x:c>
      <x:c r="P146" t="n">
        <x:f>J146</x:f>
        <x:v>0.01901763013329982</x:v>
      </x:c>
      <x:c r="Q146" t="n">
        <x:f>K146</x:f>
        <x:v>0.012576777188504348</x:v>
      </x:c>
    </x:row>
    <x:row r="147">
      <x:c r="A147" s="99" t="str">
        <x:f>'Raw T'!B141</x:f>
        <x:v>00186</x:v>
      </x:c>
      <x:c r="B147" s="100" t="n">
        <x:f>INDEX('Raw Stations'!$D$2:$D$299,MATCH(A147,'Raw Stations'!$A$2:$A$299,0))</x:f>
        <x:v>0.027743444861805</x:v>
      </x:c>
      <x:c r="C147" s="100" t="n">
        <x:f>'Raw T'!L141</x:f>
        <x:v>-0.004531168593778147</x:v>
      </x:c>
      <x:c r="D147" s="100" t="n">
        <x:f>$B$2</x:f>
        <x:v>-0.01783376051078768</x:v>
      </x:c>
      <x:c r="E147" s="100" t="n">
        <x:f>C147-D147</x:f>
        <x:v>0.013302591917009533</x:v>
      </x:c>
      <x:c r="F147" s="100" t="n">
        <x:f>E147-B147</x:f>
        <x:v>-0.014440852944795468</x:v>
      </x:c>
      <x:c r="G147" s="100" t="n">
        <x:f>ABS(F147)</x:f>
        <x:v>0.014440852944795468</x:v>
      </x:c>
      <x:c r="H147" s="100" t="n">
        <x:f>'Raw T'!N141</x:f>
        <x:v>0.9487394806499191</x:v>
      </x:c>
      <x:c r="I147" t="b">
        <x:f>'Raw T'!O141</x:f>
        <x:v>1</x:v>
      </x:c>
      <x:c r="J147" s="100" t="n">
        <x:f>IF(I147,B147,"")</x:f>
        <x:v>0.027743444861805</x:v>
      </x:c>
      <x:c r="K147" s="100" t="n">
        <x:f>IF(I147,E147,"")</x:f>
        <x:v>0.013302591917009533</x:v>
      </x:c>
      <x:c r="L147" s="100" t="n">
        <x:f>IF(I147,G147,"")</x:f>
        <x:v>0.014440852944795468</x:v>
      </x:c>
      <x:c r="M147" s="100" t="n">
        <x:f>IF(I147,F147^2,"")</x:f>
        <x:v>0.00020853823377320793</x:v>
      </x:c>
      <x:c r="N147" s="100" t="n">
        <x:f>IF(I147,F147,"")</x:f>
        <x:v>-0.014440852944795468</x:v>
      </x:c>
      <x:c r="P147" t="n">
        <x:f>J147</x:f>
        <x:v>0.027743444861805</x:v>
      </x:c>
      <x:c r="Q147" t="n">
        <x:f>K147</x:f>
        <x:v>0.013302591917009533</x:v>
      </x:c>
    </x:row>
    <x:row r="148">
      <x:c r="A148" s="99" t="str">
        <x:f>'Raw T'!B142</x:f>
        <x:v>00187</x:v>
      </x:c>
      <x:c r="B148" s="100" t="n">
        <x:f>INDEX('Raw Stations'!$D$2:$D$299,MATCH(A148,'Raw Stations'!$A$2:$A$299,0))</x:f>
        <x:v>0.02340095171554957</x:v>
      </x:c>
      <x:c r="C148" s="100" t="n">
        <x:f>'Raw T'!L142</x:f>
        <x:v>-0.02209450807524596</x:v>
      </x:c>
      <x:c r="D148" s="100" t="n">
        <x:f>$B$2</x:f>
        <x:v>-0.01783376051078768</x:v>
      </x:c>
      <x:c r="E148" s="100" t="n">
        <x:f>C148-D148</x:f>
        <x:v>-0.004260747564458281</x:v>
      </x:c>
      <x:c r="F148" s="100" t="n">
        <x:f>E148-B148</x:f>
        <x:v>-0.02766169928000785</x:v>
      </x:c>
      <x:c r="G148" s="100" t="n">
        <x:f>ABS(F148)</x:f>
        <x:v>0.02766169928000785</x:v>
      </x:c>
      <x:c r="H148" s="100" t="n">
        <x:f>'Raw T'!N142</x:f>
        <x:v>0.9906723186725432</x:v>
      </x:c>
      <x:c r="I148" t="b">
        <x:f>'Raw T'!O142</x:f>
        <x:v>1</x:v>
      </x:c>
      <x:c r="J148" s="100" t="n">
        <x:f>IF(I148,B148,"")</x:f>
        <x:v>0.02340095171554957</x:v>
      </x:c>
      <x:c r="K148" s="100" t="n">
        <x:f>IF(I148,E148,"")</x:f>
        <x:v>-0.004260747564458281</x:v>
      </x:c>
      <x:c r="L148" s="100" t="n">
        <x:f>IF(I148,G148,"")</x:f>
        <x:v>0.02766169928000785</x:v>
      </x:c>
      <x:c r="M148" s="100" t="n">
        <x:f>IF(I148,F148^2,"")</x:f>
        <x:v>0.0007651696070575869</x:v>
      </x:c>
      <x:c r="N148" s="100" t="n">
        <x:f>IF(I148,F148,"")</x:f>
        <x:v>-0.02766169928000785</x:v>
      </x:c>
      <x:c r="P148" t="n">
        <x:f>J148</x:f>
        <x:v>0.02340095171554957</x:v>
      </x:c>
      <x:c r="Q148" t="n">
        <x:f>K148</x:f>
        <x:v>-0.004260747564458281</x:v>
      </x:c>
    </x:row>
    <x:row r="149">
      <x:c r="A149" s="99" t="str">
        <x:f>'Raw T'!B143</x:f>
        <x:v>00188</x:v>
      </x:c>
      <x:c r="B149" s="100" t="n">
        <x:f>INDEX('Raw Stations'!$D$2:$D$299,MATCH(A149,'Raw Stations'!$A$2:$A$299,0))</x:f>
        <x:v>0.02781441309388967</x:v>
      </x:c>
      <x:c r="C149" s="100" t="n">
        <x:f>'Raw T'!L143</x:f>
        <x:v>-0.01694896727890076</x:v>
      </x:c>
      <x:c r="D149" s="100" t="n">
        <x:f>$B$2</x:f>
        <x:v>-0.01783376051078768</x:v>
      </x:c>
      <x:c r="E149" s="100" t="n">
        <x:f>C149-D149</x:f>
        <x:v>0.0008847932318869212</x:v>
      </x:c>
      <x:c r="F149" s="100" t="n">
        <x:f>E149-B149</x:f>
        <x:v>-0.02692961986200275</x:v>
      </x:c>
      <x:c r="G149" s="100" t="n">
        <x:f>ABS(F149)</x:f>
        <x:v>0.02692961986200275</x:v>
      </x:c>
      <x:c r="H149" s="100" t="n">
        <x:f>'Raw T'!N143</x:f>
        <x:v>0.9805001166687008</x:v>
      </x:c>
      <x:c r="I149" t="b">
        <x:f>'Raw T'!O143</x:f>
        <x:v>1</x:v>
      </x:c>
      <x:c r="J149" s="100" t="n">
        <x:f>IF(I149,B149,"")</x:f>
        <x:v>0.02781441309388967</x:v>
      </x:c>
      <x:c r="K149" s="100" t="n">
        <x:f>IF(I149,E149,"")</x:f>
        <x:v>0.0008847932318869212</x:v>
      </x:c>
      <x:c r="L149" s="100" t="n">
        <x:f>IF(I149,G149,"")</x:f>
        <x:v>0.02692961986200275</x:v>
      </x:c>
      <x:c r="M149" s="100" t="n">
        <x:f>IF(I149,F149^2,"")</x:f>
        <x:v>0.0007252044259119729</x:v>
      </x:c>
      <x:c r="N149" s="100" t="n">
        <x:f>IF(I149,F149,"")</x:f>
        <x:v>-0.02692961986200275</x:v>
      </x:c>
      <x:c r="P149" t="n">
        <x:f>J149</x:f>
        <x:v>0.02781441309388967</x:v>
      </x:c>
      <x:c r="Q149" t="n">
        <x:f>K149</x:f>
        <x:v>0.0008847932318869212</x:v>
      </x:c>
    </x:row>
    <x:row r="150">
      <x:c r="A150" s="99" t="str">
        <x:f>'Raw T'!B144</x:f>
        <x:v>00189</x:v>
      </x:c>
      <x:c r="B150" s="100" t="n">
        <x:f>INDEX('Raw Stations'!$D$2:$D$299,MATCH(A150,'Raw Stations'!$A$2:$A$299,0))</x:f>
        <x:v>0.01484270935339562</x:v>
      </x:c>
      <x:c r="C150" s="100" t="n">
        <x:f>'Raw T'!L144</x:f>
        <x:v>-0.02845136061249191</x:v>
      </x:c>
      <x:c r="D150" s="100" t="n">
        <x:f>$B$2</x:f>
        <x:v>-0.01783376051078768</x:v>
      </x:c>
      <x:c r="E150" s="100" t="n">
        <x:f>C150-D150</x:f>
        <x:v>-0.01061760010170423</x:v>
      </x:c>
      <x:c r="F150" s="100" t="n">
        <x:f>E150-B150</x:f>
        <x:v>-0.02546030945509985</x:v>
      </x:c>
      <x:c r="G150" s="100" t="n">
        <x:f>ABS(F150)</x:f>
        <x:v>0.02546030945509985</x:v>
      </x:c>
      <x:c r="H150" s="100" t="n">
        <x:f>'Raw T'!N144</x:f>
        <x:v>0.9976693889827356</x:v>
      </x:c>
      <x:c r="I150" t="b">
        <x:f>'Raw T'!O144</x:f>
        <x:v>1</x:v>
      </x:c>
      <x:c r="J150" s="100" t="n">
        <x:f>IF(I150,B150,"")</x:f>
        <x:v>0.01484270935339562</x:v>
      </x:c>
      <x:c r="K150" s="100" t="n">
        <x:f>IF(I150,E150,"")</x:f>
        <x:v>-0.01061760010170423</x:v>
      </x:c>
      <x:c r="L150" s="100" t="n">
        <x:f>IF(I150,G150,"")</x:f>
        <x:v>0.02546030945509985</x:v>
      </x:c>
      <x:c r="M150" s="100" t="n">
        <x:f>IF(I150,F150^2,"")</x:f>
        <x:v>0.0006482273575494469</x:v>
      </x:c>
      <x:c r="N150" s="100" t="n">
        <x:f>IF(I150,F150,"")</x:f>
        <x:v>-0.02546030945509985</x:v>
      </x:c>
      <x:c r="P150" t="n">
        <x:f>J150</x:f>
        <x:v>0.01484270935339562</x:v>
      </x:c>
      <x:c r="Q150" t="n">
        <x:f>K150</x:f>
        <x:v>-0.01061760010170423</x:v>
      </x:c>
    </x:row>
    <x:row r="151">
      <x:c r="A151" s="99" t="str">
        <x:f>'Raw T'!B145</x:f>
        <x:v>00190</x:v>
      </x:c>
      <x:c r="B151" s="100" t="n">
        <x:f>INDEX('Raw Stations'!$D$2:$D$299,MATCH(A151,'Raw Stations'!$A$2:$A$299,0))</x:f>
        <x:v>-0.01197156348711821</x:v>
      </x:c>
      <x:c r="C151" s="100" t="n">
        <x:f>'Raw T'!L145</x:f>
        <x:v>0.04617174192897043</x:v>
      </x:c>
      <x:c r="D151" s="100" t="n">
        <x:f>$B$2</x:f>
        <x:v>-0.01783376051078768</x:v>
      </x:c>
      <x:c r="E151" s="100" t="n">
        <x:f>C151-D151</x:f>
        <x:v>0.06400550243975811</x:v>
      </x:c>
      <x:c r="F151" s="100" t="n">
        <x:f>E151-B151</x:f>
        <x:v>0.07597706592687632</x:v>
      </x:c>
      <x:c r="G151" s="100" t="n">
        <x:f>ABS(F151)</x:f>
        <x:v>0.07597706592687632</x:v>
      </x:c>
      <x:c r="H151" s="100" t="n">
        <x:f>'Raw T'!N145</x:f>
        <x:v>0.4627043827081863</x:v>
      </x:c>
      <x:c r="I151" t="b">
        <x:f>'Raw T'!O145</x:f>
        <x:v>0</x:v>
      </x:c>
      <x:c r="J151" s="100" t="str">
        <x:f>IF(I151,B151,"")</x:f>
      </x:c>
      <x:c r="K151" s="100" t="str">
        <x:f>IF(I151,E151,"")</x:f>
      </x:c>
      <x:c r="L151" s="100" t="str">
        <x:f>IF(I151,G151,"")</x:f>
      </x:c>
      <x:c r="M151" s="100" t="str">
        <x:f>IF(I151,F151^2,"")</x:f>
      </x:c>
      <x:c r="N151" s="100" t="str">
        <x:f>IF(I151,F151,"")</x:f>
      </x:c>
      <x:c r="P151" t="str">
        <x:f>J151</x:f>
      </x:c>
      <x:c r="Q151" t="str">
        <x:f>K151</x:f>
      </x:c>
    </x:row>
    <x:row r="152">
      <x:c r="A152" s="99" t="str">
        <x:f>'Raw T'!B146</x:f>
        <x:v>00191</x:v>
      </x:c>
      <x:c r="B152" s="100" t="n">
        <x:f>INDEX('Raw Stations'!$D$2:$D$299,MATCH(A152,'Raw Stations'!$A$2:$A$299,0))</x:f>
        <x:v>-0.004033335675302129</x:v>
      </x:c>
      <x:c r="C152" s="100" t="n">
        <x:f>'Raw T'!L146</x:f>
        <x:v>-0.007421299120760033</x:v>
      </x:c>
      <x:c r="D152" s="100" t="n">
        <x:f>$B$2</x:f>
        <x:v>-0.01783376051078768</x:v>
      </x:c>
      <x:c r="E152" s="100" t="n">
        <x:f>C152-D152</x:f>
        <x:v>0.010412461390027647</x:v>
      </x:c>
      <x:c r="F152" s="100" t="n">
        <x:f>E152-B152</x:f>
        <x:v>0.014445797065329776</x:v>
      </x:c>
      <x:c r="G152" s="100" t="n">
        <x:f>ABS(F152)</x:f>
        <x:v>0.014445797065329776</x:v>
      </x:c>
      <x:c r="H152" s="100" t="n">
        <x:f>'Raw T'!N146</x:f>
        <x:v>0.649176651280295</x:v>
      </x:c>
      <x:c r="I152" t="b">
        <x:f>'Raw T'!O146</x:f>
        <x:v>1</x:v>
      </x:c>
      <x:c r="J152" s="100" t="n">
        <x:f>IF(I152,B152,"")</x:f>
        <x:v>-0.004033335675302129</x:v>
      </x:c>
      <x:c r="K152" s="100" t="n">
        <x:f>IF(I152,E152,"")</x:f>
        <x:v>0.010412461390027647</x:v>
      </x:c>
      <x:c r="L152" s="100" t="n">
        <x:f>IF(I152,G152,"")</x:f>
        <x:v>0.014445797065329776</x:v>
      </x:c>
      <x:c r="M152" s="100" t="n">
        <x:f>IF(I152,F152^2,"")</x:f>
        <x:v>0.00020868105285269038</x:v>
      </x:c>
      <x:c r="N152" s="100" t="n">
        <x:f>IF(I152,F152,"")</x:f>
        <x:v>0.014445797065329776</x:v>
      </x:c>
      <x:c r="P152" t="n">
        <x:f>J152</x:f>
        <x:v>-0.004033335675302129</x:v>
      </x:c>
      <x:c r="Q152" t="n">
        <x:f>K152</x:f>
        <x:v>0.010412461390027647</x:v>
      </x:c>
    </x:row>
    <x:row r="153">
      <x:c r="A153" s="99" t="str">
        <x:f>'Raw T'!B147</x:f>
        <x:v>00192</x:v>
      </x:c>
      <x:c r="B153" s="100" t="n">
        <x:f>INDEX('Raw Stations'!$D$2:$D$299,MATCH(A153,'Raw Stations'!$A$2:$A$299,0))</x:f>
        <x:v>-0.00547796507800229</x:v>
      </x:c>
      <x:c r="C153" s="100" t="n">
        <x:f>'Raw T'!L147</x:f>
        <x:v>-0.0002293615566539703</x:v>
      </x:c>
      <x:c r="D153" s="100" t="n">
        <x:f>$B$2</x:f>
        <x:v>-0.01783376051078768</x:v>
      </x:c>
      <x:c r="E153" s="100" t="n">
        <x:f>C153-D153</x:f>
        <x:v>0.01760439895413371</x:v>
      </x:c>
      <x:c r="F153" s="100" t="n">
        <x:f>E153-B153</x:f>
        <x:v>0.023082364032136</x:v>
      </x:c>
      <x:c r="G153" s="100" t="n">
        <x:f>ABS(F153)</x:f>
        <x:v>0.023082364032136</x:v>
      </x:c>
      <x:c r="H153" s="100" t="n">
        <x:f>'Raw T'!N147</x:f>
        <x:v>0.8743390925321605</x:v>
      </x:c>
      <x:c r="I153" t="b">
        <x:f>'Raw T'!O147</x:f>
        <x:v>1</x:v>
      </x:c>
      <x:c r="J153" s="100" t="n">
        <x:f>IF(I153,B153,"")</x:f>
        <x:v>-0.00547796507800229</x:v>
      </x:c>
      <x:c r="K153" s="100" t="n">
        <x:f>IF(I153,E153,"")</x:f>
        <x:v>0.01760439895413371</x:v>
      </x:c>
      <x:c r="L153" s="100" t="n">
        <x:f>IF(I153,G153,"")</x:f>
        <x:v>0.023082364032136</x:v>
      </x:c>
      <x:c r="M153" s="100" t="n">
        <x:f>IF(I153,F153^2,"")</x:f>
        <x:v>0.0005327955293120457</x:v>
      </x:c>
      <x:c r="N153" s="100" t="n">
        <x:f>IF(I153,F153,"")</x:f>
        <x:v>0.023082364032136</x:v>
      </x:c>
      <x:c r="P153" t="n">
        <x:f>J153</x:f>
        <x:v>-0.00547796507800229</x:v>
      </x:c>
      <x:c r="Q153" t="n">
        <x:f>K153</x:f>
        <x:v>0.01760439895413371</x:v>
      </x:c>
    </x:row>
    <x:row r="154">
      <x:c r="A154" s="99" t="str">
        <x:f>'Raw T'!B148</x:f>
        <x:v>00194</x:v>
      </x:c>
      <x:c r="B154" s="100" t="n">
        <x:f>INDEX('Raw Stations'!$D$2:$D$299,MATCH(A154,'Raw Stations'!$A$2:$A$299,0))</x:f>
        <x:v>-0.008163157509556488</x:v>
      </x:c>
      <x:c r="C154" s="100" t="n">
        <x:f>'Raw T'!L148</x:f>
        <x:v>-0.01067350603509397</x:v>
      </x:c>
      <x:c r="D154" s="100" t="n">
        <x:f>$B$2</x:f>
        <x:v>-0.01783376051078768</x:v>
      </x:c>
      <x:c r="E154" s="100" t="n">
        <x:f>C154-D154</x:f>
        <x:v>0.00716025447569371</x:v>
      </x:c>
      <x:c r="F154" s="100" t="n">
        <x:f>E154-B154</x:f>
        <x:v>0.015323411985250198</x:v>
      </x:c>
      <x:c r="G154" s="100" t="n">
        <x:f>ABS(F154)</x:f>
        <x:v>0.015323411985250198</x:v>
      </x:c>
      <x:c r="H154" s="100" t="n">
        <x:f>'Raw T'!N148</x:f>
        <x:v>0.9337649714214499</x:v>
      </x:c>
      <x:c r="I154" t="b">
        <x:f>'Raw T'!O148</x:f>
        <x:v>1</x:v>
      </x:c>
      <x:c r="J154" s="100" t="n">
        <x:f>IF(I154,B154,"")</x:f>
        <x:v>-0.008163157509556488</x:v>
      </x:c>
      <x:c r="K154" s="100" t="n">
        <x:f>IF(I154,E154,"")</x:f>
        <x:v>0.00716025447569371</x:v>
      </x:c>
      <x:c r="L154" s="100" t="n">
        <x:f>IF(I154,G154,"")</x:f>
        <x:v>0.015323411985250198</x:v>
      </x:c>
      <x:c r="M154" s="100" t="n">
        <x:f>IF(I154,F154^2,"")</x:f>
        <x:v>0.0002348069548697094</x:v>
      </x:c>
      <x:c r="N154" s="100" t="n">
        <x:f>IF(I154,F154,"")</x:f>
        <x:v>0.015323411985250198</x:v>
      </x:c>
      <x:c r="P154" t="n">
        <x:f>J154</x:f>
        <x:v>-0.008163157509556488</x:v>
      </x:c>
      <x:c r="Q154" t="n">
        <x:f>K154</x:f>
        <x:v>0.00716025447569371</x:v>
      </x:c>
    </x:row>
    <x:row r="155">
      <x:c r="A155" s="99" t="str">
        <x:f>'Raw T'!B149</x:f>
        <x:v>00195</x:v>
      </x:c>
      <x:c r="B155" s="100" t="n">
        <x:f>INDEX('Raw Stations'!$D$2:$D$299,MATCH(A155,'Raw Stations'!$A$2:$A$299,0))</x:f>
        <x:v>-0.01120944848082588</x:v>
      </x:c>
      <x:c r="C155" s="100" t="n">
        <x:f>'Raw T'!L149</x:f>
        <x:v>-0.01566799212416602</x:v>
      </x:c>
      <x:c r="D155" s="100" t="n">
        <x:f>$B$2</x:f>
        <x:v>-0.01783376051078768</x:v>
      </x:c>
      <x:c r="E155" s="100" t="n">
        <x:f>C155-D155</x:f>
        <x:v>0.0021657683866216602</x:v>
      </x:c>
      <x:c r="F155" s="100" t="n">
        <x:f>E155-B155</x:f>
        <x:v>0.01337521686744754</x:v>
      </x:c>
      <x:c r="G155" s="100" t="n">
        <x:f>ABS(F155)</x:f>
        <x:v>0.01337521686744754</x:v>
      </x:c>
      <x:c r="H155" s="100" t="n">
        <x:f>'Raw T'!N149</x:f>
        <x:v>0.9796085227211314</x:v>
      </x:c>
      <x:c r="I155" t="b">
        <x:f>'Raw T'!O149</x:f>
        <x:v>1</x:v>
      </x:c>
      <x:c r="J155" s="100" t="n">
        <x:f>IF(I155,B155,"")</x:f>
        <x:v>-0.01120944848082588</x:v>
      </x:c>
      <x:c r="K155" s="100" t="n">
        <x:f>IF(I155,E155,"")</x:f>
        <x:v>0.0021657683866216602</x:v>
      </x:c>
      <x:c r="L155" s="100" t="n">
        <x:f>IF(I155,G155,"")</x:f>
        <x:v>0.01337521686744754</x:v>
      </x:c>
      <x:c r="M155" s="100" t="n">
        <x:f>IF(I155,F155^2,"")</x:f>
        <x:v>0.00017889642625125318</x:v>
      </x:c>
      <x:c r="N155" s="100" t="n">
        <x:f>IF(I155,F155,"")</x:f>
        <x:v>0.01337521686744754</x:v>
      </x:c>
      <x:c r="P155" t="n">
        <x:f>J155</x:f>
        <x:v>-0.01120944848082588</x:v>
      </x:c>
      <x:c r="Q155" t="n">
        <x:f>K155</x:f>
        <x:v>0.0021657683866216602</x:v>
      </x:c>
    </x:row>
    <x:row r="156">
      <x:c r="A156" s="99" t="str">
        <x:f>'Raw T'!B150</x:f>
        <x:v>00196</x:v>
      </x:c>
      <x:c r="B156" s="100" t="n">
        <x:f>INDEX('Raw Stations'!$D$2:$D$299,MATCH(A156,'Raw Stations'!$A$2:$A$299,0))</x:f>
        <x:v>0.001496941261580634</x:v>
      </x:c>
      <x:c r="C156" s="100" t="n">
        <x:f>'Raw T'!L150</x:f>
        <x:v>-0.01396858533681034</x:v>
      </x:c>
      <x:c r="D156" s="100" t="n">
        <x:f>$B$2</x:f>
        <x:v>-0.01783376051078768</x:v>
      </x:c>
      <x:c r="E156" s="100" t="n">
        <x:f>C156-D156</x:f>
        <x:v>0.0038651751739773397</x:v>
      </x:c>
      <x:c r="F156" s="100" t="n">
        <x:f>E156-B156</x:f>
        <x:v>0.002368233912396706</x:v>
      </x:c>
      <x:c r="G156" s="100" t="n">
        <x:f>ABS(F156)</x:f>
        <x:v>0.002368233912396706</x:v>
      </x:c>
      <x:c r="H156" s="100" t="n">
        <x:f>'Raw T'!N150</x:f>
        <x:v>0.9523811427415975</x:v>
      </x:c>
      <x:c r="I156" t="b">
        <x:f>'Raw T'!O150</x:f>
        <x:v>1</x:v>
      </x:c>
      <x:c r="J156" s="100" t="n">
        <x:f>IF(I156,B156,"")</x:f>
        <x:v>0.001496941261580634</x:v>
      </x:c>
      <x:c r="K156" s="100" t="n">
        <x:f>IF(I156,E156,"")</x:f>
        <x:v>0.0038651751739773397</x:v>
      </x:c>
      <x:c r="L156" s="100" t="n">
        <x:f>IF(I156,G156,"")</x:f>
        <x:v>0.002368233912396706</x:v>
      </x:c>
      <x:c r="M156" s="100" t="n">
        <x:f>IF(I156,F156^2,"")</x:f>
        <x:v>0.000005608531863825809</x:v>
      </x:c>
      <x:c r="N156" s="100" t="n">
        <x:f>IF(I156,F156,"")</x:f>
        <x:v>0.002368233912396706</x:v>
      </x:c>
      <x:c r="P156" t="n">
        <x:f>J156</x:f>
        <x:v>0.001496941261580634</x:v>
      </x:c>
      <x:c r="Q156" t="n">
        <x:f>K156</x:f>
        <x:v>0.0038651751739773397</x:v>
      </x:c>
    </x:row>
    <x:row r="157">
      <x:c r="A157" s="99" t="str">
        <x:f>'Raw T'!B151</x:f>
        <x:v>00197</x:v>
      </x:c>
      <x:c r="B157" s="100" t="n">
        <x:f>INDEX('Raw Stations'!$D$2:$D$299,MATCH(A157,'Raw Stations'!$A$2:$A$299,0))</x:f>
        <x:v>0.006090145512306378</x:v>
      </x:c>
      <x:c r="C157" s="100" t="n">
        <x:f>'Raw T'!L151</x:f>
        <x:v>0.01323435341547482</x:v>
      </x:c>
      <x:c r="D157" s="100" t="n">
        <x:f>$B$2</x:f>
        <x:v>-0.01783376051078768</x:v>
      </x:c>
      <x:c r="E157" s="100" t="n">
        <x:f>C157-D157</x:f>
        <x:v>0.0310681139262625</x:v>
      </x:c>
      <x:c r="F157" s="100" t="n">
        <x:f>E157-B157</x:f>
        <x:v>0.024977968413956123</x:v>
      </x:c>
      <x:c r="G157" s="100" t="n">
        <x:f>ABS(F157)</x:f>
        <x:v>0.024977968413956123</x:v>
      </x:c>
      <x:c r="H157" s="100" t="n">
        <x:f>'Raw T'!N151</x:f>
        <x:v>0.6691981077263017</x:v>
      </x:c>
      <x:c r="I157" t="b">
        <x:f>'Raw T'!O151</x:f>
        <x:v>1</x:v>
      </x:c>
      <x:c r="J157" s="100" t="n">
        <x:f>IF(I157,B157,"")</x:f>
        <x:v>0.006090145512306378</x:v>
      </x:c>
      <x:c r="K157" s="100" t="n">
        <x:f>IF(I157,E157,"")</x:f>
        <x:v>0.0310681139262625</x:v>
      </x:c>
      <x:c r="L157" s="100" t="n">
        <x:f>IF(I157,G157,"")</x:f>
        <x:v>0.024977968413956123</x:v>
      </x:c>
      <x:c r="M157" s="100" t="n">
        <x:f>IF(I157,F157^2,"")</x:f>
        <x:v>0.0006238989060885897</x:v>
      </x:c>
      <x:c r="N157" s="100" t="n">
        <x:f>IF(I157,F157,"")</x:f>
        <x:v>0.024977968413956123</x:v>
      </x:c>
      <x:c r="P157" t="n">
        <x:f>J157</x:f>
        <x:v>0.006090145512306378</x:v>
      </x:c>
      <x:c r="Q157" t="n">
        <x:f>K157</x:f>
        <x:v>0.0310681139262625</x:v>
      </x:c>
    </x:row>
    <x:row r="158">
      <x:c r="A158" s="99" t="str">
        <x:f>'Raw T'!B152</x:f>
        <x:v>00198</x:v>
      </x:c>
      <x:c r="B158" s="100" t="n">
        <x:f>INDEX('Raw Stations'!$D$2:$D$299,MATCH(A158,'Raw Stations'!$A$2:$A$299,0))</x:f>
        <x:v>0.01423790507455025</x:v>
      </x:c>
      <x:c r="C158" s="100" t="n">
        <x:f>'Raw T'!L152</x:f>
        <x:v>-0.01558563083449817</x:v>
      </x:c>
      <x:c r="D158" s="100" t="n">
        <x:f>$B$2</x:f>
        <x:v>-0.01783376051078768</x:v>
      </x:c>
      <x:c r="E158" s="100" t="n">
        <x:f>C158-D158</x:f>
        <x:v>0.0022481296762895103</x:v>
      </x:c>
      <x:c r="F158" s="100" t="n">
        <x:f>E158-B158</x:f>
        <x:v>-0.01198977539826074</x:v>
      </x:c>
      <x:c r="G158" s="100" t="n">
        <x:f>ABS(F158)</x:f>
        <x:v>0.01198977539826074</x:v>
      </x:c>
      <x:c r="H158" s="100" t="n">
        <x:f>'Raw T'!N152</x:f>
        <x:v>0.9790434706064387</x:v>
      </x:c>
      <x:c r="I158" t="b">
        <x:f>'Raw T'!O152</x:f>
        <x:v>1</x:v>
      </x:c>
      <x:c r="J158" s="100" t="n">
        <x:f>IF(I158,B158,"")</x:f>
        <x:v>0.01423790507455025</x:v>
      </x:c>
      <x:c r="K158" s="100" t="n">
        <x:f>IF(I158,E158,"")</x:f>
        <x:v>0.0022481296762895103</x:v>
      </x:c>
      <x:c r="L158" s="100" t="n">
        <x:f>IF(I158,G158,"")</x:f>
        <x:v>0.01198977539826074</x:v>
      </x:c>
      <x:c r="M158" s="100" t="n">
        <x:f>IF(I158,F158^2,"")</x:f>
        <x:v>0.00014375471410073848</x:v>
      </x:c>
      <x:c r="N158" s="100" t="n">
        <x:f>IF(I158,F158,"")</x:f>
        <x:v>-0.01198977539826074</x:v>
      </x:c>
      <x:c r="P158" t="n">
        <x:f>J158</x:f>
        <x:v>0.01423790507455025</x:v>
      </x:c>
      <x:c r="Q158" t="n">
        <x:f>K158</x:f>
        <x:v>0.0022481296762895103</x:v>
      </x:c>
    </x:row>
    <x:row r="159">
      <x:c r="A159" s="99" t="str">
        <x:f>'Raw T'!B153</x:f>
        <x:v>00199</x:v>
      </x:c>
      <x:c r="B159" s="100" t="n">
        <x:f>INDEX('Raw Stations'!$D$2:$D$299,MATCH(A159,'Raw Stations'!$A$2:$A$299,0))</x:f>
        <x:v>-0.0008974718772340393</x:v>
      </x:c>
      <x:c r="C159" s="100" t="n">
        <x:f>'Raw T'!L153</x:f>
        <x:v>-0.02419154184312157</x:v>
      </x:c>
      <x:c r="D159" s="100" t="n">
        <x:f>$B$2</x:f>
        <x:v>-0.01783376051078768</x:v>
      </x:c>
      <x:c r="E159" s="100" t="n">
        <x:f>C159-D159</x:f>
        <x:v>-0.006357781332333889</x:v>
      </x:c>
      <x:c r="F159" s="100" t="n">
        <x:f>E159-B159</x:f>
        <x:v>-0.00546030945509985</x:v>
      </x:c>
      <x:c r="G159" s="100" t="n">
        <x:f>ABS(F159)</x:f>
        <x:v>0.00546030945509985</x:v>
      </x:c>
      <x:c r="H159" s="100" t="n">
        <x:f>'Raw T'!N153</x:f>
        <x:v>0.9386799177636164</x:v>
      </x:c>
      <x:c r="I159" t="b">
        <x:f>'Raw T'!O153</x:f>
        <x:v>1</x:v>
      </x:c>
      <x:c r="J159" s="100" t="n">
        <x:f>IF(I159,B159,"")</x:f>
        <x:v>-0.0008974718772340393</x:v>
      </x:c>
      <x:c r="K159" s="100" t="n">
        <x:f>IF(I159,E159,"")</x:f>
        <x:v>-0.006357781332333889</x:v>
      </x:c>
      <x:c r="L159" s="100" t="n">
        <x:f>IF(I159,G159,"")</x:f>
        <x:v>0.00546030945509985</x:v>
      </x:c>
      <x:c r="M159" s="100" t="n">
        <x:f>IF(I159,F159^2,"")</x:f>
        <x:v>0.000029814979345452824</x:v>
      </x:c>
      <x:c r="N159" s="100" t="n">
        <x:f>IF(I159,F159,"")</x:f>
        <x:v>-0.00546030945509985</x:v>
      </x:c>
      <x:c r="P159" t="n">
        <x:f>J159</x:f>
        <x:v>-0.0008974718772340393</x:v>
      </x:c>
      <x:c r="Q159" t="n">
        <x:f>K159</x:f>
        <x:v>-0.006357781332333889</x:v>
      </x:c>
    </x:row>
    <x:row r="160">
      <x:c r="A160" s="99" t="str">
        <x:f>'Raw T'!B154</x:f>
        <x:v>00200</x:v>
      </x:c>
      <x:c r="B160" s="100" t="n">
        <x:f>INDEX('Raw Stations'!$D$2:$D$299,MATCH(A160,'Raw Stations'!$A$2:$A$299,0))</x:f>
        <x:v>0.006653503226424532</x:v>
      </x:c>
      <x:c r="C160" s="100" t="n">
        <x:f>'Raw T'!L154</x:f>
        <x:v>-0.01281202337196644</x:v>
      </x:c>
      <x:c r="D160" s="100" t="n">
        <x:f>$B$2</x:f>
        <x:v>-0.01783376051078768</x:v>
      </x:c>
      <x:c r="E160" s="100" t="n">
        <x:f>C160-D160</x:f>
        <x:v>0.005021737138821239</x:v>
      </x:c>
      <x:c r="F160" s="100" t="n">
        <x:f>E160-B160</x:f>
        <x:v>-0.0016317660876032924</x:v>
      </x:c>
      <x:c r="G160" s="100" t="n">
        <x:f>ABS(F160)</x:f>
        <x:v>0.0016317660876032924</x:v>
      </x:c>
      <x:c r="H160" s="100" t="n">
        <x:f>'Raw T'!N154</x:f>
        <x:v>0.9919362784595925</x:v>
      </x:c>
      <x:c r="I160" t="b">
        <x:f>'Raw T'!O154</x:f>
        <x:v>1</x:v>
      </x:c>
      <x:c r="J160" s="100" t="n">
        <x:f>IF(I160,B160,"")</x:f>
        <x:v>0.006653503226424532</x:v>
      </x:c>
      <x:c r="K160" s="100" t="n">
        <x:f>IF(I160,E160,"")</x:f>
        <x:v>0.005021737138821239</x:v>
      </x:c>
      <x:c r="L160" s="100" t="n">
        <x:f>IF(I160,G160,"")</x:f>
        <x:v>0.0016317660876032924</x:v>
      </x:c>
      <x:c r="M160" s="100" t="n">
        <x:f>IF(I160,F160^2,"")</x:f>
        <x:v>0.0000026626605646521557</x:v>
      </x:c>
      <x:c r="N160" s="100" t="n">
        <x:f>IF(I160,F160,"")</x:f>
        <x:v>-0.0016317660876032924</x:v>
      </x:c>
      <x:c r="P160" t="n">
        <x:f>J160</x:f>
        <x:v>0.006653503226424532</x:v>
      </x:c>
      <x:c r="Q160" t="n">
        <x:f>K160</x:f>
        <x:v>0.005021737138821239</x:v>
      </x:c>
    </x:row>
    <x:row r="161">
      <x:c r="A161" s="99" t="str">
        <x:f>'Raw T'!B155</x:f>
        <x:v>00201</x:v>
      </x:c>
      <x:c r="B161" s="100" t="n">
        <x:f>INDEX('Raw Stations'!$D$2:$D$299,MATCH(A161,'Raw Stations'!$A$2:$A$299,0))</x:f>
        <x:v>0.02106592685755746</x:v>
      </x:c>
      <x:c r="C161" s="100" t="n">
        <x:f>'Raw T'!L155</x:f>
        <x:v>-0.005685469621094223</x:v>
      </x:c>
      <x:c r="D161" s="100" t="n">
        <x:f>$B$2</x:f>
        <x:v>-0.01783376051078768</x:v>
      </x:c>
      <x:c r="E161" s="100" t="n">
        <x:f>C161-D161</x:f>
        <x:v>0.012148290889693457</x:v>
      </x:c>
      <x:c r="F161" s="100" t="n">
        <x:f>E161-B161</x:f>
        <x:v>-0.008917635967864004</x:v>
      </x:c>
      <x:c r="G161" s="100" t="n">
        <x:f>ABS(F161)</x:f>
        <x:v>0.008917635967864004</x:v>
      </x:c>
      <x:c r="H161" s="100" t="n">
        <x:f>'Raw T'!N155</x:f>
        <x:v>0.9932384221166294</x:v>
      </x:c>
      <x:c r="I161" t="b">
        <x:f>'Raw T'!O155</x:f>
        <x:v>1</x:v>
      </x:c>
      <x:c r="J161" s="100" t="n">
        <x:f>IF(I161,B161,"")</x:f>
        <x:v>0.02106592685755746</x:v>
      </x:c>
      <x:c r="K161" s="100" t="n">
        <x:f>IF(I161,E161,"")</x:f>
        <x:v>0.012148290889693457</x:v>
      </x:c>
      <x:c r="L161" s="100" t="n">
        <x:f>IF(I161,G161,"")</x:f>
        <x:v>0.008917635967864004</x:v>
      </x:c>
      <x:c r="M161" s="100" t="n">
        <x:f>IF(I161,F161^2,"")</x:f>
        <x:v>0.00007952423125534177</x:v>
      </x:c>
      <x:c r="N161" s="100" t="n">
        <x:f>IF(I161,F161,"")</x:f>
        <x:v>-0.008917635967864004</x:v>
      </x:c>
      <x:c r="P161" t="n">
        <x:f>J161</x:f>
        <x:v>0.02106592685755746</x:v>
      </x:c>
      <x:c r="Q161" t="n">
        <x:f>K161</x:f>
        <x:v>0.012148290889693457</x:v>
      </x:c>
    </x:row>
    <x:row r="162">
      <x:c r="A162" s="99" t="str">
        <x:f>'Raw T'!B156</x:f>
        <x:v>00202</x:v>
      </x:c>
      <x:c r="B162" s="100" t="n">
        <x:f>INDEX('Raw Stations'!$D$2:$D$299,MATCH(A162,'Raw Stations'!$A$2:$A$299,0))</x:f>
        <x:v>0.0293473488385489</x:v>
      </x:c>
      <x:c r="C162" s="100" t="n">
        <x:f>'Raw T'!L156</x:f>
        <x:v>-0.006195740912775138</x:v>
      </x:c>
      <x:c r="D162" s="100" t="n">
        <x:f>$B$2</x:f>
        <x:v>-0.01783376051078768</x:v>
      </x:c>
      <x:c r="E162" s="100" t="n">
        <x:f>C162-D162</x:f>
        <x:v>0.011638019598012542</x:v>
      </x:c>
      <x:c r="F162" s="100" t="n">
        <x:f>E162-B162</x:f>
        <x:v>-0.017709329240536358</x:v>
      </x:c>
      <x:c r="G162" s="100" t="n">
        <x:f>ABS(F162)</x:f>
        <x:v>0.017709329240536358</x:v>
      </x:c>
      <x:c r="H162" s="100" t="n">
        <x:f>'Raw T'!N156</x:f>
        <x:v>0.9738617302793435</x:v>
      </x:c>
      <x:c r="I162" t="b">
        <x:f>'Raw T'!O156</x:f>
        <x:v>1</x:v>
      </x:c>
      <x:c r="J162" s="100" t="n">
        <x:f>IF(I162,B162,"")</x:f>
        <x:v>0.0293473488385489</x:v>
      </x:c>
      <x:c r="K162" s="100" t="n">
        <x:f>IF(I162,E162,"")</x:f>
        <x:v>0.011638019598012542</x:v>
      </x:c>
      <x:c r="L162" s="100" t="n">
        <x:f>IF(I162,G162,"")</x:f>
        <x:v>0.017709329240536358</x:v>
      </x:c>
      <x:c r="M162" s="100" t="n">
        <x:f>IF(I162,F162^2,"")</x:f>
        <x:v>0.000313620342149716</x:v>
      </x:c>
      <x:c r="N162" s="100" t="n">
        <x:f>IF(I162,F162,"")</x:f>
        <x:v>-0.017709329240536358</x:v>
      </x:c>
      <x:c r="P162" t="n">
        <x:f>J162</x:f>
        <x:v>0.0293473488385489</x:v>
      </x:c>
      <x:c r="Q162" t="n">
        <x:f>K162</x:f>
        <x:v>0.011638019598012542</x:v>
      </x:c>
    </x:row>
    <x:row r="163">
      <x:c r="A163" s="99" t="str">
        <x:f>'Raw T'!B157</x:f>
        <x:v>00203</x:v>
      </x:c>
      <x:c r="B163" s="100" t="n">
        <x:f>INDEX('Raw Stations'!$D$2:$D$299,MATCH(A163,'Raw Stations'!$A$2:$A$299,0))</x:f>
        <x:v>0.02797364853392845</x:v>
      </x:c>
      <x:c r="C163" s="100" t="n">
        <x:f>'Raw T'!L157</x:f>
        <x:v>-0.007971793866474786</x:v>
      </x:c>
      <x:c r="D163" s="100" t="n">
        <x:f>$B$2</x:f>
        <x:v>-0.01783376051078768</x:v>
      </x:c>
      <x:c r="E163" s="100" t="n">
        <x:f>C163-D163</x:f>
        <x:v>0.009861966644312894</x:v>
      </x:c>
      <x:c r="F163" s="100" t="n">
        <x:f>E163-B163</x:f>
        <x:v>-0.018111681889615556</x:v>
      </x:c>
      <x:c r="G163" s="100" t="n">
        <x:f>ABS(F163)</x:f>
        <x:v>0.018111681889615556</x:v>
      </x:c>
      <x:c r="H163" s="100" t="n">
        <x:f>'Raw T'!N157</x:f>
        <x:v>0.9946943535219259</x:v>
      </x:c>
      <x:c r="I163" t="b">
        <x:f>'Raw T'!O157</x:f>
        <x:v>1</x:v>
      </x:c>
      <x:c r="J163" s="100" t="n">
        <x:f>IF(I163,B163,"")</x:f>
        <x:v>0.02797364853392845</x:v>
      </x:c>
      <x:c r="K163" s="100" t="n">
        <x:f>IF(I163,E163,"")</x:f>
        <x:v>0.009861966644312894</x:v>
      </x:c>
      <x:c r="L163" s="100" t="n">
        <x:f>IF(I163,G163,"")</x:f>
        <x:v>0.018111681889615556</x:v>
      </x:c>
      <x:c r="M163" s="100" t="n">
        <x:f>IF(I163,F163^2,"")</x:f>
        <x:v>0.0003280330208706281</x:v>
      </x:c>
      <x:c r="N163" s="100" t="n">
        <x:f>IF(I163,F163,"")</x:f>
        <x:v>-0.018111681889615556</x:v>
      </x:c>
      <x:c r="P163" t="n">
        <x:f>J163</x:f>
        <x:v>0.02797364853392845</x:v>
      </x:c>
      <x:c r="Q163" t="n">
        <x:f>K163</x:f>
        <x:v>0.009861966644312894</x:v>
      </x:c>
    </x:row>
    <x:row r="164">
      <x:c r="A164" s="99" t="str">
        <x:f>'Raw T'!B158</x:f>
        <x:v>00204</x:v>
      </x:c>
      <x:c r="B164" s="100" t="n">
        <x:f>INDEX('Raw Stations'!$D$2:$D$299,MATCH(A164,'Raw Stations'!$A$2:$A$299,0))</x:f>
        <x:v>0.03222743319261328</x:v>
      </x:c>
      <x:c r="C164" s="100" t="n">
        <x:f>'Raw T'!L158</x:f>
        <x:v>-0.005596102716435139</x:v>
      </x:c>
      <x:c r="D164" s="100" t="n">
        <x:f>$B$2</x:f>
        <x:v>-0.01783376051078768</x:v>
      </x:c>
      <x:c r="E164" s="100" t="n">
        <x:f>C164-D164</x:f>
        <x:v>0.012237657794352541</x:v>
      </x:c>
      <x:c r="F164" s="100" t="n">
        <x:f>E164-B164</x:f>
        <x:v>-0.019989775398260738</x:v>
      </x:c>
      <x:c r="G164" s="100" t="n">
        <x:f>ABS(F164)</x:f>
        <x:v>0.019989775398260738</x:v>
      </x:c>
      <x:c r="H164" s="100" t="n">
        <x:f>'Raw T'!N158</x:f>
        <x:v>0.9645067321658858</x:v>
      </x:c>
      <x:c r="I164" t="b">
        <x:f>'Raw T'!O158</x:f>
        <x:v>1</x:v>
      </x:c>
      <x:c r="J164" s="100" t="n">
        <x:f>IF(I164,B164,"")</x:f>
        <x:v>0.03222743319261328</x:v>
      </x:c>
      <x:c r="K164" s="100" t="n">
        <x:f>IF(I164,E164,"")</x:f>
        <x:v>0.012237657794352541</x:v>
      </x:c>
      <x:c r="L164" s="100" t="n">
        <x:f>IF(I164,G164,"")</x:f>
        <x:v>0.019989775398260738</x:v>
      </x:c>
      <x:c r="M164" s="100" t="n">
        <x:f>IF(I164,F164^2,"")</x:f>
        <x:v>0.00039959112047291027</x:v>
      </x:c>
      <x:c r="N164" s="100" t="n">
        <x:f>IF(I164,F164,"")</x:f>
        <x:v>-0.019989775398260738</x:v>
      </x:c>
      <x:c r="P164" t="n">
        <x:f>J164</x:f>
        <x:v>0.03222743319261328</x:v>
      </x:c>
      <x:c r="Q164" t="n">
        <x:f>K164</x:f>
        <x:v>0.012237657794352541</x:v>
      </x:c>
    </x:row>
    <x:row r="165">
      <x:c r="A165" s="99" t="str">
        <x:f>'Raw T'!B159</x:f>
        <x:v>00205</x:v>
      </x:c>
      <x:c r="B165" s="100" t="n">
        <x:f>INDEX('Raw Stations'!$D$2:$D$299,MATCH(A165,'Raw Stations'!$A$2:$A$299,0))</x:f>
        <x:v>0.03290607268106729</x:v>
      </x:c>
      <x:c r="C165" s="100" t="n">
        <x:f>'Raw T'!L159</x:f>
        <x:v>-0.0135856608558101</x:v>
      </x:c>
      <x:c r="D165" s="100" t="n">
        <x:f>$B$2</x:f>
        <x:v>-0.01783376051078768</x:v>
      </x:c>
      <x:c r="E165" s="100" t="n">
        <x:f>C165-D165</x:f>
        <x:v>0.004248099654977581</x:v>
      </x:c>
      <x:c r="F165" s="100" t="n">
        <x:f>E165-B165</x:f>
        <x:v>-0.028657973026089707</x:v>
      </x:c>
      <x:c r="G165" s="100" t="n">
        <x:f>ABS(F165)</x:f>
        <x:v>0.028657973026089707</x:v>
      </x:c>
      <x:c r="H165" s="100" t="n">
        <x:f>'Raw T'!N159</x:f>
        <x:v>0.9463113383363921</x:v>
      </x:c>
      <x:c r="I165" t="b">
        <x:f>'Raw T'!O159</x:f>
        <x:v>1</x:v>
      </x:c>
      <x:c r="J165" s="100" t="n">
        <x:f>IF(I165,B165,"")</x:f>
        <x:v>0.03290607268106729</x:v>
      </x:c>
      <x:c r="K165" s="100" t="n">
        <x:f>IF(I165,E165,"")</x:f>
        <x:v>0.004248099654977581</x:v>
      </x:c>
      <x:c r="L165" s="100" t="n">
        <x:f>IF(I165,G165,"")</x:f>
        <x:v>0.028657973026089707</x:v>
      </x:c>
      <x:c r="M165" s="100" t="n">
        <x:f>IF(I165,F165^2,"")</x:f>
        <x:v>0.0008212794179640852</x:v>
      </x:c>
      <x:c r="N165" s="100" t="n">
        <x:f>IF(I165,F165,"")</x:f>
        <x:v>-0.028657973026089707</x:v>
      </x:c>
      <x:c r="P165" t="n">
        <x:f>J165</x:f>
        <x:v>0.03290607268106729</x:v>
      </x:c>
      <x:c r="Q165" t="n">
        <x:f>K165</x:f>
        <x:v>0.004248099654977581</x:v>
      </x:c>
    </x:row>
    <x:row r="166">
      <x:c r="A166" s="99" t="str">
        <x:f>'Raw T'!B160</x:f>
        <x:v>00206</x:v>
      </x:c>
      <x:c r="B166" s="100" t="n">
        <x:f>INDEX('Raw Stations'!$D$2:$D$299,MATCH(A166,'Raw Stations'!$A$2:$A$299,0))</x:f>
        <x:v>-0.009619256451526385</x:v>
      </x:c>
      <x:c r="C166" s="100" t="n">
        <x:f>'Raw T'!L160</x:f>
        <x:v>0.001291364209218947</x:v>
      </x:c>
      <x:c r="D166" s="100" t="n">
        <x:f>$B$2</x:f>
        <x:v>-0.01783376051078768</x:v>
      </x:c>
      <x:c r="E166" s="100" t="n">
        <x:f>C166-D166</x:f>
        <x:v>0.019125124720006628</x:v>
      </x:c>
      <x:c r="F166" s="100" t="n">
        <x:f>E166-B166</x:f>
        <x:v>0.028744381171533013</x:v>
      </x:c>
      <x:c r="G166" s="100" t="n">
        <x:f>ABS(F166)</x:f>
        <x:v>0.028744381171533013</x:v>
      </x:c>
      <x:c r="H166" s="100" t="n">
        <x:f>'Raw T'!N160</x:f>
        <x:v>0.4660063082770012</x:v>
      </x:c>
      <x:c r="I166" t="b">
        <x:f>'Raw T'!O160</x:f>
        <x:v>0</x:v>
      </x:c>
      <x:c r="J166" s="100" t="str">
        <x:f>IF(I166,B166,"")</x:f>
      </x:c>
      <x:c r="K166" s="100" t="str">
        <x:f>IF(I166,E166,"")</x:f>
      </x:c>
      <x:c r="L166" s="100" t="str">
        <x:f>IF(I166,G166,"")</x:f>
      </x:c>
      <x:c r="M166" s="100" t="str">
        <x:f>IF(I166,F166^2,"")</x:f>
      </x:c>
      <x:c r="N166" s="100" t="str">
        <x:f>IF(I166,F166,"")</x:f>
      </x:c>
      <x:c r="P166" t="str">
        <x:f>J166</x:f>
      </x:c>
      <x:c r="Q166" t="str">
        <x:f>K166</x:f>
      </x:c>
    </x:row>
    <x:row r="167">
      <x:c r="A167" s="99" t="str">
        <x:f>'Raw T'!B161</x:f>
        <x:v>00207</x:v>
      </x:c>
      <x:c r="B167" s="100" t="n">
        <x:f>INDEX('Raw Stations'!$D$2:$D$299,MATCH(A167,'Raw Stations'!$A$2:$A$299,0))</x:f>
        <x:v>-0.007172862165031633</x:v>
      </x:c>
      <x:c r="C167" s="100" t="n">
        <x:f>'Raw T'!L161</x:f>
        <x:v>0.001269539192363389</x:v>
      </x:c>
      <x:c r="D167" s="100" t="n">
        <x:f>$B$2</x:f>
        <x:v>-0.01783376051078768</x:v>
      </x:c>
      <x:c r="E167" s="100" t="n">
        <x:f>C167-D167</x:f>
        <x:v>0.01910329970315107</x:v>
      </x:c>
      <x:c r="F167" s="100" t="n">
        <x:f>E167-B167</x:f>
        <x:v>0.026276161868182702</x:v>
      </x:c>
      <x:c r="G167" s="100" t="n">
        <x:f>ABS(F167)</x:f>
        <x:v>0.026276161868182702</x:v>
      </x:c>
      <x:c r="H167" s="100" t="n">
        <x:f>'Raw T'!N161</x:f>
        <x:v>0.8530547886057126</x:v>
      </x:c>
      <x:c r="I167" t="b">
        <x:f>'Raw T'!O161</x:f>
        <x:v>1</x:v>
      </x:c>
      <x:c r="J167" s="100" t="n">
        <x:f>IF(I167,B167,"")</x:f>
        <x:v>-0.007172862165031633</x:v>
      </x:c>
      <x:c r="K167" s="100" t="n">
        <x:f>IF(I167,E167,"")</x:f>
        <x:v>0.01910329970315107</x:v>
      </x:c>
      <x:c r="L167" s="100" t="n">
        <x:f>IF(I167,G167,"")</x:f>
        <x:v>0.026276161868182702</x:v>
      </x:c>
      <x:c r="M167" s="100" t="n">
        <x:f>IF(I167,F167^2,"")</x:f>
        <x:v>0.0006904366825229387</x:v>
      </x:c>
      <x:c r="N167" s="100" t="n">
        <x:f>IF(I167,F167,"")</x:f>
        <x:v>0.026276161868182702</x:v>
      </x:c>
      <x:c r="P167" t="n">
        <x:f>J167</x:f>
        <x:v>-0.007172862165031633</x:v>
      </x:c>
      <x:c r="Q167" t="n">
        <x:f>K167</x:f>
        <x:v>0.01910329970315107</x:v>
      </x:c>
    </x:row>
    <x:row r="168">
      <x:c r="A168" s="99" t="str">
        <x:f>'Raw T'!B162</x:f>
        <x:v>00209</x:v>
      </x:c>
      <x:c r="B168" s="100" t="n">
        <x:f>INDEX('Raw Stations'!$D$2:$D$299,MATCH(A168,'Raw Stations'!$A$2:$A$299,0))</x:f>
        <x:v>0.009499429343574405</x:v>
      </x:c>
      <x:c r="C168" s="100" t="n">
        <x:f>'Raw T'!L162</x:f>
        <x:v>-0.01396609725481657</x:v>
      </x:c>
      <x:c r="D168" s="100" t="n">
        <x:f>$B$2</x:f>
        <x:v>-0.01783376051078768</x:v>
      </x:c>
      <x:c r="E168" s="100" t="n">
        <x:f>C168-D168</x:f>
        <x:v>0.0038676632559711092</x:v>
      </x:c>
      <x:c r="F168" s="100" t="n">
        <x:f>E168-B168</x:f>
        <x:v>-0.005631766087603296</x:v>
      </x:c>
      <x:c r="G168" s="100" t="n">
        <x:f>ABS(F168)</x:f>
        <x:v>0.005631766087603296</x:v>
      </x:c>
      <x:c r="H168" s="100" t="n">
        <x:f>'Raw T'!N162</x:f>
        <x:v>0.91822543250687</x:v>
      </x:c>
      <x:c r="I168" t="b">
        <x:f>'Raw T'!O162</x:f>
        <x:v>1</x:v>
      </x:c>
      <x:c r="J168" s="100" t="n">
        <x:f>IF(I168,B168,"")</x:f>
        <x:v>0.009499429343574405</x:v>
      </x:c>
      <x:c r="K168" s="100" t="n">
        <x:f>IF(I168,E168,"")</x:f>
        <x:v>0.0038676632559711092</x:v>
      </x:c>
      <x:c r="L168" s="100" t="n">
        <x:f>IF(I168,G168,"")</x:f>
        <x:v>0.005631766087603296</x:v>
      </x:c>
      <x:c r="M168" s="100" t="n">
        <x:f>IF(I168,F168^2,"")</x:f>
        <x:v>0.000031716789265478534</x:v>
      </x:c>
      <x:c r="N168" s="100" t="n">
        <x:f>IF(I168,F168,"")</x:f>
        <x:v>-0.005631766087603296</x:v>
      </x:c>
      <x:c r="P168" t="n">
        <x:f>J168</x:f>
        <x:v>0.009499429343574405</x:v>
      </x:c>
      <x:c r="Q168" t="n">
        <x:f>K168</x:f>
        <x:v>0.0038676632559711092</x:v>
      </x:c>
    </x:row>
    <x:row r="169">
      <x:c r="A169" s="99" t="str">
        <x:f>'Raw T'!B163</x:f>
        <x:v>00210</x:v>
      </x:c>
      <x:c r="B169" s="100" t="n">
        <x:f>INDEX('Raw Stations'!$D$2:$D$299,MATCH(A169,'Raw Stations'!$A$2:$A$299,0))</x:f>
        <x:v>-0.00565086612055193</x:v>
      </x:c>
      <x:c r="C169" s="100" t="n">
        <x:f>'Raw T'!L163</x:f>
        <x:v>-0.01743106341209</x:v>
      </x:c>
      <x:c r="D169" s="100" t="n">
        <x:f>$B$2</x:f>
        <x:v>-0.01783376051078768</x:v>
      </x:c>
      <x:c r="E169" s="100" t="n">
        <x:f>C169-D169</x:f>
        <x:v>0.000402697098697679</x:v>
      </x:c>
      <x:c r="F169" s="100" t="n">
        <x:f>E169-B169</x:f>
        <x:v>0.006053563219249609</x:v>
      </x:c>
      <x:c r="G169" s="100" t="n">
        <x:f>ABS(F169)</x:f>
        <x:v>0.006053563219249609</x:v>
      </x:c>
      <x:c r="H169" s="100" t="n">
        <x:f>'Raw T'!N163</x:f>
        <x:v>0.8963796003019849</x:v>
      </x:c>
      <x:c r="I169" t="b">
        <x:f>'Raw T'!O163</x:f>
        <x:v>1</x:v>
      </x:c>
      <x:c r="J169" s="100" t="n">
        <x:f>IF(I169,B169,"")</x:f>
        <x:v>-0.00565086612055193</x:v>
      </x:c>
      <x:c r="K169" s="100" t="n">
        <x:f>IF(I169,E169,"")</x:f>
        <x:v>0.000402697098697679</x:v>
      </x:c>
      <x:c r="L169" s="100" t="n">
        <x:f>IF(I169,G169,"")</x:f>
        <x:v>0.006053563219249609</x:v>
      </x:c>
      <x:c r="M169" s="100" t="n">
        <x:f>IF(I169,F169^2,"")</x:f>
        <x:v>0.000036645627649451685</x:v>
      </x:c>
      <x:c r="N169" s="100" t="n">
        <x:f>IF(I169,F169,"")</x:f>
        <x:v>0.006053563219249609</x:v>
      </x:c>
      <x:c r="P169" t="n">
        <x:f>J169</x:f>
        <x:v>-0.00565086612055193</x:v>
      </x:c>
      <x:c r="Q169" t="n">
        <x:f>K169</x:f>
        <x:v>0.000402697098697679</x:v>
      </x:c>
    </x:row>
    <x:row r="170">
      <x:c r="A170" s="99" t="str">
        <x:f>'Raw T'!B164</x:f>
        <x:v>00211</x:v>
      </x:c>
      <x:c r="B170" s="100" t="n">
        <x:f>INDEX('Raw Stations'!$D$2:$D$299,MATCH(A170,'Raw Stations'!$A$2:$A$299,0))</x:f>
        <x:v>-0.01032022145899443</x:v>
      </x:c>
      <x:c r="C170" s="100" t="n">
        <x:f>'Raw T'!L164</x:f>
        <x:v>-0.01477876510233457</x:v>
      </x:c>
      <x:c r="D170" s="100" t="n">
        <x:f>$B$2</x:f>
        <x:v>-0.01783376051078768</x:v>
      </x:c>
      <x:c r="E170" s="100" t="n">
        <x:f>C170-D170</x:f>
        <x:v>0.0030549954084531095</x:v>
      </x:c>
      <x:c r="F170" s="100" t="n">
        <x:f>E170-B170</x:f>
        <x:v>0.01337521686744754</x:v>
      </x:c>
      <x:c r="G170" s="100" t="n">
        <x:f>ABS(F170)</x:f>
        <x:v>0.01337521686744754</x:v>
      </x:c>
      <x:c r="H170" s="100" t="n">
        <x:f>'Raw T'!N164</x:f>
        <x:v>0.9726991156782795</x:v>
      </x:c>
      <x:c r="I170" t="b">
        <x:f>'Raw T'!O164</x:f>
        <x:v>1</x:v>
      </x:c>
      <x:c r="J170" s="100" t="n">
        <x:f>IF(I170,B170,"")</x:f>
        <x:v>-0.01032022145899443</x:v>
      </x:c>
      <x:c r="K170" s="100" t="n">
        <x:f>IF(I170,E170,"")</x:f>
        <x:v>0.0030549954084531095</x:v>
      </x:c>
      <x:c r="L170" s="100" t="n">
        <x:f>IF(I170,G170,"")</x:f>
        <x:v>0.01337521686744754</x:v>
      </x:c>
      <x:c r="M170" s="100" t="n">
        <x:f>IF(I170,F170^2,"")</x:f>
        <x:v>0.00017889642625125318</x:v>
      </x:c>
      <x:c r="N170" s="100" t="n">
        <x:f>IF(I170,F170,"")</x:f>
        <x:v>0.01337521686744754</x:v>
      </x:c>
      <x:c r="P170" t="n">
        <x:f>J170</x:f>
        <x:v>-0.01032022145899443</x:v>
      </x:c>
      <x:c r="Q170" t="n">
        <x:f>K170</x:f>
        <x:v>0.0030549954084531095</x:v>
      </x:c>
    </x:row>
    <x:row r="171">
      <x:c r="A171" s="99" t="str">
        <x:f>'Raw T'!B165</x:f>
        <x:v>00212</x:v>
      </x:c>
      <x:c r="B171" s="100" t="n">
        <x:f>INDEX('Raw Stations'!$D$2:$D$299,MATCH(A171,'Raw Stations'!$A$2:$A$299,0))</x:f>
        <x:v>0.00106279257642573</x:v>
      </x:c>
      <x:c r="C171" s="100" t="n">
        <x:f>'Raw T'!L165</x:f>
        <x:v>-0.01610956650593522</x:v>
      </x:c>
      <x:c r="D171" s="100" t="n">
        <x:f>$B$2</x:f>
        <x:v>-0.01783376051078768</x:v>
      </x:c>
      <x:c r="E171" s="100" t="n">
        <x:f>C171-D171</x:f>
        <x:v>0.0017241940048524605</x:v>
      </x:c>
      <x:c r="F171" s="100" t="n">
        <x:f>E171-B171</x:f>
        <x:v>0.0006614014284267306</x:v>
      </x:c>
      <x:c r="G171" s="100" t="n">
        <x:f>ABS(F171)</x:f>
        <x:v>0.0006614014284267306</x:v>
      </x:c>
      <x:c r="H171" s="100" t="n">
        <x:f>'Raw T'!N165</x:f>
        <x:v>0.9484168210332647</x:v>
      </x:c>
      <x:c r="I171" t="b">
        <x:f>'Raw T'!O165</x:f>
        <x:v>1</x:v>
      </x:c>
      <x:c r="J171" s="100" t="n">
        <x:f>IF(I171,B171,"")</x:f>
        <x:v>0.00106279257642573</x:v>
      </x:c>
      <x:c r="K171" s="100" t="n">
        <x:f>IF(I171,E171,"")</x:f>
        <x:v>0.0017241940048524605</x:v>
      </x:c>
      <x:c r="L171" s="100" t="n">
        <x:f>IF(I171,G171,"")</x:f>
        <x:v>0.0006614014284267306</x:v>
      </x:c>
      <x:c r="M171" s="100" t="n">
        <x:f>IF(I171,F171^2,"")</x:f>
        <x:v>4.374518495249196e-7</x:v>
      </x:c>
      <x:c r="N171" s="100" t="n">
        <x:f>IF(I171,F171,"")</x:f>
        <x:v>0.0006614014284267306</x:v>
      </x:c>
      <x:c r="P171" t="n">
        <x:f>J171</x:f>
        <x:v>0.00106279257642573</x:v>
      </x:c>
      <x:c r="Q171" t="n">
        <x:f>K171</x:f>
        <x:v>0.0017241940048524605</x:v>
      </x:c>
    </x:row>
    <x:row r="172">
      <x:c r="A172" s="99" t="str">
        <x:f>'Raw T'!B166</x:f>
        <x:v>00213</x:v>
      </x:c>
      <x:c r="B172" s="100" t="n">
        <x:f>INDEX('Raw Stations'!$D$2:$D$299,MATCH(A172,'Raw Stations'!$A$2:$A$299,0))</x:f>
        <x:v>0.0001407953079788117</x:v>
      </x:c>
      <x:c r="C172" s="100" t="n">
        <x:f>'Raw T'!L166</x:f>
        <x:v>-0.01924716813747909</x:v>
      </x:c>
      <x:c r="D172" s="100" t="n">
        <x:f>$B$2</x:f>
        <x:v>-0.01783376051078768</x:v>
      </x:c>
      <x:c r="E172" s="100" t="n">
        <x:f>C172-D172</x:f>
        <x:v>-0.001413407626691409</x:v>
      </x:c>
      <x:c r="F172" s="100" t="n">
        <x:f>E172-B172</x:f>
        <x:v>-0.0015542029346702207</x:v>
      </x:c>
      <x:c r="G172" s="100" t="n">
        <x:f>ABS(F172)</x:f>
        <x:v>0.0015542029346702207</x:v>
      </x:c>
      <x:c r="H172" s="100" t="n">
        <x:f>'Raw T'!N166</x:f>
        <x:v>0.997455235547712</x:v>
      </x:c>
      <x:c r="I172" t="b">
        <x:f>'Raw T'!O166</x:f>
        <x:v>1</x:v>
      </x:c>
      <x:c r="J172" s="100" t="n">
        <x:f>IF(I172,B172,"")</x:f>
        <x:v>0.0001407953079788117</x:v>
      </x:c>
      <x:c r="K172" s="100" t="n">
        <x:f>IF(I172,E172,"")</x:f>
        <x:v>-0.001413407626691409</x:v>
      </x:c>
      <x:c r="L172" s="100" t="n">
        <x:f>IF(I172,G172,"")</x:f>
        <x:v>0.0015542029346702207</x:v>
      </x:c>
      <x:c r="M172" s="100" t="n">
        <x:f>IF(I172,F172^2,"")</x:f>
        <x:v>0.0000024155467621375264</x:v>
      </x:c>
      <x:c r="N172" s="100" t="n">
        <x:f>IF(I172,F172,"")</x:f>
        <x:v>-0.0015542029346702207</x:v>
      </x:c>
      <x:c r="P172" t="n">
        <x:f>J172</x:f>
        <x:v>0.0001407953079788117</x:v>
      </x:c>
      <x:c r="Q172" t="n">
        <x:f>K172</x:f>
        <x:v>-0.001413407626691409</x:v>
      </x:c>
    </x:row>
    <x:row r="173">
      <x:c r="A173" s="99" t="str">
        <x:f>'Raw T'!B167</x:f>
        <x:v>00214</x:v>
      </x:c>
      <x:c r="B173" s="100" t="n">
        <x:f>INDEX('Raw Stations'!$D$2:$D$299,MATCH(A173,'Raw Stations'!$A$2:$A$299,0))</x:f>
        <x:v>0.00355898282164346</x:v>
      </x:c>
      <x:c r="C173" s="100" t="n">
        <x:f>'Raw T'!L167</x:f>
        <x:v>-0.01689956082169668</x:v>
      </x:c>
      <x:c r="D173" s="100" t="n">
        <x:f>$B$2</x:f>
        <x:v>-0.01783376051078768</x:v>
      </x:c>
      <x:c r="E173" s="100" t="n">
        <x:f>C173-D173</x:f>
        <x:v>0.0009341996890909997</x:v>
      </x:c>
      <x:c r="F173" s="100" t="n">
        <x:f>E173-B173</x:f>
        <x:v>-0.0026247831325524602</x:v>
      </x:c>
      <x:c r="G173" s="100" t="n">
        <x:f>ABS(F173)</x:f>
        <x:v>0.0026247831325524602</x:v>
      </x:c>
      <x:c r="H173" s="100" t="n">
        <x:f>'Raw T'!N167</x:f>
        <x:v>0.9870678549115942</x:v>
      </x:c>
      <x:c r="I173" t="b">
        <x:f>'Raw T'!O167</x:f>
        <x:v>1</x:v>
      </x:c>
      <x:c r="J173" s="100" t="n">
        <x:f>IF(I173,B173,"")</x:f>
        <x:v>0.00355898282164346</x:v>
      </x:c>
      <x:c r="K173" s="100" t="n">
        <x:f>IF(I173,E173,"")</x:f>
        <x:v>0.0009341996890909997</x:v>
      </x:c>
      <x:c r="L173" s="100" t="n">
        <x:f>IF(I173,G173,"")</x:f>
        <x:v>0.0026247831325524602</x:v>
      </x:c>
      <x:c r="M173" s="100" t="n">
        <x:f>IF(I173,F173^2,"")</x:f>
        <x:v>0.000006889486492931906</x:v>
      </x:c>
      <x:c r="N173" s="100" t="n">
        <x:f>IF(I173,F173,"")</x:f>
        <x:v>-0.0026247831325524602</x:v>
      </x:c>
      <x:c r="P173" t="n">
        <x:f>J173</x:f>
        <x:v>0.00355898282164346</x:v>
      </x:c>
      <x:c r="Q173" t="n">
        <x:f>K173</x:f>
        <x:v>0.0009341996890909997</x:v>
      </x:c>
    </x:row>
    <x:row r="174">
      <x:c r="A174" s="99" t="str">
        <x:f>'Raw T'!B168</x:f>
        <x:v>00215</x:v>
      </x:c>
      <x:c r="B174" s="100" t="n">
        <x:f>INDEX('Raw Stations'!$D$2:$D$299,MATCH(A174,'Raw Stations'!$A$2:$A$299,0))</x:f>
        <x:v>0.004751695118382891</x:v>
      </x:c>
      <x:c r="C174" s="100" t="n">
        <x:f>'Raw T'!L168</x:f>
        <x:v>-0.01374003841849451</x:v>
      </x:c>
      <x:c r="D174" s="100" t="n">
        <x:f>$B$2</x:f>
        <x:v>-0.01783376051078768</x:v>
      </x:c>
      <x:c r="E174" s="100" t="n">
        <x:f>C174-D174</x:f>
        <x:v>0.004093722092293171</x:v>
      </x:c>
      <x:c r="F174" s="100" t="n">
        <x:f>E174-B174</x:f>
        <x:v>-0.0006579730260897207</x:v>
      </x:c>
      <x:c r="G174" s="100" t="n">
        <x:f>ABS(F174)</x:f>
        <x:v>0.0006579730260897207</x:v>
      </x:c>
      <x:c r="H174" s="100" t="n">
        <x:f>'Raw T'!N168</x:f>
        <x:v>0.9725044696334679</x:v>
      </x:c>
      <x:c r="I174" t="b">
        <x:f>'Raw T'!O168</x:f>
        <x:v>1</x:v>
      </x:c>
      <x:c r="J174" s="100" t="n">
        <x:f>IF(I174,B174,"")</x:f>
        <x:v>0.004751695118382891</x:v>
      </x:c>
      <x:c r="K174" s="100" t="n">
        <x:f>IF(I174,E174,"")</x:f>
        <x:v>0.004093722092293171</x:v>
      </x:c>
      <x:c r="L174" s="100" t="n">
        <x:f>IF(I174,G174,"")</x:f>
        <x:v>0.0006579730260897207</x:v>
      </x:c>
      <x:c r="M174" s="100" t="n">
        <x:f>IF(I174,F174^2,"")</x:f>
        <x:v>4.3292850306166434e-7</x:v>
      </x:c>
      <x:c r="N174" s="100" t="n">
        <x:f>IF(I174,F174,"")</x:f>
        <x:v>-0.0006579730260897207</x:v>
      </x:c>
      <x:c r="P174" t="n">
        <x:f>J174</x:f>
        <x:v>0.004751695118382891</x:v>
      </x:c>
      <x:c r="Q174" t="n">
        <x:f>K174</x:f>
        <x:v>0.004093722092293171</x:v>
      </x:c>
    </x:row>
    <x:row r="175">
      <x:c r="A175" s="99" t="str">
        <x:f>'Raw T'!B169</x:f>
        <x:v>00216</x:v>
      </x:c>
      <x:c r="B175" s="100" t="n">
        <x:f>INDEX('Raw Stations'!$D$2:$D$299,MATCH(A175,'Raw Stations'!$A$2:$A$299,0))</x:f>
        <x:v>0.003101601441187631</x:v>
      </x:c>
      <x:c r="C175" s="100" t="n">
        <x:f>'Raw T'!L169</x:f>
        <x:v>-0.01140874708434986</x:v>
      </x:c>
      <x:c r="D175" s="100" t="n">
        <x:f>$B$2</x:f>
        <x:v>-0.01783376051078768</x:v>
      </x:c>
      <x:c r="E175" s="100" t="n">
        <x:f>C175-D175</x:f>
        <x:v>0.006425013426437819</x:v>
      </x:c>
      <x:c r="F175" s="100" t="n">
        <x:f>E175-B175</x:f>
        <x:v>0.0033234119852501884</x:v>
      </x:c>
      <x:c r="G175" s="100" t="n">
        <x:f>ABS(F175)</x:f>
        <x:v>0.0033234119852501884</x:v>
      </x:c>
      <x:c r="H175" s="100" t="n">
        <x:f>'Raw T'!N169</x:f>
        <x:v>0.99067779571315</x:v>
      </x:c>
      <x:c r="I175" t="b">
        <x:f>'Raw T'!O169</x:f>
        <x:v>1</x:v>
      </x:c>
      <x:c r="J175" s="100" t="n">
        <x:f>IF(I175,B175,"")</x:f>
        <x:v>0.003101601441187631</x:v>
      </x:c>
      <x:c r="K175" s="100" t="n">
        <x:f>IF(I175,E175,"")</x:f>
        <x:v>0.006425013426437819</x:v>
      </x:c>
      <x:c r="L175" s="100" t="n">
        <x:f>IF(I175,G175,"")</x:f>
        <x:v>0.0033234119852501884</x:v>
      </x:c>
      <x:c r="M175" s="100" t="n">
        <x:f>IF(I175,F175^2,"")</x:f>
        <x:v>0.000011045067223704598</x:v>
      </x:c>
      <x:c r="N175" s="100" t="n">
        <x:f>IF(I175,F175,"")</x:f>
        <x:v>0.0033234119852501884</x:v>
      </x:c>
      <x:c r="P175" t="n">
        <x:f>J175</x:f>
        <x:v>0.003101601441187631</x:v>
      </x:c>
      <x:c r="Q175" t="n">
        <x:f>K175</x:f>
        <x:v>0.006425013426437819</x:v>
      </x:c>
    </x:row>
    <x:row r="176">
      <x:c r="A176" s="99" t="str">
        <x:f>'Raw T'!B170</x:f>
        <x:v>00217</x:v>
      </x:c>
      <x:c r="B176" s="100" t="n">
        <x:f>INDEX('Raw Stations'!$D$2:$D$299,MATCH(A176,'Raw Stations'!$A$2:$A$299,0))</x:f>
        <x:v>0.01503641012920754</x:v>
      </x:c>
      <x:c r="C176" s="100" t="n">
        <x:f>'Raw T'!L170</x:f>
        <x:v>-0.01225765983667998</x:v>
      </x:c>
      <x:c r="D176" s="100" t="n">
        <x:f>$B$2</x:f>
        <x:v>-0.01783376051078768</x:v>
      </x:c>
      <x:c r="E176" s="100" t="n">
        <x:f>C176-D176</x:f>
        <x:v>0.005576100674107701</x:v>
      </x:c>
      <x:c r="F176" s="100" t="n">
        <x:f>E176-B176</x:f>
        <x:v>-0.00946030945509984</x:v>
      </x:c>
      <x:c r="G176" s="100" t="n">
        <x:f>ABS(F176)</x:f>
        <x:v>0.00946030945509984</x:v>
      </x:c>
      <x:c r="H176" s="100" t="n">
        <x:f>'Raw T'!N170</x:f>
        <x:v>0.9817515444418683</x:v>
      </x:c>
      <x:c r="I176" t="b">
        <x:f>'Raw T'!O170</x:f>
        <x:v>1</x:v>
      </x:c>
      <x:c r="J176" s="100" t="n">
        <x:f>IF(I176,B176,"")</x:f>
        <x:v>0.01503641012920754</x:v>
      </x:c>
      <x:c r="K176" s="100" t="n">
        <x:f>IF(I176,E176,"")</x:f>
        <x:v>0.005576100674107701</x:v>
      </x:c>
      <x:c r="L176" s="100" t="n">
        <x:f>IF(I176,G176,"")</x:f>
        <x:v>0.00946030945509984</x:v>
      </x:c>
      <x:c r="M176" s="100" t="n">
        <x:f>IF(I176,F176^2,"")</x:f>
        <x:v>0.00008949745498625143</x:v>
      </x:c>
      <x:c r="N176" s="100" t="n">
        <x:f>IF(I176,F176,"")</x:f>
        <x:v>-0.00946030945509984</x:v>
      </x:c>
      <x:c r="P176" t="n">
        <x:f>J176</x:f>
        <x:v>0.01503641012920754</x:v>
      </x:c>
      <x:c r="Q176" t="n">
        <x:f>K176</x:f>
        <x:v>0.005576100674107701</x:v>
      </x:c>
    </x:row>
    <x:row r="177">
      <x:c r="A177" s="99" t="str">
        <x:f>'Raw T'!B171</x:f>
        <x:v>00218</x:v>
      </x:c>
      <x:c r="B177" s="100" t="n">
        <x:f>INDEX('Raw Stations'!$D$2:$D$299,MATCH(A177,'Raw Stations'!$A$2:$A$299,0))</x:f>
        <x:v>0.01187050924168058</x:v>
      </x:c>
      <x:c r="C177" s="100" t="n">
        <x:f>'Raw T'!L171</x:f>
        <x:v>-0.01551745420377733</x:v>
      </x:c>
      <x:c r="D177" s="100" t="n">
        <x:f>$B$2</x:f>
        <x:v>-0.01783376051078768</x:v>
      </x:c>
      <x:c r="E177" s="100" t="n">
        <x:f>C177-D177</x:f>
        <x:v>0.00231630630701035</x:v>
      </x:c>
      <x:c r="F177" s="100" t="n">
        <x:f>E177-B177</x:f>
        <x:v>-0.00955420293467023</x:v>
      </x:c>
      <x:c r="G177" s="100" t="n">
        <x:f>ABS(F177)</x:f>
        <x:v>0.00955420293467023</x:v>
      </x:c>
      <x:c r="H177" s="100" t="n">
        <x:f>'Raw T'!N171</x:f>
        <x:v>0.9740364433565311</x:v>
      </x:c>
      <x:c r="I177" t="b">
        <x:f>'Raw T'!O171</x:f>
        <x:v>1</x:v>
      </x:c>
      <x:c r="J177" s="100" t="n">
        <x:f>IF(I177,B177,"")</x:f>
        <x:v>0.01187050924168058</x:v>
      </x:c>
      <x:c r="K177" s="100" t="n">
        <x:f>IF(I177,E177,"")</x:f>
        <x:v>0.00231630630701035</x:v>
      </x:c>
      <x:c r="L177" s="100" t="n">
        <x:f>IF(I177,G177,"")</x:f>
        <x:v>0.00955420293467023</x:v>
      </x:c>
      <x:c r="M177" s="100" t="n">
        <x:f>IF(I177,F177^2,"")</x:f>
        <x:v>0.00009128279371686122</x:v>
      </x:c>
      <x:c r="N177" s="100" t="n">
        <x:f>IF(I177,F177,"")</x:f>
        <x:v>-0.00955420293467023</x:v>
      </x:c>
      <x:c r="P177" t="n">
        <x:f>J177</x:f>
        <x:v>0.01187050924168058</x:v>
      </x:c>
      <x:c r="Q177" t="n">
        <x:f>K177</x:f>
        <x:v>0.00231630630701035</x:v>
      </x:c>
    </x:row>
    <x:row r="178">
      <x:c r="A178" s="99" t="str">
        <x:f>'Raw T'!B172</x:f>
        <x:v>00219</x:v>
      </x:c>
      <x:c r="B178" s="100" t="n">
        <x:f>INDEX('Raw Stations'!$D$2:$D$299,MATCH(A178,'Raw Stations'!$A$2:$A$299,0))</x:f>
        <x:v>0.02130093791491798</x:v>
      </x:c>
      <x:c r="C178" s="100" t="n">
        <x:f>'Raw T'!L172</x:f>
        <x:v>-0.006973675540665164</x:v>
      </x:c>
      <x:c r="D178" s="100" t="n">
        <x:f>$B$2</x:f>
        <x:v>-0.01783376051078768</x:v>
      </x:c>
      <x:c r="E178" s="100" t="n">
        <x:f>C178-D178</x:f>
        <x:v>0.010860084970122516</x:v>
      </x:c>
      <x:c r="F178" s="100" t="n">
        <x:f>E178-B178</x:f>
        <x:v>-0.010440852944795465</x:v>
      </x:c>
      <x:c r="G178" s="100" t="n">
        <x:f>ABS(F178)</x:f>
        <x:v>0.010440852944795465</x:v>
      </x:c>
      <x:c r="H178" s="100" t="n">
        <x:f>'Raw T'!N172</x:f>
        <x:v>0.9852062581375476</x:v>
      </x:c>
      <x:c r="I178" t="b">
        <x:f>'Raw T'!O172</x:f>
        <x:v>1</x:v>
      </x:c>
      <x:c r="J178" s="100" t="n">
        <x:f>IF(I178,B178,"")</x:f>
        <x:v>0.02130093791491798</x:v>
      </x:c>
      <x:c r="K178" s="100" t="n">
        <x:f>IF(I178,E178,"")</x:f>
        <x:v>0.010860084970122516</x:v>
      </x:c>
      <x:c r="L178" s="100" t="n">
        <x:f>IF(I178,G178,"")</x:f>
        <x:v>0.010440852944795465</x:v>
      </x:c>
      <x:c r="M178" s="100" t="n">
        <x:f>IF(I178,F178^2,"")</x:f>
        <x:v>0.00010901141021484413</x:v>
      </x:c>
      <x:c r="N178" s="100" t="n">
        <x:f>IF(I178,F178,"")</x:f>
        <x:v>-0.010440852944795465</x:v>
      </x:c>
      <x:c r="P178" t="n">
        <x:f>J178</x:f>
        <x:v>0.02130093791491798</x:v>
      </x:c>
      <x:c r="Q178" t="n">
        <x:f>K178</x:f>
        <x:v>0.010860084970122516</x:v>
      </x:c>
    </x:row>
    <x:row r="179">
      <x:c r="A179" s="99" t="str">
        <x:f>'Raw T'!B173</x:f>
        <x:v>00220</x:v>
      </x:c>
      <x:c r="B179" s="100" t="n">
        <x:f>INDEX('Raw Stations'!$D$2:$D$299,MATCH(A179,'Raw Stations'!$A$2:$A$299,0))</x:f>
        <x:v>0.02696093406928705</x:v>
      </x:c>
      <x:c r="C179" s="100" t="n">
        <x:f>'Raw T'!L173</x:f>
        <x:v>-0.004286234068192049</x:v>
      </x:c>
      <x:c r="D179" s="100" t="n">
        <x:f>$B$2</x:f>
        <x:v>-0.01783376051078768</x:v>
      </x:c>
      <x:c r="E179" s="100" t="n">
        <x:f>C179-D179</x:f>
        <x:v>0.013547526442595631</x:v>
      </x:c>
      <x:c r="F179" s="100" t="n">
        <x:f>E179-B179</x:f>
        <x:v>-0.01341340762669142</x:v>
      </x:c>
      <x:c r="G179" s="100" t="n">
        <x:f>ABS(F179)</x:f>
        <x:v>0.01341340762669142</x:v>
      </x:c>
      <x:c r="H179" s="100" t="n">
        <x:f>'Raw T'!N173</x:f>
        <x:v>0.9503654986378759</x:v>
      </x:c>
      <x:c r="I179" t="b">
        <x:f>'Raw T'!O173</x:f>
        <x:v>1</x:v>
      </x:c>
      <x:c r="J179" s="100" t="n">
        <x:f>IF(I179,B179,"")</x:f>
        <x:v>0.02696093406928705</x:v>
      </x:c>
      <x:c r="K179" s="100" t="n">
        <x:f>IF(I179,E179,"")</x:f>
        <x:v>0.013547526442595631</x:v>
      </x:c>
      <x:c r="L179" s="100" t="n">
        <x:f>IF(I179,G179,"")</x:f>
        <x:v>0.01341340762669142</x:v>
      </x:c>
      <x:c r="M179" s="100" t="n">
        <x:f>IF(I179,F179^2,"")</x:f>
        <x:v>0.00017991950415978354</x:v>
      </x:c>
      <x:c r="N179" s="100" t="n">
        <x:f>IF(I179,F179,"")</x:f>
        <x:v>-0.01341340762669142</x:v>
      </x:c>
      <x:c r="P179" t="n">
        <x:f>J179</x:f>
        <x:v>0.02696093406928705</x:v>
      </x:c>
      <x:c r="Q179" t="n">
        <x:f>K179</x:f>
        <x:v>0.013547526442595631</x:v>
      </x:c>
    </x:row>
    <x:row r="180">
      <x:c r="A180" s="99" t="str">
        <x:f>'Raw T'!B174</x:f>
        <x:v>00221</x:v>
      </x:c>
      <x:c r="B180" s="100" t="n">
        <x:f>INDEX('Raw Stations'!$D$2:$D$299,MATCH(A180,'Raw Stations'!$A$2:$A$299,0))</x:f>
        <x:v>0.02964191310606143</x:v>
      </x:c>
      <x:c r="C180" s="100" t="n">
        <x:f>'Raw T'!L174</x:f>
        <x:v>-0.005652156859826105</x:v>
      </x:c>
      <x:c r="D180" s="100" t="n">
        <x:f>$B$2</x:f>
        <x:v>-0.01783376051078768</x:v>
      </x:c>
      <x:c r="E180" s="100" t="n">
        <x:f>C180-D180</x:f>
        <x:v>0.012181603650961575</x:v>
      </x:c>
      <x:c r="F180" s="100" t="n">
        <x:f>E180-B180</x:f>
        <x:v>-0.017460309455099854</x:v>
      </x:c>
      <x:c r="G180" s="100" t="n">
        <x:f>ABS(F180)</x:f>
        <x:v>0.017460309455099854</x:v>
      </x:c>
      <x:c r="H180" s="100" t="n">
        <x:f>'Raw T'!N174</x:f>
        <x:v>0.8986014383390155</x:v>
      </x:c>
      <x:c r="I180" t="b">
        <x:f>'Raw T'!O174</x:f>
        <x:v>1</x:v>
      </x:c>
      <x:c r="J180" s="100" t="n">
        <x:f>IF(I180,B180,"")</x:f>
        <x:v>0.02964191310606143</x:v>
      </x:c>
      <x:c r="K180" s="100" t="n">
        <x:f>IF(I180,E180,"")</x:f>
        <x:v>0.012181603650961575</x:v>
      </x:c>
      <x:c r="L180" s="100" t="n">
        <x:f>IF(I180,G180,"")</x:f>
        <x:v>0.017460309455099854</x:v>
      </x:c>
      <x:c r="M180" s="100" t="n">
        <x:f>IF(I180,F180^2,"")</x:f>
        <x:v>0.00030486240626784937</x:v>
      </x:c>
      <x:c r="N180" s="100" t="n">
        <x:f>IF(I180,F180,"")</x:f>
        <x:v>-0.017460309455099854</x:v>
      </x:c>
      <x:c r="P180" t="n">
        <x:f>J180</x:f>
        <x:v>0.02964191310606143</x:v>
      </x:c>
      <x:c r="Q180" t="n">
        <x:f>K180</x:f>
        <x:v>0.012181603650961575</x:v>
      </x:c>
    </x:row>
    <x:row r="181">
      <x:c r="A181" s="99" t="str">
        <x:f>'Raw T'!B175</x:f>
        <x:v>00222</x:v>
      </x:c>
      <x:c r="B181" s="100" t="n">
        <x:f>INDEX('Raw Stations'!$D$2:$D$299,MATCH(A181,'Raw Stations'!$A$2:$A$299,0))</x:f>
        <x:v>-0.01066758252297335</x:v>
      </x:c>
      <x:c r="C181" s="100" t="n">
        <x:f>'Raw T'!L175</x:f>
        <x:v>0.0004766253801950955</x:v>
      </x:c>
      <x:c r="D181" s="100" t="n">
        <x:f>$B$2</x:f>
        <x:v>-0.01783376051078768</x:v>
      </x:c>
      <x:c r="E181" s="100" t="n">
        <x:f>C181-D181</x:f>
        <x:v>0.018310385890982776</x:v>
      </x:c>
      <x:c r="F181" s="100" t="n">
        <x:f>E181-B181</x:f>
        <x:v>0.028977968413956126</x:v>
      </x:c>
      <x:c r="G181" s="100" t="n">
        <x:f>ABS(F181)</x:f>
        <x:v>0.028977968413956126</x:v>
      </x:c>
      <x:c r="H181" s="100" t="n">
        <x:f>'Raw T'!N175</x:f>
        <x:v>0.8440398916877278</x:v>
      </x:c>
      <x:c r="I181" t="b">
        <x:f>'Raw T'!O175</x:f>
        <x:v>1</x:v>
      </x:c>
      <x:c r="J181" s="100" t="n">
        <x:f>IF(I181,B181,"")</x:f>
        <x:v>-0.01066758252297335</x:v>
      </x:c>
      <x:c r="K181" s="100" t="n">
        <x:f>IF(I181,E181,"")</x:f>
        <x:v>0.018310385890982776</x:v>
      </x:c>
      <x:c r="L181" s="100" t="n">
        <x:f>IF(I181,G181,"")</x:f>
        <x:v>0.028977968413956126</x:v>
      </x:c>
      <x:c r="M181" s="100" t="n">
        <x:f>IF(I181,F181^2,"")</x:f>
        <x:v>0.000839722653400239</x:v>
      </x:c>
      <x:c r="N181" s="100" t="n">
        <x:f>IF(I181,F181,"")</x:f>
        <x:v>0.028977968413956126</x:v>
      </x:c>
      <x:c r="P181" t="n">
        <x:f>J181</x:f>
        <x:v>-0.01066758252297335</x:v>
      </x:c>
      <x:c r="Q181" t="n">
        <x:f>K181</x:f>
        <x:v>0.018310385890982776</x:v>
      </x:c>
    </x:row>
    <x:row r="182">
      <x:c r="A182" s="99" t="str">
        <x:f>'Raw T'!B176</x:f>
        <x:v>00223</x:v>
      </x:c>
      <x:c r="B182" s="100" t="n">
        <x:f>INDEX('Raw Stations'!$D$2:$D$299,MATCH(A182,'Raw Stations'!$A$2:$A$299,0))</x:f>
        <x:v>-0.009487009863670848</x:v>
      </x:c>
      <x:c r="C182" s="100" t="n">
        <x:f>'Raw T'!L176</x:f>
        <x:v>-0.005945553507010991</x:v>
      </x:c>
      <x:c r="D182" s="100" t="n">
        <x:f>$B$2</x:f>
        <x:v>-0.01783376051078768</x:v>
      </x:c>
      <x:c r="E182" s="100" t="n">
        <x:f>C182-D182</x:f>
        <x:v>0.011888207003776689</x:v>
      </x:c>
      <x:c r="F182" s="100" t="n">
        <x:f>E182-B182</x:f>
        <x:v>0.021375216867447536</x:v>
      </x:c>
      <x:c r="G182" s="100" t="n">
        <x:f>ABS(F182)</x:f>
        <x:v>0.021375216867447536</x:v>
      </x:c>
      <x:c r="H182" s="100" t="n">
        <x:f>'Raw T'!N176</x:f>
        <x:v>0.9434154966408025</x:v>
      </x:c>
      <x:c r="I182" t="b">
        <x:f>'Raw T'!O176</x:f>
        <x:v>1</x:v>
      </x:c>
      <x:c r="J182" s="100" t="n">
        <x:f>IF(I182,B182,"")</x:f>
        <x:v>-0.009487009863670848</x:v>
      </x:c>
      <x:c r="K182" s="100" t="n">
        <x:f>IF(I182,E182,"")</x:f>
        <x:v>0.011888207003776689</x:v>
      </x:c>
      <x:c r="L182" s="100" t="n">
        <x:f>IF(I182,G182,"")</x:f>
        <x:v>0.021375216867447536</x:v>
      </x:c>
      <x:c r="M182" s="100" t="n">
        <x:f>IF(I182,F182^2,"")</x:f>
        <x:v>0.00045689989613041367</x:v>
      </x:c>
      <x:c r="N182" s="100" t="n">
        <x:f>IF(I182,F182,"")</x:f>
        <x:v>0.021375216867447536</x:v>
      </x:c>
      <x:c r="P182" t="n">
        <x:f>J182</x:f>
        <x:v>-0.009487009863670848</x:v>
      </x:c>
      <x:c r="Q182" t="n">
        <x:f>K182</x:f>
        <x:v>0.011888207003776689</x:v>
      </x:c>
    </x:row>
    <x:row r="183">
      <x:c r="A183" s="99" t="str">
        <x:f>'Raw T'!B177</x:f>
        <x:v>00225</x:v>
      </x:c>
      <x:c r="B183" s="100" t="n">
        <x:f>INDEX('Raw Stations'!$D$2:$D$299,MATCH(A183,'Raw Stations'!$A$2:$A$299,0))</x:f>
        <x:v>-0.003118418186049781</x:v>
      </x:c>
      <x:c r="C183" s="100" t="n">
        <x:f>'Raw T'!L177</x:f>
        <x:v>-0.01588179855884022</x:v>
      </x:c>
      <x:c r="D183" s="100" t="n">
        <x:f>$B$2</x:f>
        <x:v>-0.01783376051078768</x:v>
      </x:c>
      <x:c r="E183" s="100" t="n">
        <x:f>C183-D183</x:f>
        <x:v>0.0019519619519474604</x:v>
      </x:c>
      <x:c r="F183" s="100" t="n">
        <x:f>E183-B183</x:f>
        <x:v>0.0050703801379972414</x:v>
      </x:c>
      <x:c r="G183" s="100" t="n">
        <x:f>ABS(F183)</x:f>
        <x:v>0.0050703801379972414</x:v>
      </x:c>
      <x:c r="H183" s="100" t="n">
        <x:f>'Raw T'!N177</x:f>
        <x:v>0.9169977543467149</x:v>
      </x:c>
      <x:c r="I183" t="b">
        <x:f>'Raw T'!O177</x:f>
        <x:v>1</x:v>
      </x:c>
      <x:c r="J183" s="100" t="n">
        <x:f>IF(I183,B183,"")</x:f>
        <x:v>-0.003118418186049781</x:v>
      </x:c>
      <x:c r="K183" s="100" t="n">
        <x:f>IF(I183,E183,"")</x:f>
        <x:v>0.0019519619519474604</x:v>
      </x:c>
      <x:c r="L183" s="100" t="n">
        <x:f>IF(I183,G183,"")</x:f>
        <x:v>0.0050703801379972414</x:v>
      </x:c>
      <x:c r="M183" s="100" t="n">
        <x:f>IF(I183,F183^2,"")</x:f>
        <x:v>0.000025708754743796925</x:v>
      </x:c>
      <x:c r="N183" s="100" t="n">
        <x:f>IF(I183,F183,"")</x:f>
        <x:v>0.0050703801379972414</x:v>
      </x:c>
      <x:c r="P183" t="n">
        <x:f>J183</x:f>
        <x:v>-0.003118418186049781</x:v>
      </x:c>
      <x:c r="Q183" t="n">
        <x:f>K183</x:f>
        <x:v>0.0019519619519474604</x:v>
      </x:c>
    </x:row>
    <x:row r="184">
      <x:c r="A184" s="99" t="str">
        <x:f>'Raw T'!B178</x:f>
        <x:v>00226</x:v>
      </x:c>
      <x:c r="B184" s="100" t="n">
        <x:f>INDEX('Raw Stations'!$D$2:$D$299,MATCH(A184,'Raw Stations'!$A$2:$A$299,0))</x:f>
        <x:v>-0.003767656381839121</x:v>
      </x:c>
      <x:c r="C184" s="100" t="n">
        <x:f>'Raw T'!L178</x:f>
        <x:v>-0.01106172634772665</x:v>
      </x:c>
      <x:c r="D184" s="100" t="n">
        <x:f>$B$2</x:f>
        <x:v>-0.01783376051078768</x:v>
      </x:c>
      <x:c r="E184" s="100" t="n">
        <x:f>C184-D184</x:f>
        <x:v>0.00677203416306103</x:v>
      </x:c>
      <x:c r="F184" s="100" t="n">
        <x:f>E184-B184</x:f>
        <x:v>0.01053969054490015</x:v>
      </x:c>
      <x:c r="G184" s="100" t="n">
        <x:f>ABS(F184)</x:f>
        <x:v>0.01053969054490015</x:v>
      </x:c>
      <x:c r="H184" s="100" t="n">
        <x:f>'Raw T'!N178</x:f>
        <x:v>0.9101393595213235</x:v>
      </x:c>
      <x:c r="I184" t="b">
        <x:f>'Raw T'!O178</x:f>
        <x:v>1</x:v>
      </x:c>
      <x:c r="J184" s="100" t="n">
        <x:f>IF(I184,B184,"")</x:f>
        <x:v>-0.003767656381839121</x:v>
      </x:c>
      <x:c r="K184" s="100" t="n">
        <x:f>IF(I184,E184,"")</x:f>
        <x:v>0.00677203416306103</x:v>
      </x:c>
      <x:c r="L184" s="100" t="n">
        <x:f>IF(I184,G184,"")</x:f>
        <x:v>0.01053969054490015</x:v>
      </x:c>
      <x:c r="M184" s="100" t="n">
        <x:f>IF(I184,F184^2,"")</x:f>
        <x:v>0.00011108507678225762</x:v>
      </x:c>
      <x:c r="N184" s="100" t="n">
        <x:f>IF(I184,F184,"")</x:f>
        <x:v>0.01053969054490015</x:v>
      </x:c>
      <x:c r="P184" t="n">
        <x:f>J184</x:f>
        <x:v>-0.003767656381839121</x:v>
      </x:c>
      <x:c r="Q184" t="n">
        <x:f>K184</x:f>
        <x:v>0.00677203416306103</x:v>
      </x:c>
    </x:row>
    <x:row r="185">
      <x:c r="A185" s="99" t="str">
        <x:f>'Raw T'!B179</x:f>
        <x:v>00227</x:v>
      </x:c>
      <x:c r="B185" s="100" t="n">
        <x:f>INDEX('Raw Stations'!$D$2:$D$299,MATCH(A185,'Raw Stations'!$A$2:$A$299,0))</x:f>
        <x:v>-0.004420327043100358</x:v>
      </x:c>
      <x:c r="C185" s="100" t="n">
        <x:f>'Raw T'!L179</x:f>
        <x:v>-0.01074968759610598</x:v>
      </x:c>
      <x:c r="D185" s="100" t="n">
        <x:f>$B$2</x:f>
        <x:v>-0.01783376051078768</x:v>
      </x:c>
      <x:c r="E185" s="100" t="n">
        <x:f>C185-D185</x:f>
        <x:v>0.0070840729146817005</x:v>
      </x:c>
      <x:c r="F185" s="100" t="n">
        <x:f>E185-B185</x:f>
        <x:v>0.011504399957782059</x:v>
      </x:c>
      <x:c r="G185" s="100" t="n">
        <x:f>ABS(F185)</x:f>
        <x:v>0.011504399957782059</x:v>
      </x:c>
      <x:c r="H185" s="100" t="n">
        <x:f>'Raw T'!N179</x:f>
        <x:v>0.9162346158676988</x:v>
      </x:c>
      <x:c r="I185" t="b">
        <x:f>'Raw T'!O179</x:f>
        <x:v>1</x:v>
      </x:c>
      <x:c r="J185" s="100" t="n">
        <x:f>IF(I185,B185,"")</x:f>
        <x:v>-0.004420327043100358</x:v>
      </x:c>
      <x:c r="K185" s="100" t="n">
        <x:f>IF(I185,E185,"")</x:f>
        <x:v>0.0070840729146817005</x:v>
      </x:c>
      <x:c r="L185" s="100" t="n">
        <x:f>IF(I185,G185,"")</x:f>
        <x:v>0.011504399957782059</x:v>
      </x:c>
      <x:c r="M185" s="100" t="n">
        <x:f>IF(I185,F185^2,"")</x:f>
        <x:v>0.00013235121838861585</x:v>
      </x:c>
      <x:c r="N185" s="100" t="n">
        <x:f>IF(I185,F185,"")</x:f>
        <x:v>0.011504399957782059</x:v>
      </x:c>
      <x:c r="P185" t="n">
        <x:f>J185</x:f>
        <x:v>-0.004420327043100358</x:v>
      </x:c>
      <x:c r="Q185" t="n">
        <x:f>K185</x:f>
        <x:v>0.0070840729146817005</x:v>
      </x:c>
    </x:row>
    <x:row r="186">
      <x:c r="A186" s="99" t="str">
        <x:f>'Raw T'!B180</x:f>
        <x:v>00228</x:v>
      </x:c>
      <x:c r="B186" s="100" t="n">
        <x:f>INDEX('Raw Stations'!$D$2:$D$299,MATCH(A186,'Raw Stations'!$A$2:$A$299,0))</x:f>
        <x:v>-0.00244154980349898</x:v>
      </x:c>
      <x:c r="C186" s="100" t="n">
        <x:f>'Raw T'!L180</x:f>
        <x:v>-0.02077091035650461</x:v>
      </x:c>
      <x:c r="D186" s="100" t="n">
        <x:f>$B$2</x:f>
        <x:v>-0.01783376051078768</x:v>
      </x:c>
      <x:c r="E186" s="100" t="n">
        <x:f>C186-D186</x:f>
        <x:v>-0.0029371498457169305</x:v>
      </x:c>
      <x:c r="F186" s="100" t="n">
        <x:f>E186-B186</x:f>
        <x:v>-0.0004956000422179506</x:v>
      </x:c>
      <x:c r="G186" s="100" t="n">
        <x:f>ABS(F186)</x:f>
        <x:v>0.0004956000422179506</x:v>
      </x:c>
      <x:c r="H186" s="100" t="n">
        <x:f>'Raw T'!N180</x:f>
        <x:v>0.8102632236194858</x:v>
      </x:c>
      <x:c r="I186" t="b">
        <x:f>'Raw T'!O180</x:f>
        <x:v>1</x:v>
      </x:c>
      <x:c r="J186" s="100" t="n">
        <x:f>IF(I186,B186,"")</x:f>
        <x:v>-0.00244154980349898</x:v>
      </x:c>
      <x:c r="K186" s="100" t="n">
        <x:f>IF(I186,E186,"")</x:f>
        <x:v>-0.0029371498457169305</x:v>
      </x:c>
      <x:c r="L186" s="100" t="n">
        <x:f>IF(I186,G186,"")</x:f>
        <x:v>0.0004956000422179506</x:v>
      </x:c>
      <x:c r="M186" s="100" t="n">
        <x:f>IF(I186,F186^2,"")</x:f>
        <x:v>2.456194018464344e-7</x:v>
      </x:c>
      <x:c r="N186" s="100" t="n">
        <x:f>IF(I186,F186,"")</x:f>
        <x:v>-0.0004956000422179506</x:v>
      </x:c>
      <x:c r="P186" t="n">
        <x:f>J186</x:f>
        <x:v>-0.00244154980349898</x:v>
      </x:c>
      <x:c r="Q186" t="n">
        <x:f>K186</x:f>
        <x:v>-0.0029371498457169305</x:v>
      </x:c>
    </x:row>
    <x:row r="187">
      <x:c r="A187" s="99" t="str">
        <x:f>'Raw T'!B181</x:f>
        <x:v>00229</x:v>
      </x:c>
      <x:c r="B187" s="100" t="n">
        <x:f>INDEX('Raw Stations'!$D$2:$D$299,MATCH(A187,'Raw Stations'!$A$2:$A$299,0))</x:f>
        <x:v>-0.00376126656179683</x:v>
      </x:c>
      <x:c r="C187" s="100" t="n">
        <x:f>'Raw T'!L181</x:f>
        <x:v>-0.02404532163643451</x:v>
      </x:c>
      <x:c r="D187" s="100" t="n">
        <x:f>$B$2</x:f>
        <x:v>-0.01783376051078768</x:v>
      </x:c>
      <x:c r="E187" s="100" t="n">
        <x:f>C187-D187</x:f>
        <x:v>-0.006211561125646831</x:v>
      </x:c>
      <x:c r="F187" s="100" t="n">
        <x:f>E187-B187</x:f>
        <x:v>-0.0024502945638500005</x:v>
      </x:c>
      <x:c r="G187" s="100" t="n">
        <x:f>ABS(F187)</x:f>
        <x:v>0.0024502945638500005</x:v>
      </x:c>
      <x:c r="H187" s="100" t="n">
        <x:f>'Raw T'!N181</x:f>
        <x:v>0.983342602379723</x:v>
      </x:c>
      <x:c r="I187" t="b">
        <x:f>'Raw T'!O181</x:f>
        <x:v>1</x:v>
      </x:c>
      <x:c r="J187" s="100" t="n">
        <x:f>IF(I187,B187,"")</x:f>
        <x:v>-0.00376126656179683</x:v>
      </x:c>
      <x:c r="K187" s="100" t="n">
        <x:f>IF(I187,E187,"")</x:f>
        <x:v>-0.006211561125646831</x:v>
      </x:c>
      <x:c r="L187" s="100" t="n">
        <x:f>IF(I187,G187,"")</x:f>
        <x:v>0.0024502945638500005</x:v>
      </x:c>
      <x:c r="M187" s="100" t="n">
        <x:f>IF(I187,F187^2,"")</x:f>
        <x:v>0.000006003943449632865</x:v>
      </x:c>
      <x:c r="N187" s="100" t="n">
        <x:f>IF(I187,F187,"")</x:f>
        <x:v>-0.0024502945638500005</x:v>
      </x:c>
      <x:c r="P187" t="n">
        <x:f>J187</x:f>
        <x:v>-0.00376126656179683</x:v>
      </x:c>
      <x:c r="Q187" t="n">
        <x:f>K187</x:f>
        <x:v>-0.006211561125646831</x:v>
      </x:c>
    </x:row>
    <x:row r="188">
      <x:c r="A188" s="99" t="str">
        <x:f>'Raw T'!B182</x:f>
        <x:v>00230</x:v>
      </x:c>
      <x:c r="B188" s="100" t="n">
        <x:f>INDEX('Raw Stations'!$D$2:$D$299,MATCH(A188,'Raw Stations'!$A$2:$A$299,0))</x:f>
        <x:v>-0.0003378697481772955</x:v>
      </x:c>
      <x:c r="C188" s="100" t="n">
        <x:f>'Raw T'!L182</x:f>
        <x:v>-0.01749545979079553</x:v>
      </x:c>
      <x:c r="D188" s="100" t="n">
        <x:f>$B$2</x:f>
        <x:v>-0.01783376051078768</x:v>
      </x:c>
      <x:c r="E188" s="100" t="n">
        <x:f>C188-D188</x:f>
        <x:v>0.00033830071999214895</x:v>
      </x:c>
      <x:c r="F188" s="100" t="n">
        <x:f>E188-B188</x:f>
        <x:v>0.0006761704681694444</x:v>
      </x:c>
      <x:c r="G188" s="100" t="n">
        <x:f>ABS(F188)</x:f>
        <x:v>0.0006761704681694444</x:v>
      </x:c>
      <x:c r="H188" s="100" t="n">
        <x:f>'Raw T'!N182</x:f>
        <x:v>0.9872673404951197</x:v>
      </x:c>
      <x:c r="I188" t="b">
        <x:f>'Raw T'!O182</x:f>
        <x:v>1</x:v>
      </x:c>
      <x:c r="J188" s="100" t="n">
        <x:f>IF(I188,B188,"")</x:f>
        <x:v>-0.0003378697481772955</x:v>
      </x:c>
      <x:c r="K188" s="100" t="n">
        <x:f>IF(I188,E188,"")</x:f>
        <x:v>0.00033830071999214895</x:v>
      </x:c>
      <x:c r="L188" s="100" t="n">
        <x:f>IF(I188,G188,"")</x:f>
        <x:v>0.0006761704681694444</x:v>
      </x:c>
      <x:c r="M188" s="100" t="n">
        <x:f>IF(I188,F188^2,"")</x:f>
        <x:v>4.572065020244857e-7</x:v>
      </x:c>
      <x:c r="N188" s="100" t="n">
        <x:f>IF(I188,F188,"")</x:f>
        <x:v>0.0006761704681694444</x:v>
      </x:c>
      <x:c r="P188" t="n">
        <x:f>J188</x:f>
        <x:v>-0.0003378697481772955</x:v>
      </x:c>
      <x:c r="Q188" t="n">
        <x:f>K188</x:f>
        <x:v>0.00033830071999214895</x:v>
      </x:c>
    </x:row>
    <x:row r="189">
      <x:c r="A189" s="99" t="str">
        <x:f>'Raw T'!B183</x:f>
        <x:v>00231</x:v>
      </x:c>
      <x:c r="B189" s="100" t="n">
        <x:f>INDEX('Raw Stations'!$D$2:$D$299,MATCH(A189,'Raw Stations'!$A$2:$A$299,0))</x:f>
        <x:v>-0.00112928863119377</x:v>
      </x:c>
      <x:c r="C189" s="100" t="n">
        <x:f>'Raw T'!L183</x:f>
        <x:v>-0.0177717624622909</x:v>
      </x:c>
      <x:c r="D189" s="100" t="n">
        <x:f>$B$2</x:f>
        <x:v>-0.01783376051078768</x:v>
      </x:c>
      <x:c r="E189" s="100" t="n">
        <x:f>C189-D189</x:f>
        <x:v>0.00006199804849678012</x:v>
      </x:c>
      <x:c r="F189" s="100" t="n">
        <x:f>E189-B189</x:f>
        <x:v>0.00119128667969055</x:v>
      </x:c>
      <x:c r="G189" s="100" t="n">
        <x:f>ABS(F189)</x:f>
        <x:v>0.00119128667969055</x:v>
      </x:c>
      <x:c r="H189" s="100" t="n">
        <x:f>'Raw T'!N183</x:f>
        <x:v>0.9842178357207261</x:v>
      </x:c>
      <x:c r="I189" t="b">
        <x:f>'Raw T'!O183</x:f>
        <x:v>1</x:v>
      </x:c>
      <x:c r="J189" s="100" t="n">
        <x:f>IF(I189,B189,"")</x:f>
        <x:v>-0.00112928863119377</x:v>
      </x:c>
      <x:c r="K189" s="100" t="n">
        <x:f>IF(I189,E189,"")</x:f>
        <x:v>0.00006199804849678012</x:v>
      </x:c>
      <x:c r="L189" s="100" t="n">
        <x:f>IF(I189,G189,"")</x:f>
        <x:v>0.00119128667969055</x:v>
      </x:c>
      <x:c r="M189" s="100" t="n">
        <x:f>IF(I189,F189^2,"")</x:f>
        <x:v>0.0000014191639532081354</x:v>
      </x:c>
      <x:c r="N189" s="100" t="n">
        <x:f>IF(I189,F189,"")</x:f>
        <x:v>0.00119128667969055</x:v>
      </x:c>
      <x:c r="P189" t="n">
        <x:f>J189</x:f>
        <x:v>-0.00112928863119377</x:v>
      </x:c>
      <x:c r="Q189" t="n">
        <x:f>K189</x:f>
        <x:v>0.00006199804849678012</x:v>
      </x:c>
    </x:row>
    <x:row r="190">
      <x:c r="A190" s="99" t="str">
        <x:f>'Raw T'!B184</x:f>
        <x:v>00232</x:v>
      </x:c>
      <x:c r="B190" s="100" t="n">
        <x:f>INDEX('Raw Stations'!$D$2:$D$299,MATCH(A190,'Raw Stations'!$A$2:$A$299,0))</x:f>
        <x:v>-0.001891077352445449</x:v>
      </x:c>
      <x:c r="C190" s="100" t="n">
        <x:f>'Raw T'!L184</x:f>
        <x:v>-0.01664247383109714</x:v>
      </x:c>
      <x:c r="D190" s="100" t="n">
        <x:f>$B$2</x:f>
        <x:v>-0.01783376051078768</x:v>
      </x:c>
      <x:c r="E190" s="100" t="n">
        <x:f>C190-D190</x:f>
        <x:v>0.0011912866796905397</x:v>
      </x:c>
      <x:c r="F190" s="100" t="n">
        <x:f>E190-B190</x:f>
        <x:v>0.003082364032135989</x:v>
      </x:c>
      <x:c r="G190" s="100" t="n">
        <x:f>ABS(F190)</x:f>
        <x:v>0.003082364032135989</x:v>
      </x:c>
      <x:c r="H190" s="100" t="n">
        <x:f>'Raw T'!N184</x:f>
        <x:v>0.9854257922034658</x:v>
      </x:c>
      <x:c r="I190" t="b">
        <x:f>'Raw T'!O184</x:f>
        <x:v>1</x:v>
      </x:c>
      <x:c r="J190" s="100" t="n">
        <x:f>IF(I190,B190,"")</x:f>
        <x:v>-0.001891077352445449</x:v>
      </x:c>
      <x:c r="K190" s="100" t="n">
        <x:f>IF(I190,E190,"")</x:f>
        <x:v>0.0011912866796905397</x:v>
      </x:c>
      <x:c r="L190" s="100" t="n">
        <x:f>IF(I190,G190,"")</x:f>
        <x:v>0.003082364032135989</x:v>
      </x:c>
      <x:c r="M190" s="100" t="n">
        <x:f>IF(I190,F190^2,"")</x:f>
        <x:v>0.000009500968026605632</x:v>
      </x:c>
      <x:c r="N190" s="100" t="n">
        <x:f>IF(I190,F190,"")</x:f>
        <x:v>0.003082364032135989</x:v>
      </x:c>
      <x:c r="P190" t="n">
        <x:f>J190</x:f>
        <x:v>-0.001891077352445449</x:v>
      </x:c>
      <x:c r="Q190" t="n">
        <x:f>K190</x:f>
        <x:v>0.0011912866796905397</x:v>
      </x:c>
    </x:row>
    <x:row r="191">
      <x:c r="A191" s="99" t="str">
        <x:f>'Raw T'!B185</x:f>
        <x:v>00233</x:v>
      </x:c>
      <x:c r="B191" s="100" t="n">
        <x:f>INDEX('Raw Stations'!$D$2:$D$299,MATCH(A191,'Raw Stations'!$A$2:$A$299,0))</x:f>
        <x:v>0.01132706022637328</x:v>
      </x:c>
      <x:c r="C191" s="100" t="n">
        <x:f>'Raw T'!L185</x:f>
        <x:v>-0.01416839956442226</x:v>
      </x:c>
      <x:c r="D191" s="100" t="n">
        <x:f>$B$2</x:f>
        <x:v>-0.01783376051078768</x:v>
      </x:c>
      <x:c r="E191" s="100" t="n">
        <x:f>C191-D191</x:f>
        <x:v>0.0036653609463654195</x:v>
      </x:c>
      <x:c r="F191" s="100" t="n">
        <x:f>E191-B191</x:f>
        <x:v>-0.00766169928000786</x:v>
      </x:c>
      <x:c r="G191" s="100" t="n">
        <x:f>ABS(F191)</x:f>
        <x:v>0.00766169928000786</x:v>
      </x:c>
      <x:c r="H191" s="100" t="n">
        <x:f>'Raw T'!N185</x:f>
        <x:v>0.9752122798874437</x:v>
      </x:c>
      <x:c r="I191" t="b">
        <x:f>'Raw T'!O185</x:f>
        <x:v>1</x:v>
      </x:c>
      <x:c r="J191" s="100" t="n">
        <x:f>IF(I191,B191,"")</x:f>
        <x:v>0.01132706022637328</x:v>
      </x:c>
      <x:c r="K191" s="100" t="n">
        <x:f>IF(I191,E191,"")</x:f>
        <x:v>0.0036653609463654195</x:v>
      </x:c>
      <x:c r="L191" s="100" t="n">
        <x:f>IF(I191,G191,"")</x:f>
        <x:v>0.00766169928000786</x:v>
      </x:c>
      <x:c r="M191" s="100" t="n">
        <x:f>IF(I191,F191^2,"")</x:f>
        <x:v>0.00005870163585727296</x:v>
      </x:c>
      <x:c r="N191" s="100" t="n">
        <x:f>IF(I191,F191,"")</x:f>
        <x:v>-0.00766169928000786</x:v>
      </x:c>
      <x:c r="P191" t="n">
        <x:f>J191</x:f>
        <x:v>0.01132706022637328</x:v>
      </x:c>
      <x:c r="Q191" t="n">
        <x:f>K191</x:f>
        <x:v>0.0036653609463654195</x:v>
      </x:c>
    </x:row>
    <x:row r="192">
      <x:c r="A192" s="99" t="str">
        <x:f>'Raw T'!B186</x:f>
        <x:v>00234</x:v>
      </x:c>
      <x:c r="B192" s="100" t="n">
        <x:f>INDEX('Raw Stations'!$D$2:$D$299,MATCH(A192,'Raw Stations'!$A$2:$A$299,0))</x:f>
        <x:v>0.02268010994876409</x:v>
      </x:c>
      <x:c r="C192" s="100" t="n">
        <x:f>'Raw T'!L186</x:f>
        <x:v>-0.01081534984203145</x:v>
      </x:c>
      <x:c r="D192" s="100" t="n">
        <x:f>$B$2</x:f>
        <x:v>-0.01783376051078768</x:v>
      </x:c>
      <x:c r="E192" s="100" t="n">
        <x:f>C192-D192</x:f>
        <x:v>0.00701841066875623</x:v>
      </x:c>
      <x:c r="F192" s="100" t="n">
        <x:f>E192-B192</x:f>
        <x:v>-0.01566169928000786</x:v>
      </x:c>
      <x:c r="G192" s="100" t="n">
        <x:f>ABS(F192)</x:f>
        <x:v>0.01566169928000786</x:v>
      </x:c>
      <x:c r="H192" s="100" t="n">
        <x:f>'Raw T'!N186</x:f>
        <x:v>0.9247591007659541</x:v>
      </x:c>
      <x:c r="I192" t="b">
        <x:f>'Raw T'!O186</x:f>
        <x:v>1</x:v>
      </x:c>
      <x:c r="J192" s="100" t="n">
        <x:f>IF(I192,B192,"")</x:f>
        <x:v>0.02268010994876409</x:v>
      </x:c>
      <x:c r="K192" s="100" t="n">
        <x:f>IF(I192,E192,"")</x:f>
        <x:v>0.00701841066875623</x:v>
      </x:c>
      <x:c r="L192" s="100" t="n">
        <x:f>IF(I192,G192,"")</x:f>
        <x:v>0.01566169928000786</x:v>
      </x:c>
      <x:c r="M192" s="100" t="n">
        <x:f>IF(I192,F192^2,"")</x:f>
        <x:v>0.00024528882433739866</x:v>
      </x:c>
      <x:c r="N192" s="100" t="n">
        <x:f>IF(I192,F192,"")</x:f>
        <x:v>-0.01566169928000786</x:v>
      </x:c>
      <x:c r="P192" t="n">
        <x:f>J192</x:f>
        <x:v>0.02268010994876409</x:v>
      </x:c>
      <x:c r="Q192" t="n">
        <x:f>K192</x:f>
        <x:v>0.00701841066875623</x:v>
      </x:c>
    </x:row>
    <x:row r="193">
      <x:c r="A193" s="99" t="str">
        <x:f>'Raw T'!B187</x:f>
        <x:v>00235</x:v>
      </x:c>
      <x:c r="B193" s="100" t="n">
        <x:f>INDEX('Raw Stations'!$D$2:$D$299,MATCH(A193,'Raw Stations'!$A$2:$A$299,0))</x:f>
        <x:v>0.01072566199222151</x:v>
      </x:c>
      <x:c r="C193" s="100" t="n">
        <x:f>'Raw T'!L187</x:f>
        <x:v>-0.01681742775910254</x:v>
      </x:c>
      <x:c r="D193" s="100" t="n">
        <x:f>$B$2</x:f>
        <x:v>-0.01783376051078768</x:v>
      </x:c>
      <x:c r="E193" s="100" t="n">
        <x:f>C193-D193</x:f>
        <x:v>0.0010163327516851395</x:v>
      </x:c>
      <x:c r="F193" s="100" t="n">
        <x:f>E193-B193</x:f>
        <x:v>-0.009709329240536371</x:v>
      </x:c>
      <x:c r="G193" s="100" t="n">
        <x:f>ABS(F193)</x:f>
        <x:v>0.009709329240536371</x:v>
      </x:c>
      <x:c r="H193" s="100" t="n">
        <x:f>'Raw T'!N187</x:f>
        <x:v>0.9971681268082511</x:v>
      </x:c>
      <x:c r="I193" t="b">
        <x:f>'Raw T'!O187</x:f>
        <x:v>1</x:v>
      </x:c>
      <x:c r="J193" s="100" t="n">
        <x:f>IF(I193,B193,"")</x:f>
        <x:v>0.01072566199222151</x:v>
      </x:c>
      <x:c r="K193" s="100" t="n">
        <x:f>IF(I193,E193,"")</x:f>
        <x:v>0.0010163327516851395</x:v>
      </x:c>
      <x:c r="L193" s="100" t="n">
        <x:f>IF(I193,G193,"")</x:f>
        <x:v>0.009709329240536371</x:v>
      </x:c>
      <x:c r="M193" s="100" t="n">
        <x:f>IF(I193,F193^2,"")</x:f>
        <x:v>0.00009427107430113459</x:v>
      </x:c>
      <x:c r="N193" s="100" t="n">
        <x:f>IF(I193,F193,"")</x:f>
        <x:v>-0.009709329240536371</x:v>
      </x:c>
      <x:c r="P193" t="n">
        <x:f>J193</x:f>
        <x:v>0.01072566199222151</x:v>
      </x:c>
      <x:c r="Q193" t="n">
        <x:f>K193</x:f>
        <x:v>0.0010163327516851395</x:v>
      </x:c>
    </x:row>
    <x:row r="194">
      <x:c r="A194" s="99" t="str">
        <x:f>'Raw T'!B188</x:f>
        <x:v>00236</x:v>
      </x:c>
      <x:c r="B194" s="100" t="n">
        <x:f>INDEX('Raw Stations'!$D$2:$D$299,MATCH(A194,'Raw Stations'!$A$2:$A$299,0))</x:f>
        <x:v>0.0175967628920943</x:v>
      </x:c>
      <x:c r="C194" s="100" t="n">
        <x:f>'Raw T'!L188</x:f>
        <x:v>-0.001697307073793231</x:v>
      </x:c>
      <x:c r="D194" s="100" t="n">
        <x:f>$B$2</x:f>
        <x:v>-0.01783376051078768</x:v>
      </x:c>
      <x:c r="E194" s="100" t="n">
        <x:f>C194-D194</x:f>
        <x:v>0.01613645343699445</x:v>
      </x:c>
      <x:c r="F194" s="100" t="n">
        <x:f>E194-B194</x:f>
        <x:v>-0.00146030945509985</x:v>
      </x:c>
      <x:c r="G194" s="100" t="n">
        <x:f>ABS(F194)</x:f>
        <x:v>0.00146030945509985</x:v>
      </x:c>
      <x:c r="H194" s="100" t="n">
        <x:f>'Raw T'!N188</x:f>
        <x:v>0.9717928952652725</x:v>
      </x:c>
      <x:c r="I194" t="b">
        <x:f>'Raw T'!O188</x:f>
        <x:v>1</x:v>
      </x:c>
      <x:c r="J194" s="100" t="n">
        <x:f>IF(I194,B194,"")</x:f>
        <x:v>0.0175967628920943</x:v>
      </x:c>
      <x:c r="K194" s="100" t="n">
        <x:f>IF(I194,E194,"")</x:f>
        <x:v>0.01613645343699445</x:v>
      </x:c>
      <x:c r="L194" s="100" t="n">
        <x:f>IF(I194,G194,"")</x:f>
        <x:v>0.00146030945509985</x:v>
      </x:c>
      <x:c r="M194" s="100" t="n">
        <x:f>IF(I194,F194^2,"")</x:f>
        <x:v>0.000002132503704654021</x:v>
      </x:c>
      <x:c r="N194" s="100" t="n">
        <x:f>IF(I194,F194,"")</x:f>
        <x:v>-0.00146030945509985</x:v>
      </x:c>
      <x:c r="P194" t="n">
        <x:f>J194</x:f>
        <x:v>0.0175967628920943</x:v>
      </x:c>
      <x:c r="Q194" t="n">
        <x:f>K194</x:f>
        <x:v>0.01613645343699445</x:v>
      </x:c>
    </x:row>
    <x:row r="195">
      <x:c r="A195" s="99" t="str">
        <x:f>'Raw T'!B189</x:f>
        <x:v>00237</x:v>
      </x:c>
      <x:c r="B195" s="100" t="n">
        <x:f>INDEX('Raw Stations'!$D$2:$D$299,MATCH(A195,'Raw Stations'!$A$2:$A$299,0))</x:f>
        <x:v>0.01546514707173455</x:v>
      </x:c>
      <x:c r="C195" s="100" t="n">
        <x:f>'Raw T'!L189</x:f>
        <x:v>-0.01820156496852177</x:v>
      </x:c>
      <x:c r="D195" s="100" t="n">
        <x:f>$B$2</x:f>
        <x:v>-0.01783376051078768</x:v>
      </x:c>
      <x:c r="E195" s="100" t="n">
        <x:f>C195-D195</x:f>
        <x:v>-0.00036780445773408957</x:v>
      </x:c>
      <x:c r="F195" s="100" t="n">
        <x:f>E195-B195</x:f>
        <x:v>-0.01583295152946864</x:v>
      </x:c>
      <x:c r="G195" s="100" t="n">
        <x:f>ABS(F195)</x:f>
        <x:v>0.01583295152946864</x:v>
      </x:c>
      <x:c r="H195" s="100" t="n">
        <x:f>'Raw T'!N189</x:f>
        <x:v>0.9849240425377794</x:v>
      </x:c>
      <x:c r="I195" t="b">
        <x:f>'Raw T'!O189</x:f>
        <x:v>1</x:v>
      </x:c>
      <x:c r="J195" s="100" t="n">
        <x:f>IF(I195,B195,"")</x:f>
        <x:v>0.01546514707173455</x:v>
      </x:c>
      <x:c r="K195" s="100" t="n">
        <x:f>IF(I195,E195,"")</x:f>
        <x:v>-0.00036780445773408957</x:v>
      </x:c>
      <x:c r="L195" s="100" t="n">
        <x:f>IF(I195,G195,"")</x:f>
        <x:v>0.01583295152946864</x:v>
      </x:c>
      <x:c r="M195" s="100" t="n">
        <x:f>IF(I195,F195^2,"")</x:f>
        <x:v>0.00025068235413450336</x:v>
      </x:c>
      <x:c r="N195" s="100" t="n">
        <x:f>IF(I195,F195,"")</x:f>
        <x:v>-0.01583295152946864</x:v>
      </x:c>
      <x:c r="P195" t="n">
        <x:f>J195</x:f>
        <x:v>0.01546514707173455</x:v>
      </x:c>
      <x:c r="Q195" t="n">
        <x:f>K195</x:f>
        <x:v>-0.00036780445773408957</x:v>
      </x:c>
    </x:row>
    <x:row r="196">
      <x:c r="A196" s="99" t="str">
        <x:f>'Raw T'!B190</x:f>
        <x:v>00238</x:v>
      </x:c>
      <x:c r="B196" s="100" t="n">
        <x:f>INDEX('Raw Stations'!$D$2:$D$299,MATCH(A196,'Raw Stations'!$A$2:$A$299,0))</x:f>
        <x:v>-0.007078440570739562</x:v>
      </x:c>
      <x:c r="C196" s="100" t="n">
        <x:f>'Raw T'!L190</x:f>
        <x:v>-0.007934232667571116</x:v>
      </x:c>
      <x:c r="D196" s="100" t="n">
        <x:f>$B$2</x:f>
        <x:v>-0.01783376051078768</x:v>
      </x:c>
      <x:c r="E196" s="100" t="n">
        <x:f>C196-D196</x:f>
        <x:v>0.009899527843216564</x:v>
      </x:c>
      <x:c r="F196" s="100" t="n">
        <x:f>E196-B196</x:f>
        <x:v>0.016977968413956126</x:v>
      </x:c>
      <x:c r="G196" s="100" t="n">
        <x:f>ABS(F196)</x:f>
        <x:v>0.016977968413956126</x:v>
      </x:c>
      <x:c r="H196" s="100" t="n">
        <x:f>'Raw T'!N190</x:f>
        <x:v>0.8272047855543995</x:v>
      </x:c>
      <x:c r="I196" t="b">
        <x:f>'Raw T'!O190</x:f>
        <x:v>1</x:v>
      </x:c>
      <x:c r="J196" s="100" t="n">
        <x:f>IF(I196,B196,"")</x:f>
        <x:v>-0.007078440570739562</x:v>
      </x:c>
      <x:c r="K196" s="100" t="n">
        <x:f>IF(I196,E196,"")</x:f>
        <x:v>0.009899527843216564</x:v>
      </x:c>
      <x:c r="L196" s="100" t="n">
        <x:f>IF(I196,G196,"")</x:f>
        <x:v>0.016977968413956126</x:v>
      </x:c>
      <x:c r="M196" s="100" t="n">
        <x:f>IF(I196,F196^2,"")</x:f>
        <x:v>0.0002882514114652919</x:v>
      </x:c>
      <x:c r="N196" s="100" t="n">
        <x:f>IF(I196,F196,"")</x:f>
        <x:v>0.016977968413956126</x:v>
      </x:c>
      <x:c r="P196" t="n">
        <x:f>J196</x:f>
        <x:v>-0.007078440570739562</x:v>
      </x:c>
      <x:c r="Q196" t="n">
        <x:f>K196</x:f>
        <x:v>0.009899527843216564</x:v>
      </x:c>
    </x:row>
    <x:row r="197">
      <x:c r="A197" s="99" t="str">
        <x:f>'Raw T'!B191</x:f>
        <x:v>00239</x:v>
      </x:c>
      <x:c r="B197" s="100" t="n">
        <x:f>INDEX('Raw Stations'!$D$2:$D$299,MATCH(A197,'Raw Stations'!$A$2:$A$299,0))</x:f>
        <x:v>-0.004574537479721214</x:v>
      </x:c>
      <x:c r="C197" s="100" t="n">
        <x:f>'Raw T'!L191</x:f>
        <x:v>-0.004093183349531272</x:v>
      </x:c>
      <x:c r="D197" s="100" t="n">
        <x:f>$B$2</x:f>
        <x:v>-0.01783376051078768</x:v>
      </x:c>
      <x:c r="E197" s="100" t="n">
        <x:f>C197-D197</x:f>
        <x:v>0.013740577161256408</x:v>
      </x:c>
      <x:c r="F197" s="100" t="n">
        <x:f>E197-B197</x:f>
        <x:v>0.018315114640977622</x:v>
      </x:c>
      <x:c r="G197" s="100" t="n">
        <x:f>ABS(F197)</x:f>
        <x:v>0.018315114640977622</x:v>
      </x:c>
      <x:c r="H197" s="100" t="n">
        <x:f>'Raw T'!N191</x:f>
        <x:v>0.9769440402501233</x:v>
      </x:c>
      <x:c r="I197" t="b">
        <x:f>'Raw T'!O191</x:f>
        <x:v>1</x:v>
      </x:c>
      <x:c r="J197" s="100" t="n">
        <x:f>IF(I197,B197,"")</x:f>
        <x:v>-0.004574537479721214</x:v>
      </x:c>
      <x:c r="K197" s="100" t="n">
        <x:f>IF(I197,E197,"")</x:f>
        <x:v>0.013740577161256408</x:v>
      </x:c>
      <x:c r="L197" s="100" t="n">
        <x:f>IF(I197,G197,"")</x:f>
        <x:v>0.018315114640977622</x:v>
      </x:c>
      <x:c r="M197" s="100" t="n">
        <x:f>IF(I197,F197^2,"")</x:f>
        <x:v>0.00033544342431215284</x:v>
      </x:c>
      <x:c r="N197" s="100" t="n">
        <x:f>IF(I197,F197,"")</x:f>
        <x:v>0.018315114640977622</x:v>
      </x:c>
      <x:c r="P197" t="n">
        <x:f>J197</x:f>
        <x:v>-0.004574537479721214</x:v>
      </x:c>
      <x:c r="Q197" t="n">
        <x:f>K197</x:f>
        <x:v>0.013740577161256408</x:v>
      </x:c>
    </x:row>
    <x:row r="198">
      <x:c r="A198" s="99" t="str">
        <x:f>'Raw T'!B192</x:f>
        <x:v>00240</x:v>
      </x:c>
      <x:c r="B198" s="100" t="n">
        <x:f>INDEX('Raw Stations'!$D$2:$D$299,MATCH(A198,'Raw Stations'!$A$2:$A$299,0))</x:f>
        <x:v>0</x:v>
      </x:c>
      <x:c r="C198" s="100" t="n">
        <x:f>'Raw T'!L192</x:f>
        <x:v>-0.01475139647865168</x:v>
      </x:c>
      <x:c r="D198" s="100" t="n">
        <x:f>$B$2</x:f>
        <x:v>-0.01783376051078768</x:v>
      </x:c>
      <x:c r="E198" s="100" t="n">
        <x:f>C198-D198</x:f>
        <x:v>0.0030823640321359994</x:v>
      </x:c>
      <x:c r="F198" s="100" t="n">
        <x:f>E198-B198</x:f>
        <x:v>0.0030823640321359994</x:v>
      </x:c>
      <x:c r="G198" s="100" t="n">
        <x:f>ABS(F198)</x:f>
        <x:v>0.0030823640321359994</x:v>
      </x:c>
      <x:c r="H198" s="100" t="n">
        <x:f>'Raw T'!N192</x:f>
        <x:v>0.8979901703555374</x:v>
      </x:c>
      <x:c r="I198" t="b">
        <x:f>'Raw T'!O192</x:f>
        <x:v>1</x:v>
      </x:c>
      <x:c r="J198" s="100" t="n">
        <x:f>IF(I198,B198,"")</x:f>
        <x:v>0</x:v>
      </x:c>
      <x:c r="K198" s="100" t="n">
        <x:f>IF(I198,E198,"")</x:f>
        <x:v>0.0030823640321359994</x:v>
      </x:c>
      <x:c r="L198" s="100" t="n">
        <x:f>IF(I198,G198,"")</x:f>
        <x:v>0.0030823640321359994</x:v>
      </x:c>
      <x:c r="M198" s="100" t="n">
        <x:f>IF(I198,F198^2,"")</x:f>
        <x:v>0.000009500968026605696</x:v>
      </x:c>
      <x:c r="N198" s="100" t="n">
        <x:f>IF(I198,F198,"")</x:f>
        <x:v>0.0030823640321359994</x:v>
      </x:c>
      <x:c r="P198" t="n">
        <x:f>J198</x:f>
        <x:v>0</x:v>
      </x:c>
      <x:c r="Q198" t="n">
        <x:f>K198</x:f>
        <x:v>0.0030823640321359994</x:v>
      </x:c>
    </x:row>
    <x:row r="199">
      <x:c r="A199" s="99" t="str">
        <x:f>'Raw T'!B193</x:f>
        <x:v>00241</x:v>
      </x:c>
      <x:c r="B199" s="100" t="n">
        <x:f>INDEX('Raw Stations'!$D$2:$D$299,MATCH(A199,'Raw Stations'!$A$2:$A$299,0))</x:f>
        <x:v>0.006372561507490292</x:v>
      </x:c>
      <x:c r="C199" s="100" t="n">
        <x:f>'Raw T'!L193</x:f>
        <x:v>-0.01301540193796761</x:v>
      </x:c>
      <x:c r="D199" s="100" t="n">
        <x:f>$B$2</x:f>
        <x:v>-0.01783376051078768</x:v>
      </x:c>
      <x:c r="E199" s="100" t="n">
        <x:f>C199-D199</x:f>
        <x:v>0.004818358572820071</x:v>
      </x:c>
      <x:c r="F199" s="100" t="n">
        <x:f>E199-B199</x:f>
        <x:v>-0.0015542029346702207</x:v>
      </x:c>
      <x:c r="G199" s="100" t="n">
        <x:f>ABS(F199)</x:f>
        <x:v>0.0015542029346702207</x:v>
      </x:c>
      <x:c r="H199" s="100" t="n">
        <x:f>'Raw T'!N193</x:f>
        <x:v>0.9509054178427849</x:v>
      </x:c>
      <x:c r="I199" t="b">
        <x:f>'Raw T'!O193</x:f>
        <x:v>1</x:v>
      </x:c>
      <x:c r="J199" s="100" t="n">
        <x:f>IF(I199,B199,"")</x:f>
        <x:v>0.006372561507490292</x:v>
      </x:c>
      <x:c r="K199" s="100" t="n">
        <x:f>IF(I199,E199,"")</x:f>
        <x:v>0.004818358572820071</x:v>
      </x:c>
      <x:c r="L199" s="100" t="n">
        <x:f>IF(I199,G199,"")</x:f>
        <x:v>0.0015542029346702207</x:v>
      </x:c>
      <x:c r="M199" s="100" t="n">
        <x:f>IF(I199,F199^2,"")</x:f>
        <x:v>0.0000024155467621375264</x:v>
      </x:c>
      <x:c r="N199" s="100" t="n">
        <x:f>IF(I199,F199,"")</x:f>
        <x:v>-0.0015542029346702207</x:v>
      </x:c>
      <x:c r="P199" t="n">
        <x:f>J199</x:f>
        <x:v>0.006372561507490292</x:v>
      </x:c>
      <x:c r="Q199" t="n">
        <x:f>K199</x:f>
        <x:v>0.004818358572820071</x:v>
      </x:c>
    </x:row>
    <x:row r="200">
      <x:c r="A200" s="99" t="str">
        <x:f>'Raw T'!B194</x:f>
        <x:v>00242</x:v>
      </x:c>
      <x:c r="B200" s="100" t="n">
        <x:f>INDEX('Raw Stations'!$D$2:$D$299,MATCH(A200,'Raw Stations'!$A$2:$A$299,0))</x:f>
        <x:v>-0.002855592244025443</x:v>
      </x:c>
      <x:c r="C200" s="100" t="n">
        <x:f>'Raw T'!L194</x:f>
        <x:v>-0.01202100877776729</x:v>
      </x:c>
      <x:c r="D200" s="100" t="n">
        <x:f>$B$2</x:f>
        <x:v>-0.01783376051078768</x:v>
      </x:c>
      <x:c r="E200" s="100" t="n">
        <x:f>C200-D200</x:f>
        <x:v>0.005812751733020391</x:v>
      </x:c>
      <x:c r="F200" s="100" t="n">
        <x:f>E200-B200</x:f>
        <x:v>0.008668343977045833</x:v>
      </x:c>
      <x:c r="G200" s="100" t="n">
        <x:f>ABS(F200)</x:f>
        <x:v>0.008668343977045833</x:v>
      </x:c>
      <x:c r="H200" s="100" t="n">
        <x:f>'Raw T'!N194</x:f>
        <x:v>0.9540188707265862</x:v>
      </x:c>
      <x:c r="I200" t="b">
        <x:f>'Raw T'!O194</x:f>
        <x:v>1</x:v>
      </x:c>
      <x:c r="J200" s="100" t="n">
        <x:f>IF(I200,B200,"")</x:f>
        <x:v>-0.002855592244025443</x:v>
      </x:c>
      <x:c r="K200" s="100" t="n">
        <x:f>IF(I200,E200,"")</x:f>
        <x:v>0.005812751733020391</x:v>
      </x:c>
      <x:c r="L200" s="100" t="n">
        <x:f>IF(I200,G200,"")</x:f>
        <x:v>0.008668343977045833</x:v>
      </x:c>
      <x:c r="M200" s="100" t="n">
        <x:f>IF(I200,F200^2,"")</x:f>
        <x:v>0.00007514018730438678</x:v>
      </x:c>
      <x:c r="N200" s="100" t="n">
        <x:f>IF(I200,F200,"")</x:f>
        <x:v>0.008668343977045833</x:v>
      </x:c>
      <x:c r="P200" t="n">
        <x:f>J200</x:f>
        <x:v>-0.002855592244025443</x:v>
      </x:c>
      <x:c r="Q200" t="n">
        <x:f>K200</x:f>
        <x:v>0.005812751733020391</x:v>
      </x:c>
    </x:row>
    <x:row r="201">
      <x:c r="A201" s="99" t="str">
        <x:f>'Raw T'!B195</x:f>
        <x:v>00243</x:v>
      </x:c>
      <x:c r="B201" s="100" t="n">
        <x:f>INDEX('Raw Stations'!$D$2:$D$299,MATCH(A201,'Raw Stations'!$A$2:$A$299,0))</x:f>
        <x:v>-0.005319679673306148</x:v>
      </x:c>
      <x:c r="C201" s="100" t="n">
        <x:f>'Raw T'!L195</x:f>
        <x:v>-0.02281513946410168</x:v>
      </x:c>
      <x:c r="D201" s="100" t="n">
        <x:f>$B$2</x:f>
        <x:v>-0.01783376051078768</x:v>
      </x:c>
      <x:c r="E201" s="100" t="n">
        <x:f>C201-D201</x:f>
        <x:v>-0.004981378953313999</x:v>
      </x:c>
      <x:c r="F201" s="100" t="n">
        <x:f>E201-B201</x:f>
        <x:v>0.00033830071999214895</x:v>
      </x:c>
      <x:c r="G201" s="100" t="n">
        <x:f>ABS(F201)</x:f>
        <x:v>0.00033830071999214895</x:v>
      </x:c>
      <x:c r="H201" s="100" t="n">
        <x:f>'Raw T'!N195</x:f>
        <x:v>0.8909874283796697</x:v>
      </x:c>
      <x:c r="I201" t="b">
        <x:f>'Raw T'!O195</x:f>
        <x:v>1</x:v>
      </x:c>
      <x:c r="J201" s="100" t="n">
        <x:f>IF(I201,B201,"")</x:f>
        <x:v>-0.005319679673306148</x:v>
      </x:c>
      <x:c r="K201" s="100" t="n">
        <x:f>IF(I201,E201,"")</x:f>
        <x:v>-0.004981378953313999</x:v>
      </x:c>
      <x:c r="L201" s="100" t="n">
        <x:f>IF(I201,G201,"")</x:f>
        <x:v>0.00033830071999214895</x:v>
      </x:c>
      <x:c r="M201" s="100" t="n">
        <x:f>IF(I201,F201^2,"")</x:f>
        <x:v>1.1444737714720637e-7</x:v>
      </x:c>
      <x:c r="N201" s="100" t="n">
        <x:f>IF(I201,F201,"")</x:f>
        <x:v>0.00033830071999214895</x:v>
      </x:c>
      <x:c r="P201" t="n">
        <x:f>J201</x:f>
        <x:v>-0.005319679673306148</x:v>
      </x:c>
      <x:c r="Q201" t="n">
        <x:f>K201</x:f>
        <x:v>-0.004981378953313999</x:v>
      </x:c>
    </x:row>
    <x:row r="202">
      <x:c r="A202" s="99" t="str">
        <x:f>'Raw T'!B196</x:f>
        <x:v>00244</x:v>
      </x:c>
      <x:c r="B202" s="100" t="n">
        <x:f>INDEX('Raw Stations'!$D$2:$D$299,MATCH(A202,'Raw Stations'!$A$2:$A$299,0))</x:f>
        <x:v>-0.006447440382238656</x:v>
      </x:c>
      <x:c r="C202" s="100" t="n">
        <x:f>'Raw T'!L196</x:f>
        <x:v>-0.02231026022820931</x:v>
      </x:c>
      <x:c r="D202" s="100" t="n">
        <x:f>$B$2</x:f>
        <x:v>-0.01783376051078768</x:v>
      </x:c>
      <x:c r="E202" s="100" t="n">
        <x:f>C202-D202</x:f>
        <x:v>-0.004476499717421631</x:v>
      </x:c>
      <x:c r="F202" s="100" t="n">
        <x:f>E202-B202</x:f>
        <x:v>0.0019709406648170252</x:v>
      </x:c>
      <x:c r="G202" s="100" t="n">
        <x:f>ABS(F202)</x:f>
        <x:v>0.0019709406648170252</x:v>
      </x:c>
      <x:c r="H202" s="100" t="n">
        <x:f>'Raw T'!N196</x:f>
        <x:v>0.9025119192745672</x:v>
      </x:c>
      <x:c r="I202" t="b">
        <x:f>'Raw T'!O196</x:f>
        <x:v>1</x:v>
      </x:c>
      <x:c r="J202" s="100" t="n">
        <x:f>IF(I202,B202,"")</x:f>
        <x:v>-0.006447440382238656</x:v>
      </x:c>
      <x:c r="K202" s="100" t="n">
        <x:f>IF(I202,E202,"")</x:f>
        <x:v>-0.004476499717421631</x:v>
      </x:c>
      <x:c r="L202" s="100" t="n">
        <x:f>IF(I202,G202,"")</x:f>
        <x:v>0.0019709406648170252</x:v>
      </x:c>
      <x:c r="M202" s="100" t="n">
        <x:f>IF(I202,F202^2,"")</x:f>
        <x:v>0.000003884607104229378</x:v>
      </x:c>
      <x:c r="N202" s="100" t="n">
        <x:f>IF(I202,F202,"")</x:f>
        <x:v>0.0019709406648170252</x:v>
      </x:c>
      <x:c r="P202" t="n">
        <x:f>J202</x:f>
        <x:v>-0.006447440382238656</x:v>
      </x:c>
      <x:c r="Q202" t="n">
        <x:f>K202</x:f>
        <x:v>-0.004476499717421631</x:v>
      </x:c>
    </x:row>
    <x:row r="203">
      <x:c r="A203" s="99" t="str">
        <x:f>'Raw T'!B197</x:f>
        <x:v>00245</x:v>
      </x:c>
      <x:c r="B203" s="100" t="n">
        <x:f>INDEX('Raw Stations'!$D$2:$D$299,MATCH(A203,'Raw Stations'!$A$2:$A$299,0))</x:f>
        <x:v>-0.005999491690710009</x:v>
      </x:c>
      <x:c r="C203" s="100" t="n">
        <x:f>'Raw T'!L197</x:f>
        <x:v>-0.01864196552180715</x:v>
      </x:c>
      <x:c r="D203" s="100" t="n">
        <x:f>$B$2</x:f>
        <x:v>-0.01783376051078768</x:v>
      </x:c>
      <x:c r="E203" s="100" t="n">
        <x:f>C203-D203</x:f>
        <x:v>-0.0008082050110194694</x:v>
      </x:c>
      <x:c r="F203" s="100" t="n">
        <x:f>E203-B203</x:f>
        <x:v>0.00519128667969054</x:v>
      </x:c>
      <x:c r="G203" s="100" t="n">
        <x:f>ABS(F203)</x:f>
        <x:v>0.00519128667969054</x:v>
      </x:c>
      <x:c r="H203" s="100" t="n">
        <x:f>'Raw T'!N197</x:f>
        <x:v>0.9311089782391405</x:v>
      </x:c>
      <x:c r="I203" t="b">
        <x:f>'Raw T'!O197</x:f>
        <x:v>1</x:v>
      </x:c>
      <x:c r="J203" s="100" t="n">
        <x:f>IF(I203,B203,"")</x:f>
        <x:v>-0.005999491690710009</x:v>
      </x:c>
      <x:c r="K203" s="100" t="n">
        <x:f>IF(I203,E203,"")</x:f>
        <x:v>-0.0008082050110194694</x:v>
      </x:c>
      <x:c r="L203" s="100" t="n">
        <x:f>IF(I203,G203,"")</x:f>
        <x:v>0.00519128667969054</x:v>
      </x:c>
      <x:c r="M203" s="100" t="n">
        <x:f>IF(I203,F203^2,"")</x:f>
        <x:v>0.00002694945739073243</x:v>
      </x:c>
      <x:c r="N203" s="100" t="n">
        <x:f>IF(I203,F203,"")</x:f>
        <x:v>0.00519128667969054</x:v>
      </x:c>
      <x:c r="P203" t="n">
        <x:f>J203</x:f>
        <x:v>-0.005999491690710009</x:v>
      </x:c>
      <x:c r="Q203" t="n">
        <x:f>K203</x:f>
        <x:v>-0.0008082050110194694</x:v>
      </x:c>
    </x:row>
    <x:row r="204">
      <x:c r="A204" s="99" t="str">
        <x:f>'Raw T'!B198</x:f>
        <x:v>00246</x:v>
      </x:c>
      <x:c r="B204" s="100" t="n">
        <x:f>INDEX('Raw Stations'!$D$2:$D$299,MATCH(A204,'Raw Stations'!$A$2:$A$299,0))</x:f>
        <x:v>-0.003334853758854929</x:v>
      </x:c>
      <x:c r="C204" s="100" t="n">
        <x:f>'Raw T'!L198</x:f>
        <x:v>-0.02208625023750661</x:v>
      </x:c>
      <x:c r="D204" s="100" t="n">
        <x:f>$B$2</x:f>
        <x:v>-0.01783376051078768</x:v>
      </x:c>
      <x:c r="E204" s="100" t="n">
        <x:f>C204-D204</x:f>
        <x:v>-0.00425248972671893</x:v>
      </x:c>
      <x:c r="F204" s="100" t="n">
        <x:f>E204-B204</x:f>
        <x:v>-0.0009176359678640007</x:v>
      </x:c>
      <x:c r="G204" s="100" t="n">
        <x:f>ABS(F204)</x:f>
        <x:v>0.0009176359678640007</x:v>
      </x:c>
      <x:c r="H204" s="100" t="n">
        <x:f>'Raw T'!N198</x:f>
        <x:v>0.9817842996107691</x:v>
      </x:c>
      <x:c r="I204" t="b">
        <x:f>'Raw T'!O198</x:f>
        <x:v>1</x:v>
      </x:c>
      <x:c r="J204" s="100" t="n">
        <x:f>IF(I204,B204,"")</x:f>
        <x:v>-0.003334853758854929</x:v>
      </x:c>
      <x:c r="K204" s="100" t="n">
        <x:f>IF(I204,E204,"")</x:f>
        <x:v>-0.00425248972671893</x:v>
      </x:c>
      <x:c r="L204" s="100" t="n">
        <x:f>IF(I204,G204,"")</x:f>
        <x:v>0.0009176359678640007</x:v>
      </x:c>
      <x:c r="M204" s="100" t="n">
        <x:f>IF(I204,F204^2,"")</x:f>
        <x:v>8.420557695177014e-7</x:v>
      </x:c>
      <x:c r="N204" s="100" t="n">
        <x:f>IF(I204,F204,"")</x:f>
        <x:v>-0.0009176359678640007</x:v>
      </x:c>
      <x:c r="P204" t="n">
        <x:f>J204</x:f>
        <x:v>-0.003334853758854929</x:v>
      </x:c>
      <x:c r="Q204" t="n">
        <x:f>K204</x:f>
        <x:v>-0.00425248972671893</x:v>
      </x:c>
    </x:row>
    <x:row r="205">
      <x:c r="A205" s="99" t="str">
        <x:f>'Raw T'!B199</x:f>
        <x:v>00247</x:v>
      </x:c>
      <x:c r="B205" s="100" t="n">
        <x:f>INDEX('Raw Stations'!$D$2:$D$299,MATCH(A205,'Raw Stations'!$A$2:$A$299,0))</x:f>
        <x:v>-0.004174738263577411</x:v>
      </x:c>
      <x:c r="C205" s="100" t="n">
        <x:f>'Raw T'!L199</x:f>
        <x:v>-0.01595493555511548</x:v>
      </x:c>
      <x:c r="D205" s="100" t="n">
        <x:f>$B$2</x:f>
        <x:v>-0.01783376051078768</x:v>
      </x:c>
      <x:c r="E205" s="100" t="n">
        <x:f>C205-D205</x:f>
        <x:v>0.0018788249556721988</x:v>
      </x:c>
      <x:c r="F205" s="100" t="n">
        <x:f>E205-B205</x:f>
        <x:v>0.0060535632192496094</x:v>
      </x:c>
      <x:c r="G205" s="100" t="n">
        <x:f>ABS(F205)</x:f>
        <x:v>0.0060535632192496094</x:v>
      </x:c>
      <x:c r="H205" s="100" t="n">
        <x:f>'Raw T'!N199</x:f>
        <x:v>0.9727803843259761</x:v>
      </x:c>
      <x:c r="I205" t="b">
        <x:f>'Raw T'!O199</x:f>
        <x:v>1</x:v>
      </x:c>
      <x:c r="J205" s="100" t="n">
        <x:f>IF(I205,B205,"")</x:f>
        <x:v>-0.004174738263577411</x:v>
      </x:c>
      <x:c r="K205" s="100" t="n">
        <x:f>IF(I205,E205,"")</x:f>
        <x:v>0.0018788249556721988</x:v>
      </x:c>
      <x:c r="L205" s="100" t="n">
        <x:f>IF(I205,G205,"")</x:f>
        <x:v>0.0060535632192496094</x:v>
      </x:c>
      <x:c r="M205" s="100" t="n">
        <x:f>IF(I205,F205^2,"")</x:f>
        <x:v>0.0000366456276494517</x:v>
      </x:c>
      <x:c r="N205" s="100" t="n">
        <x:f>IF(I205,F205,"")</x:f>
        <x:v>0.0060535632192496094</x:v>
      </x:c>
      <x:c r="P205" t="n">
        <x:f>J205</x:f>
        <x:v>-0.004174738263577411</x:v>
      </x:c>
      <x:c r="Q205" t="n">
        <x:f>K205</x:f>
        <x:v>0.0018788249556721988</x:v>
      </x:c>
    </x:row>
    <x:row r="206">
      <x:c r="A206" s="99" t="str">
        <x:f>'Raw T'!B200</x:f>
        <x:v>00248</x:v>
      </x:c>
      <x:c r="B206" s="100" t="n">
        <x:f>INDEX('Raw Stations'!$D$2:$D$299,MATCH(A206,'Raw Stations'!$A$2:$A$299,0))</x:f>
        <x:v>-0.002433906224654048</x:v>
      </x:c>
      <x:c r="C206" s="100" t="n">
        <x:f>'Raw T'!L200</x:f>
        <x:v>-0.01889244986799418</x:v>
      </x:c>
      <x:c r="D206" s="100" t="n">
        <x:f>$B$2</x:f>
        <x:v>-0.01783376051078768</x:v>
      </x:c>
      <x:c r="E206" s="100" t="n">
        <x:f>C206-D206</x:f>
        <x:v>-0.0010586893572064986</x:v>
      </x:c>
      <x:c r="F206" s="100" t="n">
        <x:f>E206-B206</x:f>
        <x:v>0.0013752168674475494</x:v>
      </x:c>
      <x:c r="G206" s="100" t="n">
        <x:f>ABS(F206)</x:f>
        <x:v>0.0013752168674475494</x:v>
      </x:c>
      <x:c r="H206" s="100" t="n">
        <x:f>'Raw T'!N200</x:f>
        <x:v>0.9792981825681887</x:v>
      </x:c>
      <x:c r="I206" t="b">
        <x:f>'Raw T'!O200</x:f>
        <x:v>1</x:v>
      </x:c>
      <x:c r="J206" s="100" t="n">
        <x:f>IF(I206,B206,"")</x:f>
        <x:v>-0.002433906224654048</x:v>
      </x:c>
      <x:c r="K206" s="100" t="n">
        <x:f>IF(I206,E206,"")</x:f>
        <x:v>-0.0010586893572064986</x:v>
      </x:c>
      <x:c r="L206" s="100" t="n">
        <x:f>IF(I206,G206,"")</x:f>
        <x:v>0.0013752168674475494</x:v>
      </x:c>
      <x:c r="M206" s="100" t="n">
        <x:f>IF(I206,F206^2,"")</x:f>
        <x:v>0.0000018912214325122506</x:v>
      </x:c>
      <x:c r="N206" s="100" t="n">
        <x:f>IF(I206,F206,"")</x:f>
        <x:v>0.0013752168674475494</x:v>
      </x:c>
      <x:c r="P206" t="n">
        <x:f>J206</x:f>
        <x:v>-0.002433906224654048</x:v>
      </x:c>
      <x:c r="Q206" t="n">
        <x:f>K206</x:f>
        <x:v>-0.0010586893572064986</x:v>
      </x:c>
    </x:row>
    <x:row r="207">
      <x:c r="A207" s="99" t="str">
        <x:f>'Raw T'!B201</x:f>
        <x:v>00249</x:v>
      </x:c>
      <x:c r="B207" s="100" t="n">
        <x:f>INDEX('Raw Stations'!$D$2:$D$299,MATCH(A207,'Raw Stations'!$A$2:$A$299,0))</x:f>
        <x:v>-0.0005285886663962298</x:v>
      </x:c>
      <x:c r="C207" s="100" t="n">
        <x:f>'Raw T'!L201</x:f>
        <x:v>-0.02619530070665252</x:v>
      </x:c>
      <x:c r="D207" s="100" t="n">
        <x:f>$B$2</x:f>
        <x:v>-0.01783376051078768</x:v>
      </x:c>
      <x:c r="E207" s="100" t="n">
        <x:f>C207-D207</x:f>
        <x:v>-0.008361540195864839</x:v>
      </x:c>
      <x:c r="F207" s="100" t="n">
        <x:f>E207-B207</x:f>
        <x:v>-0.007832951529468609</x:v>
      </x:c>
      <x:c r="G207" s="100" t="n">
        <x:f>ABS(F207)</x:f>
        <x:v>0.007832951529468609</x:v>
      </x:c>
      <x:c r="H207" s="100" t="n">
        <x:f>'Raw T'!N201</x:f>
        <x:v>0.9797412047134044</x:v>
      </x:c>
      <x:c r="I207" t="b">
        <x:f>'Raw T'!O201</x:f>
        <x:v>1</x:v>
      </x:c>
      <x:c r="J207" s="100" t="n">
        <x:f>IF(I207,B207,"")</x:f>
        <x:v>-0.0005285886663962298</x:v>
      </x:c>
      <x:c r="K207" s="100" t="n">
        <x:f>IF(I207,E207,"")</x:f>
        <x:v>-0.008361540195864839</x:v>
      </x:c>
      <x:c r="L207" s="100" t="n">
        <x:f>IF(I207,G207,"")</x:f>
        <x:v>0.007832951529468609</x:v>
      </x:c>
      <x:c r="M207" s="100" t="n">
        <x:f>IF(I207,F207^2,"")</x:f>
        <x:v>0.00006135512966300461</x:v>
      </x:c>
      <x:c r="N207" s="100" t="n">
        <x:f>IF(I207,F207,"")</x:f>
        <x:v>-0.007832951529468609</x:v>
      </x:c>
      <x:c r="P207" t="n">
        <x:f>J207</x:f>
        <x:v>-0.0005285886663962298</x:v>
      </x:c>
      <x:c r="Q207" t="n">
        <x:f>K207</x:f>
        <x:v>-0.008361540195864839</x:v>
      </x:c>
    </x:row>
    <x:row r="208">
      <x:c r="A208" s="99" t="str">
        <x:f>'Raw T'!B202</x:f>
        <x:v>00250</x:v>
      </x:c>
      <x:c r="B208" s="100" t="n">
        <x:f>INDEX('Raw Stations'!$D$2:$D$299,MATCH(A208,'Raw Stations'!$A$2:$A$299,0))</x:f>
        <x:v>0.01009652619025008</x:v>
      </x:c>
      <x:c r="C208" s="100" t="n">
        <x:f>'Raw T'!L202</x:f>
        <x:v>-0.01742211967955996</x:v>
      </x:c>
      <x:c r="D208" s="100" t="n">
        <x:f>$B$2</x:f>
        <x:v>-0.01783376051078768</x:v>
      </x:c>
      <x:c r="E208" s="100" t="n">
        <x:f>C208-D208</x:f>
        <x:v>0.0004116408312277199</x:v>
      </x:c>
      <x:c r="F208" s="100" t="n">
        <x:f>E208-B208</x:f>
        <x:v>-0.00968488535902236</x:v>
      </x:c>
      <x:c r="G208" s="100" t="n">
        <x:f>ABS(F208)</x:f>
        <x:v>0.00968488535902236</x:v>
      </x:c>
      <x:c r="H208" s="100" t="n">
        <x:f>'Raw T'!N202</x:f>
        <x:v>0.9696663720003453</x:v>
      </x:c>
      <x:c r="I208" t="b">
        <x:f>'Raw T'!O202</x:f>
        <x:v>1</x:v>
      </x:c>
      <x:c r="J208" s="100" t="n">
        <x:f>IF(I208,B208,"")</x:f>
        <x:v>0.01009652619025008</x:v>
      </x:c>
      <x:c r="K208" s="100" t="n">
        <x:f>IF(I208,E208,"")</x:f>
        <x:v>0.0004116408312277199</x:v>
      </x:c>
      <x:c r="L208" s="100" t="n">
        <x:f>IF(I208,G208,"")</x:f>
        <x:v>0.00968488535902236</x:v>
      </x:c>
      <x:c r="M208" s="100" t="n">
        <x:f>IF(I208,F208^2,"")</x:f>
        <x:v>0.00009379700441740566</x:v>
      </x:c>
      <x:c r="N208" s="100" t="n">
        <x:f>IF(I208,F208,"")</x:f>
        <x:v>-0.00968488535902236</x:v>
      </x:c>
      <x:c r="P208" t="n">
        <x:f>J208</x:f>
        <x:v>0.01009652619025008</x:v>
      </x:c>
      <x:c r="Q208" t="n">
        <x:f>K208</x:f>
        <x:v>0.0004116408312277199</x:v>
      </x:c>
    </x:row>
    <x:row r="209">
      <x:c r="A209" s="99" t="str">
        <x:f>'Raw T'!B203</x:f>
        <x:v>00251</x:v>
      </x:c>
      <x:c r="B209" s="100" t="n">
        <x:f>INDEX('Raw Stations'!$D$2:$D$299,MATCH(A209,'Raw Stations'!$A$2:$A$299,0))</x:f>
        <x:v>0.01443343041710357</x:v>
      </x:c>
      <x:c r="C209" s="100" t="n">
        <x:f>'Raw T'!L203</x:f>
        <x:v>-0.01231796606154811</x:v>
      </x:c>
      <x:c r="D209" s="100" t="n">
        <x:f>$B$2</x:f>
        <x:v>-0.01783376051078768</x:v>
      </x:c>
      <x:c r="E209" s="100" t="n">
        <x:f>C209-D209</x:f>
        <x:v>0.00551579444923957</x:v>
      </x:c>
      <x:c r="F209" s="100" t="n">
        <x:f>E209-B209</x:f>
        <x:v>-0.008917635967864</x:v>
      </x:c>
      <x:c r="G209" s="100" t="n">
        <x:f>ABS(F209)</x:f>
        <x:v>0.008917635967864</x:v>
      </x:c>
      <x:c r="H209" s="100" t="n">
        <x:f>'Raw T'!N203</x:f>
        <x:v>0.9701291579160592</x:v>
      </x:c>
      <x:c r="I209" t="b">
        <x:f>'Raw T'!O203</x:f>
        <x:v>1</x:v>
      </x:c>
      <x:c r="J209" s="100" t="n">
        <x:f>IF(I209,B209,"")</x:f>
        <x:v>0.01443343041710357</x:v>
      </x:c>
      <x:c r="K209" s="100" t="n">
        <x:f>IF(I209,E209,"")</x:f>
        <x:v>0.00551579444923957</x:v>
      </x:c>
      <x:c r="L209" s="100" t="n">
        <x:f>IF(I209,G209,"")</x:f>
        <x:v>0.008917635967864</x:v>
      </x:c>
      <x:c r="M209" s="100" t="n">
        <x:f>IF(I209,F209^2,"")</x:f>
        <x:v>0.00007952423125534169</x:v>
      </x:c>
      <x:c r="N209" s="100" t="n">
        <x:f>IF(I209,F209,"")</x:f>
        <x:v>-0.008917635967864</x:v>
      </x:c>
      <x:c r="P209" t="n">
        <x:f>J209</x:f>
        <x:v>0.01443343041710357</x:v>
      </x:c>
      <x:c r="Q209" t="n">
        <x:f>K209</x:f>
        <x:v>0.00551579444923957</x:v>
      </x:c>
    </x:row>
    <x:row r="210">
      <x:c r="A210" s="99" t="str">
        <x:f>'Raw T'!B204</x:f>
        <x:v>00252</x:v>
      </x:c>
      <x:c r="B210" s="100" t="n">
        <x:f>INDEX('Raw Stations'!$D$2:$D$299,MATCH(A210,'Raw Stations'!$A$2:$A$299,0))</x:f>
        <x:v>0.008202143428452185</x:v>
      </x:c>
      <x:c r="C210" s="100" t="n">
        <x:f>'Raw T'!L204</x:f>
        <x:v>-0.01131650244135787</x:v>
      </x:c>
      <x:c r="D210" s="100" t="n">
        <x:f>$B$2</x:f>
        <x:v>-0.01783376051078768</x:v>
      </x:c>
      <x:c r="E210" s="100" t="n">
        <x:f>C210-D210</x:f>
        <x:v>0.006517258069429811</x:v>
      </x:c>
      <x:c r="F210" s="100" t="n">
        <x:f>E210-B210</x:f>
        <x:v>-0.0016848853590223749</x:v>
      </x:c>
      <x:c r="G210" s="100" t="n">
        <x:f>ABS(F210)</x:f>
        <x:v>0.0016848853590223749</x:v>
      </x:c>
      <x:c r="H210" s="100" t="n">
        <x:f>'Raw T'!N204</x:f>
        <x:v>0.9704577799434846</x:v>
      </x:c>
      <x:c r="I210" t="b">
        <x:f>'Raw T'!O204</x:f>
        <x:v>1</x:v>
      </x:c>
      <x:c r="J210" s="100" t="n">
        <x:f>IF(I210,B210,"")</x:f>
        <x:v>0.008202143428452185</x:v>
      </x:c>
      <x:c r="K210" s="100" t="n">
        <x:f>IF(I210,E210,"")</x:f>
        <x:v>0.006517258069429811</x:v>
      </x:c>
      <x:c r="L210" s="100" t="n">
        <x:f>IF(I210,G210,"")</x:f>
        <x:v>0.0016848853590223749</x:v>
      </x:c>
      <x:c r="M210" s="100" t="n">
        <x:f>IF(I210,F210^2,"")</x:f>
        <x:v>0.000002838838673047957</x:v>
      </x:c>
      <x:c r="N210" s="100" t="n">
        <x:f>IF(I210,F210,"")</x:f>
        <x:v>-0.0016848853590223749</x:v>
      </x:c>
      <x:c r="P210" t="n">
        <x:f>J210</x:f>
        <x:v>0.008202143428452185</x:v>
      </x:c>
      <x:c r="Q210" t="n">
        <x:f>K210</x:f>
        <x:v>0.006517258069429811</x:v>
      </x:c>
    </x:row>
    <x:row r="211">
      <x:c r="A211" s="99" t="str">
        <x:f>'Raw T'!B205</x:f>
        <x:v>00253</x:v>
      </x:c>
      <x:c r="B211" s="100" t="n">
        <x:f>INDEX('Raw Stations'!$D$2:$D$299,MATCH(A211,'Raw Stations'!$A$2:$A$299,0))</x:f>
        <x:v>-0.00216005978490106</x:v>
      </x:c>
      <x:c r="C211" s="100" t="n">
        <x:f>'Raw T'!L205</x:f>
        <x:v>-0.02540722792238015</x:v>
      </x:c>
      <x:c r="D211" s="100" t="n">
        <x:f>$B$2</x:f>
        <x:v>-0.01783376051078768</x:v>
      </x:c>
      <x:c r="E211" s="100" t="n">
        <x:f>C211-D211</x:f>
        <x:v>-0.007573467411592469</x:v>
      </x:c>
      <x:c r="F211" s="100" t="n">
        <x:f>E211-B211</x:f>
        <x:v>-0.005413407626691409</x:v>
      </x:c>
      <x:c r="G211" s="100" t="n">
        <x:f>ABS(F211)</x:f>
        <x:v>0.005413407626691409</x:v>
      </x:c>
      <x:c r="H211" s="100" t="n">
        <x:f>'Raw T'!N205</x:f>
        <x:v>0.9856373859251195</x:v>
      </x:c>
      <x:c r="I211" t="b">
        <x:f>'Raw T'!O205</x:f>
        <x:v>1</x:v>
      </x:c>
      <x:c r="J211" s="100" t="n">
        <x:f>IF(I211,B211,"")</x:f>
        <x:v>-0.00216005978490106</x:v>
      </x:c>
      <x:c r="K211" s="100" t="n">
        <x:f>IF(I211,E211,"")</x:f>
        <x:v>-0.007573467411592469</x:v>
      </x:c>
      <x:c r="L211" s="100" t="n">
        <x:f>IF(I211,G211,"")</x:f>
        <x:v>0.005413407626691409</x:v>
      </x:c>
      <x:c r="M211" s="100" t="n">
        <x:f>IF(I211,F211^2,"")</x:f>
        <x:v>0.000029304982132720714</x:v>
      </x:c>
      <x:c r="N211" s="100" t="n">
        <x:f>IF(I211,F211,"")</x:f>
        <x:v>-0.005413407626691409</x:v>
      </x:c>
      <x:c r="P211" t="n">
        <x:f>J211</x:f>
        <x:v>-0.00216005978490106</x:v>
      </x:c>
      <x:c r="Q211" t="n">
        <x:f>K211</x:f>
        <x:v>-0.007573467411592469</x:v>
      </x:c>
    </x:row>
    <x:row r="212">
      <x:c r="A212" s="99" t="str">
        <x:f>'Raw T'!B206</x:f>
        <x:v>00254</x:v>
      </x:c>
      <x:c r="B212" s="100" t="n">
        <x:f>INDEX('Raw Stations'!$D$2:$D$299,MATCH(A212,'Raw Stations'!$A$2:$A$299,0))</x:f>
        <x:v>-0.005124085243221884</x:v>
      </x:c>
      <x:c r="C212" s="100" t="n">
        <x:f>'Raw T'!L206</x:f>
        <x:v>-0.01749066379268353</x:v>
      </x:c>
      <x:c r="D212" s="100" t="n">
        <x:f>$B$2</x:f>
        <x:v>-0.01783376051078768</x:v>
      </x:c>
      <x:c r="E212" s="100" t="n">
        <x:f>C212-D212</x:f>
        <x:v>0.00034309671810415013</x:v>
      </x:c>
      <x:c r="F212" s="100" t="n">
        <x:f>E212-B212</x:f>
        <x:v>0.005467181961326034</x:v>
      </x:c>
      <x:c r="G212" s="100" t="n">
        <x:f>ABS(F212)</x:f>
        <x:v>0.005467181961326034</x:v>
      </x:c>
      <x:c r="H212" s="100" t="n">
        <x:f>'Raw T'!N206</x:f>
        <x:v>0.910352374666503</x:v>
      </x:c>
      <x:c r="I212" t="b">
        <x:f>'Raw T'!O206</x:f>
        <x:v>1</x:v>
      </x:c>
      <x:c r="J212" s="100" t="n">
        <x:f>IF(I212,B212,"")</x:f>
        <x:v>-0.005124085243221884</x:v>
      </x:c>
      <x:c r="K212" s="100" t="n">
        <x:f>IF(I212,E212,"")</x:f>
        <x:v>0.00034309671810415013</x:v>
      </x:c>
      <x:c r="L212" s="100" t="n">
        <x:f>IF(I212,G212,"")</x:f>
        <x:v>0.005467181961326034</x:v>
      </x:c>
      <x:c r="M212" s="100" t="n">
        <x:f>IF(I212,F212^2,"")</x:f>
        <x:v>0.000029890078598248783</x:v>
      </x:c>
      <x:c r="N212" s="100" t="n">
        <x:f>IF(I212,F212,"")</x:f>
        <x:v>0.005467181961326034</x:v>
      </x:c>
      <x:c r="P212" t="n">
        <x:f>J212</x:f>
        <x:v>-0.005124085243221884</x:v>
      </x:c>
      <x:c r="Q212" t="n">
        <x:f>K212</x:f>
        <x:v>0.00034309671810415013</x:v>
      </x:c>
    </x:row>
    <x:row r="213">
      <x:c r="A213" s="99" t="str">
        <x:f>'Raw T'!B207</x:f>
        <x:v>00255</x:v>
      </x:c>
      <x:c r="B213" s="100" t="n">
        <x:f>INDEX('Raw Stations'!$D$2:$D$299,MATCH(A213,'Raw Stations'!$A$2:$A$299,0))</x:f>
        <x:v>-0.00187578681520597</x:v>
      </x:c>
      <x:c r="C213" s="100" t="n">
        <x:f>'Raw T'!L207</x:f>
        <x:v>-0.01723842005272673</x:v>
      </x:c>
      <x:c r="D213" s="100" t="n">
        <x:f>$B$2</x:f>
        <x:v>-0.01783376051078768</x:v>
      </x:c>
      <x:c r="E213" s="100" t="n">
        <x:f>C213-D213</x:f>
        <x:v>0.00059534045806095</x:v>
      </x:c>
      <x:c r="F213" s="100" t="n">
        <x:f>E213-B213</x:f>
        <x:v>0.00247112727326692</x:v>
      </x:c>
      <x:c r="G213" s="100" t="n">
        <x:f>ABS(F213)</x:f>
        <x:v>0.00247112727326692</x:v>
      </x:c>
      <x:c r="H213" s="100" t="n">
        <x:f>'Raw T'!N207</x:f>
        <x:v>0.9531353403534579</x:v>
      </x:c>
      <x:c r="I213" t="b">
        <x:f>'Raw T'!O207</x:f>
        <x:v>1</x:v>
      </x:c>
      <x:c r="J213" s="100" t="n">
        <x:f>IF(I213,B213,"")</x:f>
        <x:v>-0.00187578681520597</x:v>
      </x:c>
      <x:c r="K213" s="100" t="n">
        <x:f>IF(I213,E213,"")</x:f>
        <x:v>0.00059534045806095</x:v>
      </x:c>
      <x:c r="L213" s="100" t="n">
        <x:f>IF(I213,G213,"")</x:f>
        <x:v>0.00247112727326692</x:v>
      </x:c>
      <x:c r="M213" s="100" t="n">
        <x:f>IF(I213,F213^2,"")</x:f>
        <x:v>0.000006106470000683603</x:v>
      </x:c>
      <x:c r="N213" s="100" t="n">
        <x:f>IF(I213,F213,"")</x:f>
        <x:v>0.00247112727326692</x:v>
      </x:c>
      <x:c r="P213" t="n">
        <x:f>J213</x:f>
        <x:v>-0.00187578681520597</x:v>
      </x:c>
      <x:c r="Q213" t="n">
        <x:f>K213</x:f>
        <x:v>0.00059534045806095</x:v>
      </x:c>
    </x:row>
    <x:row r="214">
      <x:c r="A214" s="99" t="str">
        <x:f>'Raw T'!B208</x:f>
        <x:v>00256</x:v>
      </x:c>
      <x:c r="B214" s="100" t="n">
        <x:f>INDEX('Raw Stations'!$D$2:$D$299,MATCH(A214,'Raw Stations'!$A$2:$A$299,0))</x:f>
        <x:v>0.002057983199246202</x:v>
      </x:c>
      <x:c r="C214" s="100" t="n">
        <x:f>'Raw T'!L208</x:f>
        <x:v>-0.01669341327940548</x:v>
      </x:c>
      <x:c r="D214" s="100" t="n">
        <x:f>$B$2</x:f>
        <x:v>-0.01783376051078768</x:v>
      </x:c>
      <x:c r="E214" s="100" t="n">
        <x:f>C214-D214</x:f>
        <x:v>0.0011403472313822015</x:v>
      </x:c>
      <x:c r="F214" s="100" t="n">
        <x:f>E214-B214</x:f>
        <x:v>-0.0009176359678640007</x:v>
      </x:c>
      <x:c r="G214" s="100" t="n">
        <x:f>ABS(F214)</x:f>
        <x:v>0.0009176359678640007</x:v>
      </x:c>
      <x:c r="H214" s="100" t="n">
        <x:f>'Raw T'!N208</x:f>
        <x:v>0.9375909128103164</x:v>
      </x:c>
      <x:c r="I214" t="b">
        <x:f>'Raw T'!O208</x:f>
        <x:v>1</x:v>
      </x:c>
      <x:c r="J214" s="100" t="n">
        <x:f>IF(I214,B214,"")</x:f>
        <x:v>0.002057983199246202</x:v>
      </x:c>
      <x:c r="K214" s="100" t="n">
        <x:f>IF(I214,E214,"")</x:f>
        <x:v>0.0011403472313822015</x:v>
      </x:c>
      <x:c r="L214" s="100" t="n">
        <x:f>IF(I214,G214,"")</x:f>
        <x:v>0.0009176359678640007</x:v>
      </x:c>
      <x:c r="M214" s="100" t="n">
        <x:f>IF(I214,F214^2,"")</x:f>
        <x:v>8.420557695177014e-7</x:v>
      </x:c>
      <x:c r="N214" s="100" t="n">
        <x:f>IF(I214,F214,"")</x:f>
        <x:v>-0.0009176359678640007</x:v>
      </x:c>
      <x:c r="P214" t="n">
        <x:f>J214</x:f>
        <x:v>0.002057983199246202</x:v>
      </x:c>
      <x:c r="Q214" t="n">
        <x:f>K214</x:f>
        <x:v>0.0011403472313822015</x:v>
      </x:c>
    </x:row>
    <x:row r="215">
      <x:c r="A215" s="99" t="str">
        <x:f>'Raw T'!B209</x:f>
        <x:v>00257</x:v>
      </x:c>
      <x:c r="B215" s="100" t="n">
        <x:f>INDEX('Raw Stations'!$D$2:$D$299,MATCH(A215,'Raw Stations'!$A$2:$A$299,0))</x:f>
        <x:v>-0.002023806519780652</x:v>
      </x:c>
      <x:c r="C215" s="100" t="n">
        <x:f>'Raw T'!L209</x:f>
        <x:v>-0.01969051856003695</x:v>
      </x:c>
      <x:c r="D215" s="100" t="n">
        <x:f>$B$2</x:f>
        <x:v>-0.01783376051078768</x:v>
      </x:c>
      <x:c r="E215" s="100" t="n">
        <x:f>C215-D215</x:f>
        <x:v>-0.0018567580492492713</x:v>
      </x:c>
      <x:c r="F215" s="100" t="n">
        <x:f>E215-B215</x:f>
        <x:v>0.00016704847053138072</x:v>
      </x:c>
      <x:c r="G215" s="100" t="n">
        <x:f>ABS(F215)</x:f>
        <x:v>0.00016704847053138072</x:v>
      </x:c>
      <x:c r="H215" s="100" t="n">
        <x:f>'Raw T'!N209</x:f>
        <x:v>0.9114526467443781</x:v>
      </x:c>
      <x:c r="I215" t="b">
        <x:f>'Raw T'!O209</x:f>
        <x:v>1</x:v>
      </x:c>
      <x:c r="J215" s="100" t="n">
        <x:f>IF(I215,B215,"")</x:f>
        <x:v>-0.002023806519780652</x:v>
      </x:c>
      <x:c r="K215" s="100" t="n">
        <x:f>IF(I215,E215,"")</x:f>
        <x:v>-0.0018567580492492713</x:v>
      </x:c>
      <x:c r="L215" s="100" t="n">
        <x:f>IF(I215,G215,"")</x:f>
        <x:v>0.00016704847053138072</x:v>
      </x:c>
      <x:c r="M215" s="100" t="n">
        <x:f>IF(I215,F215^2,"")</x:f>
        <x:v>2.7905191506873574e-8</x:v>
      </x:c>
      <x:c r="N215" s="100" t="n">
        <x:f>IF(I215,F215,"")</x:f>
        <x:v>0.00016704847053138072</x:v>
      </x:c>
      <x:c r="P215" t="n">
        <x:f>J215</x:f>
        <x:v>-0.002023806519780652</x:v>
      </x:c>
      <x:c r="Q215" t="n">
        <x:f>K215</x:f>
        <x:v>-0.0018567580492492713</x:v>
      </x:c>
    </x:row>
    <x:row r="216">
      <x:c r="A216" s="99" t="str">
        <x:f>'Raw T'!B210</x:f>
        <x:v>00258</x:v>
      </x:c>
      <x:c r="B216" s="100" t="n">
        <x:f>INDEX('Raw Stations'!$D$2:$D$299,MATCH(A216,'Raw Stations'!$A$2:$A$299,0))</x:f>
        <x:v>-0.001294380249614171</x:v>
      </x:c>
      <x:c r="C216" s="100" t="n">
        <x:f>'Raw T'!L210</x:f>
        <x:v>-0.02296109228987048</x:v>
      </x:c>
      <x:c r="D216" s="100" t="n">
        <x:f>$B$2</x:f>
        <x:v>-0.01783376051078768</x:v>
      </x:c>
      <x:c r="E216" s="100" t="n">
        <x:f>C216-D216</x:f>
        <x:v>-0.005127331779082801</x:v>
      </x:c>
      <x:c r="F216" s="100" t="n">
        <x:f>E216-B216</x:f>
        <x:v>-0.0038329515294686298</x:v>
      </x:c>
      <x:c r="G216" s="100" t="n">
        <x:f>ABS(F216)</x:f>
        <x:v>0.0038329515294686298</x:v>
      </x:c>
      <x:c r="H216" s="100" t="n">
        <x:f>'Raw T'!N210</x:f>
        <x:v>0.9536685172691649</x:v>
      </x:c>
      <x:c r="I216" t="b">
        <x:f>'Raw T'!O210</x:f>
        <x:v>1</x:v>
      </x:c>
      <x:c r="J216" s="100" t="n">
        <x:f>IF(I216,B216,"")</x:f>
        <x:v>-0.001294380249614171</x:v>
      </x:c>
      <x:c r="K216" s="100" t="n">
        <x:f>IF(I216,E216,"")</x:f>
        <x:v>-0.005127331779082801</x:v>
      </x:c>
      <x:c r="L216" s="100" t="n">
        <x:f>IF(I216,G216,"")</x:f>
        <x:v>0.0038329515294686298</x:v>
      </x:c>
      <x:c r="M216" s="100" t="n">
        <x:f>IF(I216,F216^2,"")</x:f>
        <x:v>0.000014691517427255909</x:v>
      </x:c>
      <x:c r="N216" s="100" t="n">
        <x:f>IF(I216,F216,"")</x:f>
        <x:v>-0.0038329515294686298</x:v>
      </x:c>
      <x:c r="P216" t="n">
        <x:f>J216</x:f>
        <x:v>-0.001294380249614171</x:v>
      </x:c>
      <x:c r="Q216" t="n">
        <x:f>K216</x:f>
        <x:v>-0.005127331779082801</x:v>
      </x:c>
    </x:row>
    <x:row r="217">
      <x:c r="A217" s="99" t="str">
        <x:f>'Raw T'!B211</x:f>
        <x:v>00259</x:v>
      </x:c>
      <x:c r="B217" s="100" t="n">
        <x:f>INDEX('Raw Stations'!$D$2:$D$299,MATCH(A217,'Raw Stations'!$A$2:$A$299,0))</x:f>
        <x:v>-0.004563610697556827</x:v>
      </x:c>
      <x:c r="C217" s="100" t="n">
        <x:f>'Raw T'!L211</x:f>
        <x:v>-0.02243675120499418</x:v>
      </x:c>
      <x:c r="D217" s="100" t="n">
        <x:f>$B$2</x:f>
        <x:v>-0.01783376051078768</x:v>
      </x:c>
      <x:c r="E217" s="100" t="n">
        <x:f>C217-D217</x:f>
        <x:v>-0.004602990694206499</x:v>
      </x:c>
      <x:c r="F217" s="100" t="n">
        <x:f>E217-B217</x:f>
        <x:v>-0.00003937999664967249</x:v>
      </x:c>
      <x:c r="G217" s="100" t="n">
        <x:f>ABS(F217)</x:f>
        <x:v>0.00003937999664967249</x:v>
      </x:c>
      <x:c r="H217" s="100" t="n">
        <x:f>'Raw T'!N211</x:f>
        <x:v>0.9573043745323898</x:v>
      </x:c>
      <x:c r="I217" t="b">
        <x:f>'Raw T'!O211</x:f>
        <x:v>1</x:v>
      </x:c>
      <x:c r="J217" s="100" t="n">
        <x:f>IF(I217,B217,"")</x:f>
        <x:v>-0.004563610697556827</x:v>
      </x:c>
      <x:c r="K217" s="100" t="n">
        <x:f>IF(I217,E217,"")</x:f>
        <x:v>-0.004602990694206499</x:v>
      </x:c>
      <x:c r="L217" s="100" t="n">
        <x:f>IF(I217,G217,"")</x:f>
        <x:v>0.00003937999664967249</x:v>
      </x:c>
      <x:c r="M217" s="100" t="n">
        <x:f>IF(I217,F217^2,"")</x:f>
        <x:v>1.5507841361282165e-9</x:v>
      </x:c>
      <x:c r="N217" s="100" t="n">
        <x:f>IF(I217,F217,"")</x:f>
        <x:v>-0.00003937999664967249</x:v>
      </x:c>
      <x:c r="P217" t="n">
        <x:f>J217</x:f>
        <x:v>-0.004563610697556827</x:v>
      </x:c>
      <x:c r="Q217" t="n">
        <x:f>K217</x:f>
        <x:v>-0.004602990694206499</x:v>
      </x:c>
    </x:row>
    <x:row r="218">
      <x:c r="A218" s="99" t="str">
        <x:f>'Raw T'!B212</x:f>
        <x:v>00260</x:v>
      </x:c>
      <x:c r="B218" s="100" t="n">
        <x:f>INDEX('Raw Stations'!$D$2:$D$299,MATCH(A218,'Raw Stations'!$A$2:$A$299,0))</x:f>
        <x:v>-0.002526667458881783</x:v>
      </x:c>
      <x:c r="C218" s="100" t="n">
        <x:f>'Raw T'!L212</x:f>
        <x:v>-0.01938245955571334</x:v>
      </x:c>
      <x:c r="D218" s="100" t="n">
        <x:f>$B$2</x:f>
        <x:v>-0.01783376051078768</x:v>
      </x:c>
      <x:c r="E218" s="100" t="n">
        <x:f>C218-D218</x:f>
        <x:v>-0.001548699044925661</x:v>
      </x:c>
      <x:c r="F218" s="100" t="n">
        <x:f>E218-B218</x:f>
        <x:v>0.000977968413956122</x:v>
      </x:c>
      <x:c r="G218" s="100" t="n">
        <x:f>ABS(F218)</x:f>
        <x:v>0.000977968413956122</x:v>
      </x:c>
      <x:c r="H218" s="100" t="n">
        <x:f>'Raw T'!N212</x:f>
        <x:v>0.8257621998311337</x:v>
      </x:c>
      <x:c r="I218" t="b">
        <x:f>'Raw T'!O212</x:f>
        <x:v>1</x:v>
      </x:c>
      <x:c r="J218" s="100" t="n">
        <x:f>IF(I218,B218,"")</x:f>
        <x:v>-0.002526667458881783</x:v>
      </x:c>
      <x:c r="K218" s="100" t="n">
        <x:f>IF(I218,E218,"")</x:f>
        <x:v>-0.001548699044925661</x:v>
      </x:c>
      <x:c r="L218" s="100" t="n">
        <x:f>IF(I218,G218,"")</x:f>
        <x:v>0.000977968413956122</x:v>
      </x:c>
      <x:c r="M218" s="100" t="n">
        <x:f>IF(I218,F218^2,"")</x:f>
        <x:v>9.564222186958528e-7</x:v>
      </x:c>
      <x:c r="N218" s="100" t="n">
        <x:f>IF(I218,F218,"")</x:f>
        <x:v>0.000977968413956122</x:v>
      </x:c>
      <x:c r="P218" t="n">
        <x:f>J218</x:f>
        <x:v>-0.002526667458881783</x:v>
      </x:c>
      <x:c r="Q218" t="n">
        <x:f>K218</x:f>
        <x:v>-0.001548699044925661</x:v>
      </x:c>
    </x:row>
    <x:row r="219">
      <x:c r="A219" s="99" t="str">
        <x:f>'Raw T'!B213</x:f>
        <x:v>00261</x:v>
      </x:c>
      <x:c r="B219" s="100" t="n">
        <x:f>INDEX('Raw Stations'!$D$2:$D$299,MATCH(A219,'Raw Stations'!$A$2:$A$299,0))</x:f>
        <x:v>-0.007720370968614467</x:v>
      </x:c>
      <x:c r="C219" s="100" t="n">
        <x:f>'Raw T'!L213</x:f>
        <x:v>-0.01721583075940999</x:v>
      </x:c>
      <x:c r="D219" s="100" t="n">
        <x:f>$B$2</x:f>
        <x:v>-0.01783376051078768</x:v>
      </x:c>
      <x:c r="E219" s="100" t="n">
        <x:f>C219-D219</x:f>
        <x:v>0.0006179297513776889</x:v>
      </x:c>
      <x:c r="F219" s="100" t="n">
        <x:f>E219-B219</x:f>
        <x:v>0.008338300719992156</x:v>
      </x:c>
      <x:c r="G219" s="100" t="n">
        <x:f>ABS(F219)</x:f>
        <x:v>0.008338300719992156</x:v>
      </x:c>
      <x:c r="H219" s="100" t="n">
        <x:f>'Raw T'!N213</x:f>
        <x:v>0.8711069029001879</x:v>
      </x:c>
      <x:c r="I219" t="b">
        <x:f>'Raw T'!O213</x:f>
        <x:v>1</x:v>
      </x:c>
      <x:c r="J219" s="100" t="n">
        <x:f>IF(I219,B219,"")</x:f>
        <x:v>-0.007720370968614467</x:v>
      </x:c>
      <x:c r="K219" s="100" t="n">
        <x:f>IF(I219,E219,"")</x:f>
        <x:v>0.0006179297513776889</x:v>
      </x:c>
      <x:c r="L219" s="100" t="n">
        <x:f>IF(I219,G219,"")</x:f>
        <x:v>0.008338300719992156</x:v>
      </x:c>
      <x:c r="M219" s="100" t="n">
        <x:f>IF(I219,F219^2,"")</x:f>
        <x:v>0.00006952725889702171</x:v>
      </x:c>
      <x:c r="N219" s="100" t="n">
        <x:f>IF(I219,F219,"")</x:f>
        <x:v>0.008338300719992156</x:v>
      </x:c>
      <x:c r="P219" t="n">
        <x:f>J219</x:f>
        <x:v>-0.007720370968614467</x:v>
      </x:c>
      <x:c r="Q219" t="n">
        <x:f>K219</x:f>
        <x:v>0.0006179297513776889</x:v>
      </x:c>
    </x:row>
    <x:row r="220">
      <x:c r="A220" s="99" t="str">
        <x:f>'Raw T'!B214</x:f>
        <x:v>00262</x:v>
      </x:c>
      <x:c r="B220" s="100" t="n">
        <x:f>INDEX('Raw Stations'!$D$2:$D$299,MATCH(A220,'Raw Stations'!$A$2:$A$299,0))</x:f>
        <x:v>-0.009227797673163621</x:v>
      </x:c>
      <x:c r="C220" s="100" t="n">
        <x:f>'Raw T'!L214</x:f>
        <x:v>-0.01318273322827911</x:v>
      </x:c>
      <x:c r="D220" s="100" t="n">
        <x:f>$B$2</x:f>
        <x:v>-0.01783376051078768</x:v>
      </x:c>
      <x:c r="E220" s="100" t="n">
        <x:f>C220-D220</x:f>
        <x:v>0.004651027282508571</x:v>
      </x:c>
      <x:c r="F220" s="100" t="n">
        <x:f>E220-B220</x:f>
        <x:v>0.013878824955672192</x:v>
      </x:c>
      <x:c r="G220" s="100" t="n">
        <x:f>ABS(F220)</x:f>
        <x:v>0.013878824955672192</x:v>
      </x:c>
      <x:c r="H220" s="100" t="n">
        <x:f>'Raw T'!N214</x:f>
        <x:v>0.9419516948564509</x:v>
      </x:c>
      <x:c r="I220" t="b">
        <x:f>'Raw T'!O214</x:f>
        <x:v>1</x:v>
      </x:c>
      <x:c r="J220" s="100" t="n">
        <x:f>IF(I220,B220,"")</x:f>
        <x:v>-0.009227797673163621</x:v>
      </x:c>
      <x:c r="K220" s="100" t="n">
        <x:f>IF(I220,E220,"")</x:f>
        <x:v>0.004651027282508571</x:v>
      </x:c>
      <x:c r="L220" s="100" t="n">
        <x:f>IF(I220,G220,"")</x:f>
        <x:v>0.013878824955672192</x:v>
      </x:c>
      <x:c r="M220" s="100" t="n">
        <x:f>IF(I220,F220^2,"")</x:f>
        <x:v>0.00019262178215018923</x:v>
      </x:c>
      <x:c r="N220" s="100" t="n">
        <x:f>IF(I220,F220,"")</x:f>
        <x:v>0.013878824955672192</x:v>
      </x:c>
      <x:c r="P220" t="n">
        <x:f>J220</x:f>
        <x:v>-0.009227797673163621</x:v>
      </x:c>
      <x:c r="Q220" t="n">
        <x:f>K220</x:f>
        <x:v>0.004651027282508571</x:v>
      </x:c>
    </x:row>
    <x:row r="221">
      <x:c r="A221" s="99" t="str">
        <x:f>'Raw T'!B215</x:f>
        <x:v>00263</x:v>
      </x:c>
      <x:c r="B221" s="100" t="n">
        <x:f>INDEX('Raw Stations'!$D$2:$D$299,MATCH(A221,'Raw Stations'!$A$2:$A$299,0))</x:f>
        <x:v>-0.00642642892954003</x:v>
      </x:c>
      <x:c r="C221" s="100" t="n">
        <x:f>'Raw T'!L215</x:f>
        <x:v>-0.01781439237499792</x:v>
      </x:c>
      <x:c r="D221" s="100" t="n">
        <x:f>$B$2</x:f>
        <x:v>-0.01783376051078768</x:v>
      </x:c>
      <x:c r="E221" s="100" t="n">
        <x:f>C221-D221</x:f>
        <x:v>0.000019368135789760155</x:v>
      </x:c>
      <x:c r="F221" s="100" t="n">
        <x:f>E221-B221</x:f>
        <x:v>0.00644579706532979</x:v>
      </x:c>
      <x:c r="G221" s="100" t="n">
        <x:f>ABS(F221)</x:f>
        <x:v>0.00644579706532979</x:v>
      </x:c>
      <x:c r="H221" s="100" t="n">
        <x:f>'Raw T'!N215</x:f>
        <x:v>0.8574831348509677</x:v>
      </x:c>
      <x:c r="I221" t="b">
        <x:f>'Raw T'!O215</x:f>
        <x:v>1</x:v>
      </x:c>
      <x:c r="J221" s="100" t="n">
        <x:f>IF(I221,B221,"")</x:f>
        <x:v>-0.00642642892954003</x:v>
      </x:c>
      <x:c r="K221" s="100" t="n">
        <x:f>IF(I221,E221,"")</x:f>
        <x:v>0.000019368135789760155</x:v>
      </x:c>
      <x:c r="L221" s="100" t="n">
        <x:f>IF(I221,G221,"")</x:f>
        <x:v>0.00644579706532979</x:v>
      </x:c>
      <x:c r="M221" s="100" t="n">
        <x:f>IF(I221,F221^2,"")</x:f>
        <x:v>0.000041548299807414134</x:v>
      </x:c>
      <x:c r="N221" s="100" t="n">
        <x:f>IF(I221,F221,"")</x:f>
        <x:v>0.00644579706532979</x:v>
      </x:c>
      <x:c r="P221" t="n">
        <x:f>J221</x:f>
        <x:v>-0.00642642892954003</x:v>
      </x:c>
      <x:c r="Q221" t="n">
        <x:f>K221</x:f>
        <x:v>0.000019368135789760155</x:v>
      </x:c>
    </x:row>
    <x:row r="222">
      <x:c r="A222" s="99" t="str">
        <x:f>'Raw T'!B216</x:f>
        <x:v>00265</x:v>
      </x:c>
      <x:c r="B222" s="100" t="n">
        <x:f>INDEX('Raw Stations'!$D$2:$D$299,MATCH(A222,'Raw Stations'!$A$2:$A$299,0))</x:f>
        <x:v>-0.007314118431269376</x:v>
      </x:c>
      <x:c r="C222" s="100" t="n">
        <x:f>'Raw T'!L216</x:f>
        <x:v>-0.02677964502966035</x:v>
      </x:c>
      <x:c r="D222" s="100" t="n">
        <x:f>$B$2</x:f>
        <x:v>-0.01783376051078768</x:v>
      </x:c>
      <x:c r="E222" s="100" t="n">
        <x:f>C222-D222</x:f>
        <x:v>-0.008945884518872668</x:v>
      </x:c>
      <x:c r="F222" s="100" t="n">
        <x:f>E222-B222</x:f>
        <x:v>-0.0016317660876032924</x:v>
      </x:c>
      <x:c r="G222" s="100" t="n">
        <x:f>ABS(F222)</x:f>
        <x:v>0.0016317660876032924</x:v>
      </x:c>
      <x:c r="H222" s="100" t="n">
        <x:f>'Raw T'!N216</x:f>
        <x:v>0.9848937238688104</x:v>
      </x:c>
      <x:c r="I222" t="b">
        <x:f>'Raw T'!O216</x:f>
        <x:v>1</x:v>
      </x:c>
      <x:c r="J222" s="100" t="n">
        <x:f>IF(I222,B222,"")</x:f>
        <x:v>-0.007314118431269376</x:v>
      </x:c>
      <x:c r="K222" s="100" t="n">
        <x:f>IF(I222,E222,"")</x:f>
        <x:v>-0.008945884518872668</x:v>
      </x:c>
      <x:c r="L222" s="100" t="n">
        <x:f>IF(I222,G222,"")</x:f>
        <x:v>0.0016317660876032924</x:v>
      </x:c>
      <x:c r="M222" s="100" t="n">
        <x:f>IF(I222,F222^2,"")</x:f>
        <x:v>0.0000026626605646521557</x:v>
      </x:c>
      <x:c r="N222" s="100" t="n">
        <x:f>IF(I222,F222,"")</x:f>
        <x:v>-0.0016317660876032924</x:v>
      </x:c>
      <x:c r="P222" t="n">
        <x:f>J222</x:f>
        <x:v>-0.007314118431269376</x:v>
      </x:c>
      <x:c r="Q222" t="n">
        <x:f>K222</x:f>
        <x:v>-0.008945884518872668</x:v>
      </x:c>
    </x:row>
    <x:row r="223">
      <x:c r="A223" s="99" t="str">
        <x:f>'Raw T'!B217</x:f>
        <x:v>00266</x:v>
      </x:c>
      <x:c r="B223" s="100" t="n">
        <x:f>INDEX('Raw Stations'!$D$2:$D$299,MATCH(A223,'Raw Stations'!$A$2:$A$299,0))</x:f>
        <x:v>0.004838514066448982</x:v>
      </x:c>
      <x:c r="C223" s="100" t="n">
        <x:f>'Raw T'!L217</x:f>
        <x:v>-0.01943609938913415</x:v>
      </x:c>
      <x:c r="D223" s="100" t="n">
        <x:f>$B$2</x:f>
        <x:v>-0.01783376051078768</x:v>
      </x:c>
      <x:c r="E223" s="100" t="n">
        <x:f>C223-D223</x:f>
        <x:v>-0.0016023388783464702</x:v>
      </x:c>
      <x:c r="F223" s="100" t="n">
        <x:f>E223-B223</x:f>
        <x:v>-0.006440852944795452</x:v>
      </x:c>
      <x:c r="G223" s="100" t="n">
        <x:f>ABS(F223)</x:f>
        <x:v>0.006440852944795452</x:v>
      </x:c>
      <x:c r="H223" s="100" t="n">
        <x:f>'Raw T'!N217</x:f>
        <x:v>0.977682232179715</x:v>
      </x:c>
      <x:c r="I223" t="b">
        <x:f>'Raw T'!O217</x:f>
        <x:v>1</x:v>
      </x:c>
      <x:c r="J223" s="100" t="n">
        <x:f>IF(I223,B223,"")</x:f>
        <x:v>0.004838514066448982</x:v>
      </x:c>
      <x:c r="K223" s="100" t="n">
        <x:f>IF(I223,E223,"")</x:f>
        <x:v>-0.0016023388783464702</x:v>
      </x:c>
      <x:c r="L223" s="100" t="n">
        <x:f>IF(I223,G223,"")</x:f>
        <x:v>0.006440852944795452</x:v>
      </x:c>
      <x:c r="M223" s="100" t="n">
        <x:f>IF(I223,F223^2,"")</x:f>
        <x:v>0.00004148458665648025</x:v>
      </x:c>
      <x:c r="N223" s="100" t="n">
        <x:f>IF(I223,F223,"")</x:f>
        <x:v>-0.006440852944795452</x:v>
      </x:c>
      <x:c r="P223" t="n">
        <x:f>J223</x:f>
        <x:v>0.004838514066448982</x:v>
      </x:c>
      <x:c r="Q223" t="n">
        <x:f>K223</x:f>
        <x:v>-0.0016023388783464702</x:v>
      </x:c>
    </x:row>
    <x:row r="224">
      <x:c r="A224" s="99" t="str">
        <x:f>'Raw T'!B218</x:f>
        <x:v>00267</x:v>
      </x:c>
      <x:c r="B224" s="100" t="n">
        <x:f>INDEX('Raw Stations'!$D$2:$D$299,MATCH(A224,'Raw Stations'!$A$2:$A$299,0))</x:f>
        <x:v>0.005624526503978931</x:v>
      </x:c>
      <x:c r="C224" s="100" t="n">
        <x:f>'Raw T'!L218</x:f>
        <x:v>-0.008704834049026694</x:v>
      </x:c>
      <x:c r="D224" s="100" t="n">
        <x:f>$B$2</x:f>
        <x:v>-0.01783376051078768</x:v>
      </x:c>
      <x:c r="E224" s="100" t="n">
        <x:f>C224-D224</x:f>
        <x:v>0.009128926461760986</x:v>
      </x:c>
      <x:c r="F224" s="100" t="n">
        <x:f>E224-B224</x:f>
        <x:v>0.003504399957782055</x:v>
      </x:c>
      <x:c r="G224" s="100" t="n">
        <x:f>ABS(F224)</x:f>
        <x:v>0.003504399957782055</x:v>
      </x:c>
      <x:c r="H224" s="100" t="n">
        <x:f>'Raw T'!N218</x:f>
        <x:v>0.9106449904773006</x:v>
      </x:c>
      <x:c r="I224" t="b">
        <x:f>'Raw T'!O218</x:f>
        <x:v>1</x:v>
      </x:c>
      <x:c r="J224" s="100" t="n">
        <x:f>IF(I224,B224,"")</x:f>
        <x:v>0.005624526503978931</x:v>
      </x:c>
      <x:c r="K224" s="100" t="n">
        <x:f>IF(I224,E224,"")</x:f>
        <x:v>0.009128926461760986</x:v>
      </x:c>
      <x:c r="L224" s="100" t="n">
        <x:f>IF(I224,G224,"")</x:f>
        <x:v>0.003504399957782055</x:v>
      </x:c>
      <x:c r="M224" s="100" t="n">
        <x:f>IF(I224,F224^2,"")</x:f>
        <x:v>0.00001228081906410287</x:v>
      </x:c>
      <x:c r="N224" s="100" t="n">
        <x:f>IF(I224,F224,"")</x:f>
        <x:v>0.003504399957782055</x:v>
      </x:c>
      <x:c r="P224" t="n">
        <x:f>J224</x:f>
        <x:v>0.005624526503978931</x:v>
      </x:c>
      <x:c r="Q224" t="n">
        <x:f>K224</x:f>
        <x:v>0.009128926461760986</x:v>
      </x:c>
    </x:row>
    <x:row r="225">
      <x:c r="A225" s="99" t="str">
        <x:f>'Raw T'!B219</x:f>
        <x:v>00268</x:v>
      </x:c>
      <x:c r="B225" s="100" t="n">
        <x:f>INDEX('Raw Stations'!$D$2:$D$299,MATCH(A225,'Raw Stations'!$A$2:$A$299,0))</x:f>
        <x:v>0.007156186526945923</x:v>
      </x:c>
      <x:c r="C225" s="100" t="n">
        <x:f>'Raw T'!L219</x:f>
        <x:v>-0.01630934007144505</x:v>
      </x:c>
      <x:c r="D225" s="100" t="n">
        <x:f>$B$2</x:f>
        <x:v>-0.01783376051078768</x:v>
      </x:c>
      <x:c r="E225" s="100" t="n">
        <x:f>C225-D225</x:f>
        <x:v>0.0015244204393426303</x:v>
      </x:c>
      <x:c r="F225" s="100" t="n">
        <x:f>E225-B225</x:f>
        <x:v>-0.0056317660876032925</x:v>
      </x:c>
      <x:c r="G225" s="100" t="n">
        <x:f>ABS(F225)</x:f>
        <x:v>0.0056317660876032925</x:v>
      </x:c>
      <x:c r="H225" s="100" t="n">
        <x:f>'Raw T'!N219</x:f>
        <x:v>0.9747044176183527</x:v>
      </x:c>
      <x:c r="I225" t="b">
        <x:f>'Raw T'!O219</x:f>
        <x:v>1</x:v>
      </x:c>
      <x:c r="J225" s="100" t="n">
        <x:f>IF(I225,B225,"")</x:f>
        <x:v>0.007156186526945923</x:v>
      </x:c>
      <x:c r="K225" s="100" t="n">
        <x:f>IF(I225,E225,"")</x:f>
        <x:v>0.0015244204393426303</x:v>
      </x:c>
      <x:c r="L225" s="100" t="n">
        <x:f>IF(I225,G225,"")</x:f>
        <x:v>0.0056317660876032925</x:v>
      </x:c>
      <x:c r="M225" s="100" t="n">
        <x:f>IF(I225,F225^2,"")</x:f>
        <x:v>0.000031716789265478494</x:v>
      </x:c>
      <x:c r="N225" s="100" t="n">
        <x:f>IF(I225,F225,"")</x:f>
        <x:v>-0.0056317660876032925</x:v>
      </x:c>
      <x:c r="P225" t="n">
        <x:f>J225</x:f>
        <x:v>0.007156186526945923</x:v>
      </x:c>
      <x:c r="Q225" t="n">
        <x:f>K225</x:f>
        <x:v>0.0015244204393426303</x:v>
      </x:c>
    </x:row>
    <x:row r="226">
      <x:c r="A226" s="99" t="str">
        <x:f>'Raw T'!B220</x:f>
        <x:v>00269</x:v>
      </x:c>
      <x:c r="B226" s="100" t="n">
        <x:f>INDEX('Raw Stations'!$D$2:$D$299,MATCH(A226,'Raw Stations'!$A$2:$A$299,0))</x:f>
        <x:v>0.001540874414542367</x:v>
      </x:c>
      <x:c r="C226" s="100" t="n">
        <x:f>'Raw T'!L220</x:f>
        <x:v>-0.03041406114057313</x:v>
      </x:c>
      <x:c r="D226" s="100" t="n">
        <x:f>$B$2</x:f>
        <x:v>-0.01783376051078768</x:v>
      </x:c>
      <x:c r="E226" s="100" t="n">
        <x:f>C226-D226</x:f>
        <x:v>-0.012580300629785449</x:v>
      </x:c>
      <x:c r="F226" s="100" t="n">
        <x:f>E226-B226</x:f>
        <x:v>-0.014121175044327815</x:v>
      </x:c>
      <x:c r="G226" s="100" t="n">
        <x:f>ABS(F226)</x:f>
        <x:v>0.014121175044327815</x:v>
      </x:c>
      <x:c r="H226" s="100" t="n">
        <x:f>'Raw T'!N220</x:f>
        <x:v>0.9941073364212513</x:v>
      </x:c>
      <x:c r="I226" t="b">
        <x:f>'Raw T'!O220</x:f>
        <x:v>1</x:v>
      </x:c>
      <x:c r="J226" s="100" t="n">
        <x:f>IF(I226,B226,"")</x:f>
        <x:v>0.001540874414542367</x:v>
      </x:c>
      <x:c r="K226" s="100" t="n">
        <x:f>IF(I226,E226,"")</x:f>
        <x:v>-0.012580300629785449</x:v>
      </x:c>
      <x:c r="L226" s="100" t="n">
        <x:f>IF(I226,G226,"")</x:f>
        <x:v>0.014121175044327815</x:v>
      </x:c>
      <x:c r="M226" s="100" t="n">
        <x:f>IF(I226,F226^2,"")</x:f>
        <x:v>0.0001994075846325467</x:v>
      </x:c>
      <x:c r="N226" s="100" t="n">
        <x:f>IF(I226,F226,"")</x:f>
        <x:v>-0.014121175044327815</x:v>
      </x:c>
      <x:c r="P226" t="n">
        <x:f>J226</x:f>
        <x:v>0.001540874414542367</x:v>
      </x:c>
      <x:c r="Q226" t="n">
        <x:f>K226</x:f>
        <x:v>-0.012580300629785449</x:v>
      </x:c>
    </x:row>
    <x:row r="227">
      <x:c r="A227" s="99" t="str">
        <x:f>'Raw T'!B221</x:f>
        <x:v>00270</x:v>
      </x:c>
      <x:c r="B227" s="100" t="n">
        <x:f>INDEX('Raw Stations'!$D$2:$D$299,MATCH(A227,'Raw Stations'!$A$2:$A$299,0))</x:f>
        <x:v>-0.008267538828072438</x:v>
      </x:c>
      <x:c r="C227" s="100" t="n">
        <x:f>'Raw T'!L221</x:f>
        <x:v>-0.01973306542646341</x:v>
      </x:c>
      <x:c r="D227" s="100" t="n">
        <x:f>$B$2</x:f>
        <x:v>-0.01783376051078768</x:v>
      </x:c>
      <x:c r="E227" s="100" t="n">
        <x:f>C227-D227</x:f>
        <x:v>-0.0018993049156757306</x:v>
      </x:c>
      <x:c r="F227" s="100" t="n">
        <x:f>E227-B227</x:f>
        <x:v>0.006368233912396708</x:v>
      </x:c>
      <x:c r="G227" s="100" t="n">
        <x:f>ABS(F227)</x:f>
        <x:v>0.006368233912396708</x:v>
      </x:c>
      <x:c r="H227" s="100" t="n">
        <x:f>'Raw T'!N221</x:f>
        <x:v>0.8632617570645046</x:v>
      </x:c>
      <x:c r="I227" t="b">
        <x:f>'Raw T'!O221</x:f>
        <x:v>1</x:v>
      </x:c>
      <x:c r="J227" s="100" t="n">
        <x:f>IF(I227,B227,"")</x:f>
        <x:v>-0.008267538828072438</x:v>
      </x:c>
      <x:c r="K227" s="100" t="n">
        <x:f>IF(I227,E227,"")</x:f>
        <x:v>-0.0018993049156757306</x:v>
      </x:c>
      <x:c r="L227" s="100" t="n">
        <x:f>IF(I227,G227,"")</x:f>
        <x:v>0.006368233912396708</x:v>
      </x:c>
      <x:c r="M227" s="100" t="n">
        <x:f>IF(I227,F227^2,"")</x:f>
        <x:v>0.00004055440316299948</x:v>
      </x:c>
      <x:c r="N227" s="100" t="n">
        <x:f>IF(I227,F227,"")</x:f>
        <x:v>0.006368233912396708</x:v>
      </x:c>
      <x:c r="P227" t="n">
        <x:f>J227</x:f>
        <x:v>-0.008267538828072438</x:v>
      </x:c>
      <x:c r="Q227" t="n">
        <x:f>K227</x:f>
        <x:v>-0.0018993049156757306</x:v>
      </x:c>
    </x:row>
    <x:row r="228">
      <x:c r="A228" s="99" t="str">
        <x:f>'Raw T'!B222</x:f>
        <x:v>00271</x:v>
      </x:c>
      <x:c r="B228" s="100" t="n">
        <x:f>INDEX('Raw Stations'!$D$2:$D$299,MATCH(A228,'Raw Stations'!$A$2:$A$299,0))</x:f>
        <x:v>-0.001652562687817688</x:v>
      </x:c>
      <x:c r="C228" s="100" t="n">
        <x:f>'Raw T'!L222</x:f>
        <x:v>-0.01240395916646937</x:v>
      </x:c>
      <x:c r="D228" s="100" t="n">
        <x:f>$B$2</x:f>
        <x:v>-0.01783376051078768</x:v>
      </x:c>
      <x:c r="E228" s="100" t="n">
        <x:f>C228-D228</x:f>
        <x:v>0.00542980134431831</x:v>
      </x:c>
      <x:c r="F228" s="100" t="n">
        <x:f>E228-B228</x:f>
        <x:v>0.007082364032135998</x:v>
      </x:c>
      <x:c r="G228" s="100" t="n">
        <x:f>ABS(F228)</x:f>
        <x:v>0.007082364032135998</x:v>
      </x:c>
      <x:c r="H228" s="100" t="n">
        <x:f>'Raw T'!N222</x:f>
        <x:v>0.9941239693422964</x:v>
      </x:c>
      <x:c r="I228" t="b">
        <x:f>'Raw T'!O222</x:f>
        <x:v>1</x:v>
      </x:c>
      <x:c r="J228" s="100" t="n">
        <x:f>IF(I228,B228,"")</x:f>
        <x:v>-0.001652562687817688</x:v>
      </x:c>
      <x:c r="K228" s="100" t="n">
        <x:f>IF(I228,E228,"")</x:f>
        <x:v>0.00542980134431831</x:v>
      </x:c>
      <x:c r="L228" s="100" t="n">
        <x:f>IF(I228,G228,"")</x:f>
        <x:v>0.007082364032135998</x:v>
      </x:c>
      <x:c r="M228" s="100" t="n">
        <x:f>IF(I228,F228^2,"")</x:f>
        <x:v>0.00005015988028369367</x:v>
      </x:c>
      <x:c r="N228" s="100" t="n">
        <x:f>IF(I228,F228,"")</x:f>
        <x:v>0.007082364032135998</x:v>
      </x:c>
      <x:c r="P228" t="n">
        <x:f>J228</x:f>
        <x:v>-0.001652562687817688</x:v>
      </x:c>
      <x:c r="Q228" t="n">
        <x:f>K228</x:f>
        <x:v>0.00542980134431831</x:v>
      </x:c>
    </x:row>
    <x:row r="229">
      <x:c r="A229" s="99" t="str">
        <x:f>'Raw T'!B223</x:f>
        <x:v>00272</x:v>
      </x:c>
      <x:c r="B229" s="100" t="n">
        <x:f>INDEX('Raw Stations'!$D$2:$D$299,MATCH(A229,'Raw Stations'!$A$2:$A$299,0))</x:f>
        <x:v>-0.004471468804326518</x:v>
      </x:c>
      <x:c r="C229" s="100" t="n">
        <x:f>'Raw T'!L223</x:f>
        <x:v>-0.018981817329864</x:v>
      </x:c>
      <x:c r="D229" s="100" t="n">
        <x:f>$B$2</x:f>
        <x:v>-0.01783376051078768</x:v>
      </x:c>
      <x:c r="E229" s="100" t="n">
        <x:f>C229-D229</x:f>
        <x:v>-0.0011480568190763187</x:v>
      </x:c>
      <x:c r="F229" s="100" t="n">
        <x:f>E229-B229</x:f>
        <x:v>0.003323411985250199</x:v>
      </x:c>
      <x:c r="G229" s="100" t="n">
        <x:f>ABS(F229)</x:f>
        <x:v>0.003323411985250199</x:v>
      </x:c>
      <x:c r="H229" s="100" t="n">
        <x:f>'Raw T'!N223</x:f>
        <x:v>0.9650478750537934</x:v>
      </x:c>
      <x:c r="I229" t="b">
        <x:f>'Raw T'!O223</x:f>
        <x:v>1</x:v>
      </x:c>
      <x:c r="J229" s="100" t="n">
        <x:f>IF(I229,B229,"")</x:f>
        <x:v>-0.004471468804326518</x:v>
      </x:c>
      <x:c r="K229" s="100" t="n">
        <x:f>IF(I229,E229,"")</x:f>
        <x:v>-0.0011480568190763187</x:v>
      </x:c>
      <x:c r="L229" s="100" t="n">
        <x:f>IF(I229,G229,"")</x:f>
        <x:v>0.003323411985250199</x:v>
      </x:c>
      <x:c r="M229" s="100" t="n">
        <x:f>IF(I229,F229^2,"")</x:f>
        <x:v>0.000011045067223704671</x:v>
      </x:c>
      <x:c r="N229" s="100" t="n">
        <x:f>IF(I229,F229,"")</x:f>
        <x:v>0.003323411985250199</x:v>
      </x:c>
      <x:c r="P229" t="n">
        <x:f>J229</x:f>
        <x:v>-0.004471468804326518</x:v>
      </x:c>
      <x:c r="Q229" t="n">
        <x:f>K229</x:f>
        <x:v>-0.0011480568190763187</x:v>
      </x:c>
    </x:row>
    <x:row r="230">
      <x:c r="A230" s="99" t="str">
        <x:f>'Raw T'!B224</x:f>
        <x:v>00273</x:v>
      </x:c>
      <x:c r="B230" s="100" t="n">
        <x:f>INDEX('Raw Stations'!$D$2:$D$299,MATCH(A230,'Raw Stations'!$A$2:$A$299,0))</x:f>
        <x:v>-0.00342057324194233</x:v>
      </x:c>
      <x:c r="C230" s="100" t="n">
        <x:f>'Raw T'!L224</x:f>
        <x:v>-0.02271464320782986</x:v>
      </x:c>
      <x:c r="D230" s="100" t="n">
        <x:f>$B$2</x:f>
        <x:v>-0.01783376051078768</x:v>
      </x:c>
      <x:c r="E230" s="100" t="n">
        <x:f>C230-D230</x:f>
        <x:v>-0.0048808826970421805</x:v>
      </x:c>
      <x:c r="F230" s="100" t="n">
        <x:f>E230-B230</x:f>
        <x:v>-0.0014603094550998505</x:v>
      </x:c>
      <x:c r="G230" s="100" t="n">
        <x:f>ABS(F230)</x:f>
        <x:v>0.0014603094550998505</x:v>
      </x:c>
      <x:c r="H230" s="100" t="n">
        <x:f>'Raw T'!N224</x:f>
        <x:v>0.9636365835778564</x:v>
      </x:c>
      <x:c r="I230" t="b">
        <x:f>'Raw T'!O224</x:f>
        <x:v>1</x:v>
      </x:c>
      <x:c r="J230" s="100" t="n">
        <x:f>IF(I230,B230,"")</x:f>
        <x:v>-0.00342057324194233</x:v>
      </x:c>
      <x:c r="K230" s="100" t="n">
        <x:f>IF(I230,E230,"")</x:f>
        <x:v>-0.0048808826970421805</x:v>
      </x:c>
      <x:c r="L230" s="100" t="n">
        <x:f>IF(I230,G230,"")</x:f>
        <x:v>0.0014603094550998505</x:v>
      </x:c>
      <x:c r="M230" s="100" t="n">
        <x:f>IF(I230,F230^2,"")</x:f>
        <x:v>0.0000021325037046540223</x:v>
      </x:c>
      <x:c r="N230" s="100" t="n">
        <x:f>IF(I230,F230,"")</x:f>
        <x:v>-0.0014603094550998505</x:v>
      </x:c>
      <x:c r="P230" t="n">
        <x:f>J230</x:f>
        <x:v>-0.00342057324194233</x:v>
      </x:c>
      <x:c r="Q230" t="n">
        <x:f>K230</x:f>
        <x:v>-0.0048808826970421805</x:v>
      </x:c>
    </x:row>
    <x:row r="231">
      <x:c r="A231" s="99" t="str">
        <x:f>'Raw T'!B225</x:f>
        <x:v>00274</x:v>
      </x:c>
      <x:c r="B231" s="100" t="n">
        <x:f>INDEX('Raw Stations'!$D$2:$D$299,MATCH(A231,'Raw Stations'!$A$2:$A$299,0))</x:f>
        <x:v>-0.002631698819795018</x:v>
      </x:c>
      <x:c r="C231" s="100" t="n">
        <x:f>'Raw T'!L225</x:f>
        <x:v>-0.0213830952984467</x:v>
      </x:c>
      <x:c r="D231" s="100" t="n">
        <x:f>$B$2</x:f>
        <x:v>-0.01783376051078768</x:v>
      </x:c>
      <x:c r="E231" s="100" t="n">
        <x:f>C231-D231</x:f>
        <x:v>-0.003549334787659019</x:v>
      </x:c>
      <x:c r="F231" s="100" t="n">
        <x:f>E231-B231</x:f>
        <x:v>-0.0009176359678640012</x:v>
      </x:c>
      <x:c r="G231" s="100" t="n">
        <x:f>ABS(F231)</x:f>
        <x:v>0.0009176359678640012</x:v>
      </x:c>
      <x:c r="H231" s="100" t="n">
        <x:f>'Raw T'!N225</x:f>
        <x:v>0.9454956452433064</x:v>
      </x:c>
      <x:c r="I231" t="b">
        <x:f>'Raw T'!O225</x:f>
        <x:v>1</x:v>
      </x:c>
      <x:c r="J231" s="100" t="n">
        <x:f>IF(I231,B231,"")</x:f>
        <x:v>-0.002631698819795018</x:v>
      </x:c>
      <x:c r="K231" s="100" t="n">
        <x:f>IF(I231,E231,"")</x:f>
        <x:v>-0.003549334787659019</x:v>
      </x:c>
      <x:c r="L231" s="100" t="n">
        <x:f>IF(I231,G231,"")</x:f>
        <x:v>0.0009176359678640012</x:v>
      </x:c>
      <x:c r="M231" s="100" t="n">
        <x:f>IF(I231,F231^2,"")</x:f>
        <x:v>8.420557695177022e-7</x:v>
      </x:c>
      <x:c r="N231" s="100" t="n">
        <x:f>IF(I231,F231,"")</x:f>
        <x:v>-0.0009176359678640012</x:v>
      </x:c>
      <x:c r="P231" t="n">
        <x:f>J231</x:f>
        <x:v>-0.002631698819795018</x:v>
      </x:c>
      <x:c r="Q231" t="n">
        <x:f>K231</x:f>
        <x:v>-0.003549334787659019</x:v>
      </x:c>
    </x:row>
    <x:row r="232">
      <x:c r="A232" s="99" t="str">
        <x:f>'Raw T'!B226</x:f>
        <x:v>00275</x:v>
      </x:c>
      <x:c r="B232" s="100" t="n">
        <x:f>INDEX('Raw Stations'!$D$2:$D$299,MATCH(A232,'Raw Stations'!$A$2:$A$299,0))</x:f>
        <x:v>-0.01256790923355527</x:v>
      </x:c>
      <x:c r="C232" s="100" t="n">
        <x:f>'Raw T'!L226</x:f>
        <x:v>-0.02927083633549907</x:v>
      </x:c>
      <x:c r="D232" s="100" t="n">
        <x:f>$B$2</x:f>
        <x:v>-0.01783376051078768</x:v>
      </x:c>
      <x:c r="E232" s="100" t="n">
        <x:f>C232-D232</x:f>
        <x:v>-0.01143707582471139</x:v>
      </x:c>
      <x:c r="F232" s="100" t="n">
        <x:f>E232-B232</x:f>
        <x:v>0.0011308334088438784</x:v>
      </x:c>
      <x:c r="G232" s="100" t="n">
        <x:f>ABS(F232)</x:f>
        <x:v>0.0011308334088438784</x:v>
      </x:c>
      <x:c r="H232" s="100" t="n">
        <x:f>'Raw T'!N226</x:f>
        <x:v>0.8299992204069582</x:v>
      </x:c>
      <x:c r="I232" t="b">
        <x:f>'Raw T'!O226</x:f>
        <x:v>1</x:v>
      </x:c>
      <x:c r="J232" s="100" t="n">
        <x:f>IF(I232,B232,"")</x:f>
        <x:v>-0.01256790923355527</x:v>
      </x:c>
      <x:c r="K232" s="100" t="n">
        <x:f>IF(I232,E232,"")</x:f>
        <x:v>-0.01143707582471139</x:v>
      </x:c>
      <x:c r="L232" s="100" t="n">
        <x:f>IF(I232,G232,"")</x:f>
        <x:v>0.0011308334088438784</x:v>
      </x:c>
      <x:c r="M232" s="100" t="n">
        <x:f>IF(I232,F232^2,"")</x:f>
        <x:v>0.0000012787841985574663</x:v>
      </x:c>
      <x:c r="N232" s="100" t="n">
        <x:f>IF(I232,F232,"")</x:f>
        <x:v>0.0011308334088438784</x:v>
      </x:c>
      <x:c r="P232" t="n">
        <x:f>J232</x:f>
        <x:v>-0.01256790923355527</x:v>
      </x:c>
      <x:c r="Q232" t="n">
        <x:f>K232</x:f>
        <x:v>-0.01143707582471139</x:v>
      </x:c>
    </x:row>
    <x:row r="233">
      <x:c r="A233" s="99" t="str">
        <x:f>'Raw T'!B227</x:f>
        <x:v>00276</x:v>
      </x:c>
      <x:c r="B233" s="100" t="n">
        <x:f>INDEX('Raw Stations'!$D$2:$D$299,MATCH(A233,'Raw Stations'!$A$2:$A$299,0))</x:f>
        <x:v>-0.006088901078824292</x:v>
      </x:c>
      <x:c r="C233" s="100" t="n">
        <x:f>'Raw T'!L227</x:f>
        <x:v>-0.02164649972142928</x:v>
      </x:c>
      <x:c r="D233" s="100" t="n">
        <x:f>$B$2</x:f>
        <x:v>-0.01783376051078768</x:v>
      </x:c>
      <x:c r="E233" s="100" t="n">
        <x:f>C233-D233</x:f>
        <x:v>-0.0038127392106416004</x:v>
      </x:c>
      <x:c r="F233" s="100" t="n">
        <x:f>E233-B233</x:f>
        <x:v>0.002276161868182691</x:v>
      </x:c>
      <x:c r="G233" s="100" t="n">
        <x:f>ABS(F233)</x:f>
        <x:v>0.002276161868182691</x:v>
      </x:c>
      <x:c r="H233" s="100" t="n">
        <x:f>'Raw T'!N227</x:f>
        <x:v>0.9797894068440373</x:v>
      </x:c>
      <x:c r="I233" t="b">
        <x:f>'Raw T'!O227</x:f>
        <x:v>1</x:v>
      </x:c>
      <x:c r="J233" s="100" t="n">
        <x:f>IF(I233,B233,"")</x:f>
        <x:v>-0.006088901078824292</x:v>
      </x:c>
      <x:c r="K233" s="100" t="n">
        <x:f>IF(I233,E233,"")</x:f>
        <x:v>-0.0038127392106416004</x:v>
      </x:c>
      <x:c r="L233" s="100" t="n">
        <x:f>IF(I233,G233,"")</x:f>
        <x:v>0.002276161868182691</x:v>
      </x:c>
      <x:c r="M233" s="100" t="n">
        <x:f>IF(I233,F233^2,"")</x:f>
        <x:v>0.000005180912850168919</x:v>
      </x:c>
      <x:c r="N233" s="100" t="n">
        <x:f>IF(I233,F233,"")</x:f>
        <x:v>0.002276161868182691</x:v>
      </x:c>
      <x:c r="P233" t="n">
        <x:f>J233</x:f>
        <x:v>-0.006088901078824292</x:v>
      </x:c>
      <x:c r="Q233" t="n">
        <x:f>K233</x:f>
        <x:v>-0.0038127392106416004</x:v>
      </x:c>
    </x:row>
    <x:row r="234">
      <x:c r="A234" s="99" t="str">
        <x:f>'Raw T'!B228</x:f>
        <x:v>00277</x:v>
      </x:c>
      <x:c r="B234" s="100" t="n">
        <x:f>INDEX('Raw Stations'!$D$2:$D$299,MATCH(A234,'Raw Stations'!$A$2:$A$299,0))</x:f>
        <x:v>-0.01392700144312171</x:v>
      </x:c>
      <x:c r="C234" s="100" t="n">
        <x:f>'Raw T'!L228</x:f>
        <x:v>-0.02309936052548266</x:v>
      </x:c>
      <x:c r="D234" s="100" t="n">
        <x:f>$B$2</x:f>
        <x:v>-0.01783376051078768</x:v>
      </x:c>
      <x:c r="E234" s="100" t="n">
        <x:f>C234-D234</x:f>
        <x:v>-0.00526560001469498</x:v>
      </x:c>
      <x:c r="F234" s="100" t="n">
        <x:f>E234-B234</x:f>
        <x:v>0.00866140142842673</x:v>
      </x:c>
      <x:c r="G234" s="100" t="n">
        <x:f>ABS(F234)</x:f>
        <x:v>0.00866140142842673</x:v>
      </x:c>
      <x:c r="H234" s="100" t="n">
        <x:f>'Raw T'!N228</x:f>
        <x:v>0.9341284038021664</x:v>
      </x:c>
      <x:c r="I234" t="b">
        <x:f>'Raw T'!O228</x:f>
        <x:v>1</x:v>
      </x:c>
      <x:c r="J234" s="100" t="n">
        <x:f>IF(I234,B234,"")</x:f>
        <x:v>-0.01392700144312171</x:v>
      </x:c>
      <x:c r="K234" s="100" t="n">
        <x:f>IF(I234,E234,"")</x:f>
        <x:v>-0.00526560001469498</x:v>
      </x:c>
      <x:c r="L234" s="100" t="n">
        <x:f>IF(I234,G234,"")</x:f>
        <x:v>0.00866140142842673</x:v>
      </x:c>
      <x:c r="M234" s="100" t="n">
        <x:f>IF(I234,F234^2,"")</x:f>
        <x:v>0.00007501987470435262</x:v>
      </x:c>
      <x:c r="N234" s="100" t="n">
        <x:f>IF(I234,F234,"")</x:f>
        <x:v>0.00866140142842673</x:v>
      </x:c>
      <x:c r="P234" t="n">
        <x:f>J234</x:f>
        <x:v>-0.01392700144312171</x:v>
      </x:c>
      <x:c r="Q234" t="n">
        <x:f>K234</x:f>
        <x:v>-0.00526560001469498</x:v>
      </x:c>
    </x:row>
    <x:row r="235">
      <x:c r="A235" s="99" t="str">
        <x:f>'Raw T'!B229</x:f>
        <x:v>00278</x:v>
      </x:c>
      <x:c r="B235" s="100" t="n">
        <x:f>INDEX('Raw Stations'!$D$2:$D$299,MATCH(A235,'Raw Stations'!$A$2:$A$299,0))</x:f>
        <x:v>-0.01647761243116913</x:v>
      </x:c>
      <x:c r="C235" s="100" t="n">
        <x:f>'Raw T'!L229</x:f>
        <x:v>-0.02493615607450927</x:v>
      </x:c>
      <x:c r="D235" s="100" t="n">
        <x:f>$B$2</x:f>
        <x:v>-0.01783376051078768</x:v>
      </x:c>
      <x:c r="E235" s="100" t="n">
        <x:f>C235-D235</x:f>
        <x:v>-0.007102395563721591</x:v>
      </x:c>
      <x:c r="F235" s="100" t="n">
        <x:f>E235-B235</x:f>
        <x:v>0.00937521686744754</x:v>
      </x:c>
      <x:c r="G235" s="100" t="n">
        <x:f>ABS(F235)</x:f>
        <x:v>0.00937521686744754</x:v>
      </x:c>
      <x:c r="H235" s="100" t="n">
        <x:f>'Raw T'!N229</x:f>
        <x:v>0.8483143982079702</x:v>
      </x:c>
      <x:c r="I235" t="b">
        <x:f>'Raw T'!O229</x:f>
        <x:v>1</x:v>
      </x:c>
      <x:c r="J235" s="100" t="n">
        <x:f>IF(I235,B235,"")</x:f>
        <x:v>-0.01647761243116913</x:v>
      </x:c>
      <x:c r="K235" s="100" t="n">
        <x:f>IF(I235,E235,"")</x:f>
        <x:v>-0.007102395563721591</x:v>
      </x:c>
      <x:c r="L235" s="100" t="n">
        <x:f>IF(I235,G235,"")</x:f>
        <x:v>0.00937521686744754</x:v>
      </x:c>
      <x:c r="M235" s="100" t="n">
        <x:f>IF(I235,F235^2,"")</x:f>
        <x:v>0.00008789469131167286</x:v>
      </x:c>
      <x:c r="N235" s="100" t="n">
        <x:f>IF(I235,F235,"")</x:f>
        <x:v>0.00937521686744754</x:v>
      </x:c>
      <x:c r="P235" t="n">
        <x:f>J235</x:f>
        <x:v>-0.01647761243116913</x:v>
      </x:c>
      <x:c r="Q235" t="n">
        <x:f>K235</x:f>
        <x:v>-0.007102395563721591</x:v>
      </x:c>
    </x:row>
    <x:row r="236">
      <x:c r="A236" s="99" t="str">
        <x:f>'Raw T'!B230</x:f>
        <x:v>00279</x:v>
      </x:c>
      <x:c r="B236" s="100" t="n">
        <x:f>INDEX('Raw Stations'!$D$2:$D$299,MATCH(A236,'Raw Stations'!$A$2:$A$299,0))</x:f>
        <x:v>-0.01426499017635994</x:v>
      </x:c>
      <x:c r="C236" s="100" t="n">
        <x:f>'Raw T'!L230</x:f>
        <x:v>-0.0222151791541193</x:v>
      </x:c>
      <x:c r="D236" s="100" t="n">
        <x:f>$B$2</x:f>
        <x:v>-0.01783376051078768</x:v>
      </x:c>
      <x:c r="E236" s="100" t="n">
        <x:f>C236-D236</x:f>
        <x:v>-0.004381418643331619</x:v>
      </x:c>
      <x:c r="F236" s="100" t="n">
        <x:f>E236-B236</x:f>
        <x:v>0.009883571533028322</x:v>
      </x:c>
      <x:c r="G236" s="100" t="n">
        <x:f>ABS(F236)</x:f>
        <x:v>0.009883571533028322</x:v>
      </x:c>
      <x:c r="H236" s="100" t="n">
        <x:f>'Raw T'!N230</x:f>
        <x:v>0.9362451377076251</x:v>
      </x:c>
      <x:c r="I236" t="b">
        <x:f>'Raw T'!O230</x:f>
        <x:v>1</x:v>
      </x:c>
      <x:c r="J236" s="100" t="n">
        <x:f>IF(I236,B236,"")</x:f>
        <x:v>-0.01426499017635994</x:v>
      </x:c>
      <x:c r="K236" s="100" t="n">
        <x:f>IF(I236,E236,"")</x:f>
        <x:v>-0.004381418643331619</x:v>
      </x:c>
      <x:c r="L236" s="100" t="n">
        <x:f>IF(I236,G236,"")</x:f>
        <x:v>0.009883571533028322</x:v>
      </x:c>
      <x:c r="M236" s="100" t="n">
        <x:f>IF(I236,F236^2,"")</x:f>
        <x:v>0.00009768498624848781</x:v>
      </x:c>
      <x:c r="N236" s="100" t="n">
        <x:f>IF(I236,F236,"")</x:f>
        <x:v>0.009883571533028322</x:v>
      </x:c>
      <x:c r="P236" t="n">
        <x:f>J236</x:f>
        <x:v>-0.01426499017635994</x:v>
      </x:c>
      <x:c r="Q236" t="n">
        <x:f>K236</x:f>
        <x:v>-0.004381418643331619</x:v>
      </x:c>
    </x:row>
    <x:row r="237">
      <x:c r="A237" s="99" t="str">
        <x:f>'Raw T'!B231</x:f>
        <x:v>00281</x:v>
      </x:c>
      <x:c r="B237" s="100" t="n">
        <x:f>INDEX('Raw Stations'!$D$2:$D$299,MATCH(A237,'Raw Stations'!$A$2:$A$299,0))</x:f>
        <x:v>0.00004699165116192963</x:v>
      </x:c>
      <x:c r="C237" s="100" t="n">
        <x:f>'Raw T'!L231</x:f>
        <x:v>-0.01534097179429597</x:v>
      </x:c>
      <x:c r="D237" s="100" t="n">
        <x:f>$B$2</x:f>
        <x:v>-0.01783376051078768</x:v>
      </x:c>
      <x:c r="E237" s="100" t="n">
        <x:f>C237-D237</x:f>
        <x:v>0.0024927887164917107</x:v>
      </x:c>
      <x:c r="F237" s="100" t="n">
        <x:f>E237-B237</x:f>
        <x:v>0.002445797065329781</x:v>
      </x:c>
      <x:c r="G237" s="100" t="n">
        <x:f>ABS(F237)</x:f>
        <x:v>0.002445797065329781</x:v>
      </x:c>
      <x:c r="H237" s="100" t="n">
        <x:f>'Raw T'!N231</x:f>
        <x:v>0.9609590991864775</x:v>
      </x:c>
      <x:c r="I237" t="b">
        <x:f>'Raw T'!O231</x:f>
        <x:v>1</x:v>
      </x:c>
      <x:c r="J237" s="100" t="n">
        <x:f>IF(I237,B237,"")</x:f>
        <x:v>0.00004699165116192963</x:v>
      </x:c>
      <x:c r="K237" s="100" t="n">
        <x:f>IF(I237,E237,"")</x:f>
        <x:v>0.0024927887164917107</x:v>
      </x:c>
      <x:c r="L237" s="100" t="n">
        <x:f>IF(I237,G237,"")</x:f>
        <x:v>0.002445797065329781</x:v>
      </x:c>
      <x:c r="M237" s="100" t="n">
        <x:f>IF(I237,F237^2,"")</x:f>
        <x:v>0.000005981923284775769</x:v>
      </x:c>
      <x:c r="N237" s="100" t="n">
        <x:f>IF(I237,F237,"")</x:f>
        <x:v>0.002445797065329781</x:v>
      </x:c>
      <x:c r="P237" t="n">
        <x:f>J237</x:f>
        <x:v>0.00004699165116192963</x:v>
      </x:c>
      <x:c r="Q237" t="n">
        <x:f>K237</x:f>
        <x:v>0.0024927887164917107</x:v>
      </x:c>
    </x:row>
    <x:row r="238">
      <x:c r="A238" s="99" t="str">
        <x:f>'Raw T'!B232</x:f>
        <x:v>00282</x:v>
      </x:c>
      <x:c r="B238" s="100" t="n">
        <x:f>INDEX('Raw Stations'!$D$2:$D$299,MATCH(A238,'Raw Stations'!$A$2:$A$299,0))</x:f>
        <x:v>-0.00814072208722472</x:v>
      </x:c>
      <x:c r="C238" s="100" t="n">
        <x:f>'Raw T'!L232</x:f>
        <x:v>-0.0226510706127622</x:v>
      </x:c>
      <x:c r="D238" s="100" t="n">
        <x:f>$B$2</x:f>
        <x:v>-0.01783376051078768</x:v>
      </x:c>
      <x:c r="E238" s="100" t="n">
        <x:f>C238-D238</x:f>
        <x:v>-0.004817310101974521</x:v>
      </x:c>
      <x:c r="F238" s="100" t="n">
        <x:f>E238-B238</x:f>
        <x:v>0.003323411985250199</x:v>
      </x:c>
      <x:c r="G238" s="100" t="n">
        <x:f>ABS(F238)</x:f>
        <x:v>0.003323411985250199</x:v>
      </x:c>
      <x:c r="H238" s="100" t="n">
        <x:f>'Raw T'!N232</x:f>
        <x:v>0.9542959661423864</x:v>
      </x:c>
      <x:c r="I238" t="b">
        <x:f>'Raw T'!O232</x:f>
        <x:v>1</x:v>
      </x:c>
      <x:c r="J238" s="100" t="n">
        <x:f>IF(I238,B238,"")</x:f>
        <x:v>-0.00814072208722472</x:v>
      </x:c>
      <x:c r="K238" s="100" t="n">
        <x:f>IF(I238,E238,"")</x:f>
        <x:v>-0.004817310101974521</x:v>
      </x:c>
      <x:c r="L238" s="100" t="n">
        <x:f>IF(I238,G238,"")</x:f>
        <x:v>0.003323411985250199</x:v>
      </x:c>
      <x:c r="M238" s="100" t="n">
        <x:f>IF(I238,F238^2,"")</x:f>
        <x:v>0.000011045067223704671</x:v>
      </x:c>
      <x:c r="N238" s="100" t="n">
        <x:f>IF(I238,F238,"")</x:f>
        <x:v>0.003323411985250199</x:v>
      </x:c>
      <x:c r="P238" t="n">
        <x:f>J238</x:f>
        <x:v>-0.00814072208722472</x:v>
      </x:c>
      <x:c r="Q238" t="n">
        <x:f>K238</x:f>
        <x:v>-0.004817310101974521</x:v>
      </x:c>
    </x:row>
    <x:row r="239">
      <x:c r="A239" s="99" t="str">
        <x:f>'Raw T'!B233</x:f>
        <x:v>00283</x:v>
      </x:c>
      <x:c r="B239" s="100" t="n">
        <x:f>INDEX('Raw Stations'!$D$2:$D$299,MATCH(A239,'Raw Stations'!$A$2:$A$299,0))</x:f>
        <x:v>-0.003707406804947969</x:v>
      </x:c>
      <x:c r="C239" s="100" t="n">
        <x:f>'Raw T'!L233</x:f>
        <x:v>-0.02137411884520427</x:v>
      </x:c>
      <x:c r="D239" s="100" t="n">
        <x:f>$B$2</x:f>
        <x:v>-0.01783376051078768</x:v>
      </x:c>
      <x:c r="E239" s="100" t="n">
        <x:f>C239-D239</x:f>
        <x:v>-0.0035403583344165886</x:v>
      </x:c>
      <x:c r="F239" s="100" t="n">
        <x:f>E239-B239</x:f>
        <x:v>0.0001670484705313803</x:v>
      </x:c>
      <x:c r="G239" s="100" t="n">
        <x:f>ABS(F239)</x:f>
        <x:v>0.0001670484705313803</x:v>
      </x:c>
      <x:c r="H239" s="100" t="n">
        <x:f>'Raw T'!N233</x:f>
        <x:v>0.9718193007334582</x:v>
      </x:c>
      <x:c r="I239" t="b">
        <x:f>'Raw T'!O233</x:f>
        <x:v>1</x:v>
      </x:c>
      <x:c r="J239" s="100" t="n">
        <x:f>IF(I239,B239,"")</x:f>
        <x:v>-0.003707406804947969</x:v>
      </x:c>
      <x:c r="K239" s="100" t="n">
        <x:f>IF(I239,E239,"")</x:f>
        <x:v>-0.0035403583344165886</x:v>
      </x:c>
      <x:c r="L239" s="100" t="n">
        <x:f>IF(I239,G239,"")</x:f>
        <x:v>0.0001670484705313803</x:v>
      </x:c>
      <x:c r="M239" s="100" t="n">
        <x:f>IF(I239,F239^2,"")</x:f>
        <x:v>2.7905191506873428e-8</x:v>
      </x:c>
      <x:c r="N239" s="100" t="n">
        <x:f>IF(I239,F239,"")</x:f>
        <x:v>0.0001670484705313803</x:v>
      </x:c>
      <x:c r="P239" t="n">
        <x:f>J239</x:f>
        <x:v>-0.003707406804947969</x:v>
      </x:c>
      <x:c r="Q239" t="n">
        <x:f>K239</x:f>
        <x:v>-0.0035403583344165886</x:v>
      </x:c>
    </x:row>
    <x:row r="240">
      <x:c r="A240" s="99" t="str">
        <x:f>'Raw T'!B234</x:f>
        <x:v>00284</x:v>
      </x:c>
      <x:c r="B240" s="100" t="n">
        <x:f>INDEX('Raw Stations'!$D$2:$D$299,MATCH(A240,'Raw Stations'!$A$2:$A$299,0))</x:f>
        <x:v>0.001340458546016551</x:v>
      </x:c>
      <x:c r="C240" s="100" t="n">
        <x:f>'Raw T'!L234</x:f>
        <x:v>-0.02449979011436881</x:v>
      </x:c>
      <x:c r="D240" s="100" t="n">
        <x:f>$B$2</x:f>
        <x:v>-0.01783376051078768</x:v>
      </x:c>
      <x:c r="E240" s="100" t="n">
        <x:f>C240-D240</x:f>
        <x:v>-0.00666602960358113</x:v>
      </x:c>
      <x:c r="F240" s="100" t="n">
        <x:f>E240-B240</x:f>
        <x:v>-0.00800648814959768</x:v>
      </x:c>
      <x:c r="G240" s="100" t="n">
        <x:f>ABS(F240)</x:f>
        <x:v>0.00800648814959768</x:v>
      </x:c>
      <x:c r="H240" s="100" t="n">
        <x:f>'Raw T'!N234</x:f>
        <x:v>0.980930842154493</x:v>
      </x:c>
      <x:c r="I240" t="b">
        <x:f>'Raw T'!O234</x:f>
        <x:v>1</x:v>
      </x:c>
      <x:c r="J240" s="100" t="n">
        <x:f>IF(I240,B240,"")</x:f>
        <x:v>0.001340458546016551</x:v>
      </x:c>
      <x:c r="K240" s="100" t="n">
        <x:f>IF(I240,E240,"")</x:f>
        <x:v>-0.00666602960358113</x:v>
      </x:c>
      <x:c r="L240" s="100" t="n">
        <x:f>IF(I240,G240,"")</x:f>
        <x:v>0.00800648814959768</x:v>
      </x:c>
      <x:c r="M240" s="100" t="n">
        <x:f>IF(I240,F240^2,"")</x:f>
        <x:v>0.0000641038524896481</x:v>
      </x:c>
      <x:c r="N240" s="100" t="n">
        <x:f>IF(I240,F240,"")</x:f>
        <x:v>-0.00800648814959768</x:v>
      </x:c>
      <x:c r="P240" t="n">
        <x:f>J240</x:f>
        <x:v>0.001340458546016551</x:v>
      </x:c>
      <x:c r="Q240" t="n">
        <x:f>K240</x:f>
        <x:v>-0.00666602960358113</x:v>
      </x:c>
    </x:row>
    <x:row r="241">
      <x:c r="A241" s="99" t="str">
        <x:f>'Raw T'!B235</x:f>
        <x:v>00285</x:v>
      </x:c>
      <x:c r="B241" s="100" t="n">
        <x:f>INDEX('Raw Stations'!$D$2:$D$299,MATCH(A241,'Raw Stations'!$A$2:$A$299,0))</x:f>
        <x:v>-0.007966422086094768</x:v>
      </x:c>
      <x:c r="C241" s="100" t="n">
        <x:f>'Raw T'!L235</x:f>
        <x:v>-0.03346188187689031</x:v>
      </x:c>
      <x:c r="D241" s="100" t="n">
        <x:f>$B$2</x:f>
        <x:v>-0.01783376051078768</x:v>
      </x:c>
      <x:c r="E241" s="100" t="n">
        <x:f>C241-D241</x:f>
        <x:v>-0.01562812136610263</x:v>
      </x:c>
      <x:c r="F241" s="100" t="n">
        <x:f>E241-B241</x:f>
        <x:v>-0.007661699280007862</x:v>
      </x:c>
      <x:c r="G241" s="100" t="n">
        <x:f>ABS(F241)</x:f>
        <x:v>0.007661699280007862</x:v>
      </x:c>
      <x:c r="H241" s="100" t="n">
        <x:f>'Raw T'!N235</x:f>
        <x:v>0.9941488068399654</x:v>
      </x:c>
      <x:c r="I241" t="b">
        <x:f>'Raw T'!O235</x:f>
        <x:v>1</x:v>
      </x:c>
      <x:c r="J241" s="100" t="n">
        <x:f>IF(I241,B241,"")</x:f>
        <x:v>-0.007966422086094768</x:v>
      </x:c>
      <x:c r="K241" s="100" t="n">
        <x:f>IF(I241,E241,"")</x:f>
        <x:v>-0.01562812136610263</x:v>
      </x:c>
      <x:c r="L241" s="100" t="n">
        <x:f>IF(I241,G241,"")</x:f>
        <x:v>0.007661699280007862</x:v>
      </x:c>
      <x:c r="M241" s="100" t="n">
        <x:f>IF(I241,F241^2,"")</x:f>
        <x:v>0.00005870163585727298</x:v>
      </x:c>
      <x:c r="N241" s="100" t="n">
        <x:f>IF(I241,F241,"")</x:f>
        <x:v>-0.007661699280007862</x:v>
      </x:c>
      <x:c r="P241" t="n">
        <x:f>J241</x:f>
        <x:v>-0.007966422086094768</x:v>
      </x:c>
      <x:c r="Q241" t="n">
        <x:f>K241</x:f>
        <x:v>-0.01562812136610263</x:v>
      </x:c>
    </x:row>
    <x:row r="242">
      <x:c r="A242" s="99" t="str">
        <x:f>'Raw T'!B236</x:f>
        <x:v>00286</x:v>
      </x:c>
      <x:c r="B242" s="100" t="n">
        <x:f>INDEX('Raw Stations'!$D$2:$D$299,MATCH(A242,'Raw Stations'!$A$2:$A$299,0))</x:f>
        <x:v>-0.009715889694658128</x:v>
      </x:c>
      <x:c r="C242" s="100" t="n">
        <x:f>'Raw T'!L236</x:f>
        <x:v>-0.01953942560370654</x:v>
      </x:c>
      <x:c r="D242" s="100" t="n">
        <x:f>$B$2</x:f>
        <x:v>-0.01783376051078768</x:v>
      </x:c>
      <x:c r="E242" s="100" t="n">
        <x:f>C242-D242</x:f>
        <x:v>-0.0017056650929188587</x:v>
      </x:c>
      <x:c r="F242" s="100" t="n">
        <x:f>E242-B242</x:f>
        <x:v>0.00801022460173927</x:v>
      </x:c>
      <x:c r="G242" s="100" t="n">
        <x:f>ABS(F242)</x:f>
        <x:v>0.00801022460173927</x:v>
      </x:c>
      <x:c r="H242" s="100" t="n">
        <x:f>'Raw T'!N236</x:f>
        <x:v>0.9843518829293558</x:v>
      </x:c>
      <x:c r="I242" t="b">
        <x:f>'Raw T'!O236</x:f>
        <x:v>1</x:v>
      </x:c>
      <x:c r="J242" s="100" t="n">
        <x:f>IF(I242,B242,"")</x:f>
        <x:v>-0.009715889694658128</x:v>
      </x:c>
      <x:c r="K242" s="100" t="n">
        <x:f>IF(I242,E242,"")</x:f>
        <x:v>-0.0017056650929188587</x:v>
      </x:c>
      <x:c r="L242" s="100" t="n">
        <x:f>IF(I242,G242,"")</x:f>
        <x:v>0.00801022460173927</x:v>
      </x:c>
      <x:c r="M242" s="100" t="n">
        <x:f>IF(I242,F242^2,"")</x:f>
        <x:v>0.00006416369817030903</x:v>
      </x:c>
      <x:c r="N242" s="100" t="n">
        <x:f>IF(I242,F242,"")</x:f>
        <x:v>0.00801022460173927</x:v>
      </x:c>
      <x:c r="P242" t="n">
        <x:f>J242</x:f>
        <x:v>-0.009715889694658128</x:v>
      </x:c>
      <x:c r="Q242" t="n">
        <x:f>K242</x:f>
        <x:v>-0.0017056650929188587</x:v>
      </x:c>
    </x:row>
    <x:row r="243">
      <x:c r="A243" s="99" t="str">
        <x:f>'Raw T'!B237</x:f>
        <x:v>00287</x:v>
      </x:c>
      <x:c r="B243" s="100" t="n">
        <x:f>INDEX('Raw Stations'!$D$2:$D$299,MATCH(A243,'Raw Stations'!$A$2:$A$299,0))</x:f>
        <x:v>-0.004012688778721529</x:v>
      </x:c>
      <x:c r="C243" s="100" t="n">
        <x:f>'Raw T'!L237</x:f>
        <x:v>-0.01665516260981867</x:v>
      </x:c>
      <x:c r="D243" s="100" t="n">
        <x:f>$B$2</x:f>
        <x:v>-0.01783376051078768</x:v>
      </x:c>
      <x:c r="E243" s="100" t="n">
        <x:f>C243-D243</x:f>
        <x:v>0.0011785979009690112</x:v>
      </x:c>
      <x:c r="F243" s="100" t="n">
        <x:f>E243-B243</x:f>
        <x:v>0.00519128667969054</x:v>
      </x:c>
      <x:c r="G243" s="100" t="n">
        <x:f>ABS(F243)</x:f>
        <x:v>0.00519128667969054</x:v>
      </x:c>
      <x:c r="H243" s="100" t="n">
        <x:f>'Raw T'!N237</x:f>
        <x:v>0.9578619022576617</x:v>
      </x:c>
      <x:c r="I243" t="b">
        <x:f>'Raw T'!O237</x:f>
        <x:v>1</x:v>
      </x:c>
      <x:c r="J243" s="100" t="n">
        <x:f>IF(I243,B243,"")</x:f>
        <x:v>-0.004012688778721529</x:v>
      </x:c>
      <x:c r="K243" s="100" t="n">
        <x:f>IF(I243,E243,"")</x:f>
        <x:v>0.0011785979009690112</x:v>
      </x:c>
      <x:c r="L243" s="100" t="n">
        <x:f>IF(I243,G243,"")</x:f>
        <x:v>0.00519128667969054</x:v>
      </x:c>
      <x:c r="M243" s="100" t="n">
        <x:f>IF(I243,F243^2,"")</x:f>
        <x:v>0.00002694945739073243</x:v>
      </x:c>
      <x:c r="N243" s="100" t="n">
        <x:f>IF(I243,F243,"")</x:f>
        <x:v>0.00519128667969054</x:v>
      </x:c>
      <x:c r="P243" t="n">
        <x:f>J243</x:f>
        <x:v>-0.004012688778721529</x:v>
      </x:c>
      <x:c r="Q243" t="n">
        <x:f>K243</x:f>
        <x:v>0.0011785979009690112</x:v>
      </x:c>
    </x:row>
    <x:row r="244">
      <x:c r="A244" s="99" t="str">
        <x:f>'Raw T'!B238</x:f>
        <x:v>00288</x:v>
      </x:c>
      <x:c r="B244" s="100" t="n">
        <x:f>INDEX('Raw Stations'!$D$2:$D$299,MATCH(A244,'Raw Stations'!$A$2:$A$299,0))</x:f>
        <x:v>-0.006373200045938721</x:v>
      </x:c>
      <x:c r="C244" s="100" t="n">
        <x:f>'Raw T'!L238</x:f>
        <x:v>-0.02753861657968057</x:v>
      </x:c>
      <x:c r="D244" s="100" t="n">
        <x:f>$B$2</x:f>
        <x:v>-0.01783376051078768</x:v>
      </x:c>
      <x:c r="E244" s="100" t="n">
        <x:f>C244-D244</x:f>
        <x:v>-0.00970485606889289</x:v>
      </x:c>
      <x:c r="F244" s="100" t="n">
        <x:f>E244-B244</x:f>
        <x:v>-0.0033316560229541686</x:v>
      </x:c>
      <x:c r="G244" s="100" t="n">
        <x:f>ABS(F244)</x:f>
        <x:v>0.0033316560229541686</x:v>
      </x:c>
      <x:c r="H244" s="100" t="n">
        <x:f>'Raw T'!N238</x:f>
        <x:v>0.9316241847956875</x:v>
      </x:c>
      <x:c r="I244" t="b">
        <x:f>'Raw T'!O238</x:f>
        <x:v>1</x:v>
      </x:c>
      <x:c r="J244" s="100" t="n">
        <x:f>IF(I244,B244,"")</x:f>
        <x:v>-0.006373200045938721</x:v>
      </x:c>
      <x:c r="K244" s="100" t="n">
        <x:f>IF(I244,E244,"")</x:f>
        <x:v>-0.00970485606889289</x:v>
      </x:c>
      <x:c r="L244" s="100" t="n">
        <x:f>IF(I244,G244,"")</x:f>
        <x:v>0.0033316560229541686</x:v>
      </x:c>
      <x:c r="M244" s="100" t="n">
        <x:f>IF(I244,F244^2,"")</x:f>
        <x:v>0.000011099931855286787</x:v>
      </x:c>
      <x:c r="N244" s="100" t="n">
        <x:f>IF(I244,F244,"")</x:f>
        <x:v>-0.0033316560229541686</x:v>
      </x:c>
      <x:c r="P244" t="n">
        <x:f>J244</x:f>
        <x:v>-0.006373200045938721</x:v>
      </x:c>
      <x:c r="Q244" t="n">
        <x:f>K244</x:f>
        <x:v>-0.00970485606889289</x:v>
      </x:c>
    </x:row>
    <x:row r="245">
      <x:c r="A245" s="99" t="str">
        <x:f>'Raw T'!B239</x:f>
        <x:v>00289</x:v>
      </x:c>
      <x:c r="B245" s="100" t="n">
        <x:f>INDEX('Raw Stations'!$D$2:$D$299,MATCH(A245,'Raw Stations'!$A$2:$A$299,0))</x:f>
        <x:v>-0.005992811469059424</x:v>
      </x:c>
      <x:c r="C245" s="100" t="n">
        <x:f>'Raw T'!L239</x:f>
        <x:v>-0.02985563131503008</x:v>
      </x:c>
      <x:c r="D245" s="100" t="n">
        <x:f>$B$2</x:f>
        <x:v>-0.01783376051078768</x:v>
      </x:c>
      <x:c r="E245" s="100" t="n">
        <x:f>C245-D245</x:f>
        <x:v>-0.012021870804242399</x:v>
      </x:c>
      <x:c r="F245" s="100" t="n">
        <x:f>E245-B245</x:f>
        <x:v>-0.006029059335182975</x:v>
      </x:c>
      <x:c r="G245" s="100" t="n">
        <x:f>ABS(F245)</x:f>
        <x:v>0.006029059335182975</x:v>
      </x:c>
      <x:c r="H245" s="100" t="n">
        <x:f>'Raw T'!N239</x:f>
        <x:v>0.9213596889197836</x:v>
      </x:c>
      <x:c r="I245" t="b">
        <x:f>'Raw T'!O239</x:f>
        <x:v>1</x:v>
      </x:c>
      <x:c r="J245" s="100" t="n">
        <x:f>IF(I245,B245,"")</x:f>
        <x:v>-0.005992811469059424</x:v>
      </x:c>
      <x:c r="K245" s="100" t="n">
        <x:f>IF(I245,E245,"")</x:f>
        <x:v>-0.012021870804242399</x:v>
      </x:c>
      <x:c r="L245" s="100" t="n">
        <x:f>IF(I245,G245,"")</x:f>
        <x:v>0.006029059335182975</x:v>
      </x:c>
      <x:c r="M245" s="100" t="n">
        <x:f>IF(I245,F245^2,"")</x:f>
        <x:v>0.000036349556467156974</x:v>
      </x:c>
      <x:c r="N245" s="100" t="n">
        <x:f>IF(I245,F245,"")</x:f>
        <x:v>-0.006029059335182975</x:v>
      </x:c>
      <x:c r="P245" t="n">
        <x:f>J245</x:f>
        <x:v>-0.005992811469059424</x:v>
      </x:c>
      <x:c r="Q245" t="n">
        <x:f>K245</x:f>
        <x:v>-0.012021870804242399</x:v>
      </x:c>
    </x:row>
    <x:row r="246">
      <x:c r="A246" s="99" t="str">
        <x:f>'Raw T'!B240</x:f>
        <x:v>00290</x:v>
      </x:c>
      <x:c r="B246" s="100" t="n">
        <x:f>INDEX('Raw Stations'!$D$2:$D$299,MATCH(A246,'Raw Stations'!$A$2:$A$299,0))</x:f>
        <x:v>-0.006175214028578201</x:v>
      </x:c>
      <x:c r="C246" s="100" t="n">
        <x:f>'Raw T'!L240</x:f>
        <x:v>-0.02468556255411568</x:v>
      </x:c>
      <x:c r="D246" s="100" t="n">
        <x:f>$B$2</x:f>
        <x:v>-0.01783376051078768</x:v>
      </x:c>
      <x:c r="E246" s="100" t="n">
        <x:f>C246-D246</x:f>
        <x:v>-0.0068518020433280015</x:v>
      </x:c>
      <x:c r="F246" s="100" t="n">
        <x:f>E246-B246</x:f>
        <x:v>-0.0006765880147498009</x:v>
      </x:c>
      <x:c r="G246" s="100" t="n">
        <x:f>ABS(F246)</x:f>
        <x:v>0.0006765880147498009</x:v>
      </x:c>
      <x:c r="H246" s="100" t="n">
        <x:f>'Raw T'!N240</x:f>
        <x:v>0.953186961609631</x:v>
      </x:c>
      <x:c r="I246" t="b">
        <x:f>'Raw T'!O240</x:f>
        <x:v>1</x:v>
      </x:c>
      <x:c r="J246" s="100" t="n">
        <x:f>IF(I246,B246,"")</x:f>
        <x:v>-0.006175214028578201</x:v>
      </x:c>
      <x:c r="K246" s="100" t="n">
        <x:f>IF(I246,E246,"")</x:f>
        <x:v>-0.0068518020433280015</x:v>
      </x:c>
      <x:c r="L246" s="100" t="n">
        <x:f>IF(I246,G246,"")</x:f>
        <x:v>0.0006765880147498009</x:v>
      </x:c>
      <x:c r="M246" s="100" t="n">
        <x:f>IF(I246,F246^2,"")</x:f>
        <x:v>4.577713417030768e-7</x:v>
      </x:c>
      <x:c r="N246" s="100" t="n">
        <x:f>IF(I246,F246,"")</x:f>
        <x:v>-0.0006765880147498009</x:v>
      </x:c>
      <x:c r="P246" t="n">
        <x:f>J246</x:f>
        <x:v>-0.006175214028578201</x:v>
      </x:c>
      <x:c r="Q246" t="n">
        <x:f>K246</x:f>
        <x:v>-0.0068518020433280015</x:v>
      </x:c>
    </x:row>
    <x:row r="247">
      <x:c r="A247" s="99" t="str">
        <x:f>'Raw T'!B241</x:f>
        <x:v>00291</x:v>
      </x:c>
      <x:c r="B247" s="100" t="n">
        <x:f>INDEX('Raw Stations'!$D$2:$D$299,MATCH(A247,'Raw Stations'!$A$2:$A$299,0))</x:f>
        <x:v>-0.003687200490893747</x:v>
      </x:c>
      <x:c r="C247" s="100" t="n">
        <x:f>'Raw T'!L241</x:f>
        <x:v>-0.02551073639994215</x:v>
      </x:c>
      <x:c r="D247" s="100" t="n">
        <x:f>$B$2</x:f>
        <x:v>-0.01783376051078768</x:v>
      </x:c>
      <x:c r="E247" s="100" t="n">
        <x:f>C247-D247</x:f>
        <x:v>-0.007676975889154471</x:v>
      </x:c>
      <x:c r="F247" s="100" t="n">
        <x:f>E247-B247</x:f>
        <x:v>-0.003989775398260724</x:v>
      </x:c>
      <x:c r="G247" s="100" t="n">
        <x:f>ABS(F247)</x:f>
        <x:v>0.003989775398260724</x:v>
      </x:c>
      <x:c r="H247" s="100" t="n">
        <x:f>'Raw T'!N241</x:f>
        <x:v>0.9660177171984944</x:v>
      </x:c>
      <x:c r="I247" t="b">
        <x:f>'Raw T'!O241</x:f>
        <x:v>1</x:v>
      </x:c>
      <x:c r="J247" s="100" t="n">
        <x:f>IF(I247,B247,"")</x:f>
        <x:v>-0.003687200490893747</x:v>
      </x:c>
      <x:c r="K247" s="100" t="n">
        <x:f>IF(I247,E247,"")</x:f>
        <x:v>-0.007676975889154471</x:v>
      </x:c>
      <x:c r="L247" s="100" t="n">
        <x:f>IF(I247,G247,"")</x:f>
        <x:v>0.003989775398260724</x:v>
      </x:c>
      <x:c r="M247" s="100" t="n">
        <x:f>IF(I247,F247^2,"")</x:f>
        <x:v>0.000015918307728566518</x:v>
      </x:c>
      <x:c r="N247" s="100" t="n">
        <x:f>IF(I247,F247,"")</x:f>
        <x:v>-0.003989775398260724</x:v>
      </x:c>
      <x:c r="P247" t="n">
        <x:f>J247</x:f>
        <x:v>-0.003687200490893747</x:v>
      </x:c>
      <x:c r="Q247" t="n">
        <x:f>K247</x:f>
        <x:v>-0.007676975889154471</x:v>
      </x:c>
    </x:row>
    <x:row r="248">
      <x:c r="A248" s="99" t="str">
        <x:f>'Raw T'!B242</x:f>
        <x:v>00292</x:v>
      </x:c>
      <x:c r="B248" s="100" t="n">
        <x:f>INDEX('Raw Stations'!$D$2:$D$299,MATCH(A248,'Raw Stations'!$A$2:$A$299,0))</x:f>
        <x:v>-0.003888602536974522</x:v>
      </x:c>
      <x:c r="C248" s="100" t="n">
        <x:f>'Raw T'!L242</x:f>
        <x:v>-0.02799816904290975</x:v>
      </x:c>
      <x:c r="D248" s="100" t="n">
        <x:f>$B$2</x:f>
        <x:v>-0.01783376051078768</x:v>
      </x:c>
      <x:c r="E248" s="100" t="n">
        <x:f>C248-D248</x:f>
        <x:v>-0.010164408532122068</x:v>
      </x:c>
      <x:c r="F248" s="100" t="n">
        <x:f>E248-B248</x:f>
        <x:v>-0.006275805995147547</x:v>
      </x:c>
      <x:c r="G248" s="100" t="n">
        <x:f>ABS(F248)</x:f>
        <x:v>0.006275805995147547</x:v>
      </x:c>
      <x:c r="H248" s="100" t="n">
        <x:f>'Raw T'!N242</x:f>
        <x:v>0.9777078756197286</x:v>
      </x:c>
      <x:c r="I248" t="b">
        <x:f>'Raw T'!O242</x:f>
        <x:v>1</x:v>
      </x:c>
      <x:c r="J248" s="100" t="n">
        <x:f>IF(I248,B248,"")</x:f>
        <x:v>-0.003888602536974522</x:v>
      </x:c>
      <x:c r="K248" s="100" t="n">
        <x:f>IF(I248,E248,"")</x:f>
        <x:v>-0.010164408532122068</x:v>
      </x:c>
      <x:c r="L248" s="100" t="n">
        <x:f>IF(I248,G248,"")</x:f>
        <x:v>0.006275805995147547</x:v>
      </x:c>
      <x:c r="M248" s="100" t="n">
        <x:f>IF(I248,F248^2,"")</x:f>
        <x:v>0.000039385740888729886</x:v>
      </x:c>
      <x:c r="N248" s="100" t="n">
        <x:f>IF(I248,F248,"")</x:f>
        <x:v>-0.006275805995147547</x:v>
      </x:c>
      <x:c r="P248" t="n">
        <x:f>J248</x:f>
        <x:v>-0.003888602536974522</x:v>
      </x:c>
      <x:c r="Q248" t="n">
        <x:f>K248</x:f>
        <x:v>-0.010164408532122068</x:v>
      </x:c>
    </x:row>
    <x:row r="249">
      <x:c r="A249" s="99" t="str">
        <x:f>'Raw T'!B243</x:f>
        <x:v>00293</x:v>
      </x:c>
      <x:c r="B249" s="100" t="n">
        <x:f>INDEX('Raw Stations'!$D$2:$D$299,MATCH(A249,'Raw Stations'!$A$2:$A$299,0))</x:f>
        <x:v>-0.01975739844222951</x:v>
      </x:c>
      <x:c r="C249" s="100" t="n">
        <x:f>'Raw T'!L243</x:f>
        <x:v>-0.02960573665047239</x:v>
      </x:c>
      <x:c r="D249" s="100" t="n">
        <x:f>$B$2</x:f>
        <x:v>-0.01783376051078768</x:v>
      </x:c>
      <x:c r="E249" s="100" t="n">
        <x:f>C249-D249</x:f>
        <x:v>-0.011771976139684708</x:v>
      </x:c>
      <x:c r="F249" s="100" t="n">
        <x:f>E249-B249</x:f>
        <x:v>0.0079854223025448</x:v>
      </x:c>
      <x:c r="G249" s="100" t="n">
        <x:f>ABS(F249)</x:f>
        <x:v>0.0079854223025448</x:v>
      </x:c>
      <x:c r="H249" s="100" t="n">
        <x:f>'Raw T'!N243</x:f>
        <x:v>0.9252998126822289</x:v>
      </x:c>
      <x:c r="I249" t="b">
        <x:f>'Raw T'!O243</x:f>
        <x:v>1</x:v>
      </x:c>
      <x:c r="J249" s="100" t="n">
        <x:f>IF(I249,B249,"")</x:f>
        <x:v>-0.01975739844222951</x:v>
      </x:c>
      <x:c r="K249" s="100" t="n">
        <x:f>IF(I249,E249,"")</x:f>
        <x:v>-0.011771976139684708</x:v>
      </x:c>
      <x:c r="L249" s="100" t="n">
        <x:f>IF(I249,G249,"")</x:f>
        <x:v>0.0079854223025448</x:v>
      </x:c>
      <x:c r="M249" s="100" t="n">
        <x:f>IF(I249,F249^2,"")</x:f>
        <x:v>0.00006376696934997991</x:v>
      </x:c>
      <x:c r="N249" s="100" t="n">
        <x:f>IF(I249,F249,"")</x:f>
        <x:v>0.0079854223025448</x:v>
      </x:c>
      <x:c r="P249" t="n">
        <x:f>J249</x:f>
        <x:v>-0.01975739844222951</x:v>
      </x:c>
      <x:c r="Q249" t="n">
        <x:f>K249</x:f>
        <x:v>-0.011771976139684708</x:v>
      </x:c>
    </x:row>
    <x:row r="250">
      <x:c r="A250" s="99" t="str">
        <x:f>'Raw T'!B244</x:f>
        <x:v>00294</x:v>
      </x:c>
      <x:c r="B250" s="100" t="n">
        <x:f>INDEX('Raw Stations'!$D$2:$D$299,MATCH(A250,'Raw Stations'!$A$2:$A$299,0))</x:f>
        <x:v>-0.01263527026872942</x:v>
      </x:c>
      <x:c r="C250" s="100" t="n">
        <x:f>'Raw T'!L244</x:f>
        <x:v>-0.017491062365561</x:v>
      </x:c>
      <x:c r="D250" s="100" t="n">
        <x:f>$B$2</x:f>
        <x:v>-0.01783376051078768</x:v>
      </x:c>
      <x:c r="E250" s="100" t="n">
        <x:f>C250-D250</x:f>
        <x:v>0.0003426981452266803</x:v>
      </x:c>
      <x:c r="F250" s="100" t="n">
        <x:f>E250-B250</x:f>
        <x:v>0.0129779684139561</x:v>
      </x:c>
      <x:c r="G250" s="100" t="n">
        <x:f>ABS(F250)</x:f>
        <x:v>0.0129779684139561</x:v>
      </x:c>
      <x:c r="H250" s="100" t="n">
        <x:f>'Raw T'!N244</x:f>
        <x:v>0.9364313964327011</x:v>
      </x:c>
      <x:c r="I250" t="b">
        <x:f>'Raw T'!O244</x:f>
        <x:v>1</x:v>
      </x:c>
      <x:c r="J250" s="100" t="n">
        <x:f>IF(I250,B250,"")</x:f>
        <x:v>-0.01263527026872942</x:v>
      </x:c>
      <x:c r="K250" s="100" t="n">
        <x:f>IF(I250,E250,"")</x:f>
        <x:v>0.0003426981452266803</x:v>
      </x:c>
      <x:c r="L250" s="100" t="n">
        <x:f>IF(I250,G250,"")</x:f>
        <x:v>0.0129779684139561</x:v>
      </x:c>
      <x:c r="M250" s="100" t="n">
        <x:f>IF(I250,F250^2,"")</x:f>
        <x:v>0.0001684276641536422</x:v>
      </x:c>
      <x:c r="N250" s="100" t="n">
        <x:f>IF(I250,F250,"")</x:f>
        <x:v>0.0129779684139561</x:v>
      </x:c>
      <x:c r="P250" t="n">
        <x:f>J250</x:f>
        <x:v>-0.01263527026872942</x:v>
      </x:c>
      <x:c r="Q250" t="n">
        <x:f>K250</x:f>
        <x:v>0.0003426981452266803</x:v>
      </x:c>
    </x:row>
    <x:row r="251">
      <x:c r="A251" s="99" t="str">
        <x:f>'Raw T'!B245</x:f>
        <x:v>00295</x:v>
      </x:c>
      <x:c r="B251" s="100" t="n">
        <x:f>INDEX('Raw Stations'!$D$2:$D$299,MATCH(A251,'Raw Stations'!$A$2:$A$299,0))</x:f>
        <x:v>-0.006169767968636438</x:v>
      </x:c>
      <x:c r="C251" s="100" t="n">
        <x:f>'Raw T'!L245</x:f>
        <x:v>-0.007993303877684849</x:v>
      </x:c>
      <x:c r="D251" s="100" t="n">
        <x:f>$B$2</x:f>
        <x:v>-0.01783376051078768</x:v>
      </x:c>
      <x:c r="E251" s="100" t="n">
        <x:f>C251-D251</x:f>
        <x:v>0.009840456633102831</x:v>
      </x:c>
      <x:c r="F251" s="100" t="n">
        <x:f>E251-B251</x:f>
        <x:v>0.01601022460173927</x:v>
      </x:c>
      <x:c r="G251" s="100" t="n">
        <x:f>ABS(F251)</x:f>
        <x:v>0.01601022460173927</x:v>
      </x:c>
      <x:c r="H251" s="100" t="n">
        <x:f>'Raw T'!N245</x:f>
        <x:v>0.9800457870307323</x:v>
      </x:c>
      <x:c r="I251" t="b">
        <x:f>'Raw T'!O245</x:f>
        <x:v>1</x:v>
      </x:c>
      <x:c r="J251" s="100" t="n">
        <x:f>IF(I251,B251,"")</x:f>
        <x:v>-0.006169767968636438</x:v>
      </x:c>
      <x:c r="K251" s="100" t="n">
        <x:f>IF(I251,E251,"")</x:f>
        <x:v>0.009840456633102831</x:v>
      </x:c>
      <x:c r="L251" s="100" t="n">
        <x:f>IF(I251,G251,"")</x:f>
        <x:v>0.01601022460173927</x:v>
      </x:c>
      <x:c r="M251" s="100" t="n">
        <x:f>IF(I251,F251^2,"")</x:f>
        <x:v>0.00025632729179813734</x:v>
      </x:c>
      <x:c r="N251" s="100" t="n">
        <x:f>IF(I251,F251,"")</x:f>
        <x:v>0.01601022460173927</x:v>
      </x:c>
      <x:c r="P251" t="n">
        <x:f>J251</x:f>
        <x:v>-0.006169767968636438</x:v>
      </x:c>
      <x:c r="Q251" t="n">
        <x:f>K251</x:f>
        <x:v>0.009840456633102831</x:v>
      </x:c>
    </x:row>
    <x:row r="252">
      <x:c r="A252" s="99" t="str">
        <x:f>'Raw T'!B246</x:f>
        <x:v>00297</x:v>
      </x:c>
      <x:c r="B252" s="100" t="n">
        <x:f>INDEX('Raw Stations'!$D$2:$D$299,MATCH(A252,'Raw Stations'!$A$2:$A$299,0))</x:f>
        <x:v>-0.01038514493235143</x:v>
      </x:c>
      <x:c r="C252" s="100" t="n">
        <x:f>'Raw T'!L246</x:f>
        <x:v>-0.01713654141100313</x:v>
      </x:c>
      <x:c r="D252" s="100" t="n">
        <x:f>$B$2</x:f>
        <x:v>-0.01783376051078768</x:v>
      </x:c>
      <x:c r="E252" s="100" t="n">
        <x:f>C252-D252</x:f>
        <x:v>0.0006972190997845511</x:v>
      </x:c>
      <x:c r="F252" s="100" t="n">
        <x:f>E252-B252</x:f>
        <x:v>0.01108236403213598</x:v>
      </x:c>
      <x:c r="G252" s="100" t="n">
        <x:f>ABS(F252)</x:f>
        <x:v>0.01108236403213598</x:v>
      </x:c>
      <x:c r="H252" s="100" t="n">
        <x:f>'Raw T'!N246</x:f>
        <x:v>0.9885105283730765</x:v>
      </x:c>
      <x:c r="I252" t="b">
        <x:f>'Raw T'!O246</x:f>
        <x:v>1</x:v>
      </x:c>
      <x:c r="J252" s="100" t="n">
        <x:f>IF(I252,B252,"")</x:f>
        <x:v>-0.01038514493235143</x:v>
      </x:c>
      <x:c r="K252" s="100" t="n">
        <x:f>IF(I252,E252,"")</x:f>
        <x:v>0.0006972190997845511</x:v>
      </x:c>
      <x:c r="L252" s="100" t="n">
        <x:f>IF(I252,G252,"")</x:f>
        <x:v>0.01108236403213598</x:v>
      </x:c>
      <x:c r="M252" s="100" t="n">
        <x:f>IF(I252,F252^2,"")</x:f>
        <x:v>0.00012281879254078126</x:v>
      </x:c>
      <x:c r="N252" s="100" t="n">
        <x:f>IF(I252,F252,"")</x:f>
        <x:v>0.01108236403213598</x:v>
      </x:c>
      <x:c r="P252" t="n">
        <x:f>J252</x:f>
        <x:v>-0.01038514493235143</x:v>
      </x:c>
      <x:c r="Q252" t="n">
        <x:f>K252</x:f>
        <x:v>0.0006972190997845511</x:v>
      </x:c>
    </x:row>
    <x:row r="253">
      <x:c r="A253" s="99" t="str">
        <x:f>'Raw T'!B247</x:f>
        <x:v>00298</x:v>
      </x:c>
      <x:c r="B253" s="100" t="n">
        <x:f>INDEX('Raw Stations'!$D$2:$D$299,MATCH(A253,'Raw Stations'!$A$2:$A$299,0))</x:f>
        <x:v>-0.00823790525783667</x:v>
      </x:c>
      <x:c r="C253" s="100" t="n">
        <x:f>'Raw T'!L247</x:f>
        <x:v>-0.0227389462890441</x:v>
      </x:c>
      <x:c r="D253" s="100" t="n">
        <x:f>$B$2</x:f>
        <x:v>-0.01783376051078768</x:v>
      </x:c>
      <x:c r="E253" s="100" t="n">
        <x:f>C253-D253</x:f>
        <x:v>-0.0049051857782564205</x:v>
      </x:c>
      <x:c r="F253" s="100" t="n">
        <x:f>E253-B253</x:f>
        <x:v>0.00333271947958025</x:v>
      </x:c>
      <x:c r="G253" s="100" t="n">
        <x:f>ABS(F253)</x:f>
        <x:v>0.00333271947958025</x:v>
      </x:c>
      <x:c r="H253" s="100" t="n">
        <x:f>'Raw T'!N247</x:f>
        <x:v>0.9383086911012151</x:v>
      </x:c>
      <x:c r="I253" t="b">
        <x:f>'Raw T'!O247</x:f>
        <x:v>1</x:v>
      </x:c>
      <x:c r="J253" s="100" t="n">
        <x:f>IF(I253,B253,"")</x:f>
        <x:v>-0.00823790525783667</x:v>
      </x:c>
      <x:c r="K253" s="100" t="n">
        <x:f>IF(I253,E253,"")</x:f>
        <x:v>-0.0049051857782564205</x:v>
      </x:c>
      <x:c r="L253" s="100" t="n">
        <x:f>IF(I253,G253,"")</x:f>
        <x:v>0.00333271947958025</x:v>
      </x:c>
      <x:c r="M253" s="100" t="n">
        <x:f>IF(I253,F253^2,"")</x:f>
        <x:v>0.000011107019129573653</x:v>
      </x:c>
      <x:c r="N253" s="100" t="n">
        <x:f>IF(I253,F253,"")</x:f>
        <x:v>0.00333271947958025</x:v>
      </x:c>
      <x:c r="P253" t="n">
        <x:f>J253</x:f>
        <x:v>-0.00823790525783667</x:v>
      </x:c>
      <x:c r="Q253" t="n">
        <x:f>K253</x:f>
        <x:v>-0.0049051857782564205</x:v>
      </x:c>
    </x:row>
    <x:row r="254">
      <x:c r="A254" s="99" t="str">
        <x:f>'Raw T'!B248</x:f>
        <x:v>00299</x:v>
      </x:c>
      <x:c r="B254" s="100" t="n">
        <x:f>INDEX('Raw Stations'!$D$2:$D$299,MATCH(A254,'Raw Stations'!$A$2:$A$299,0))</x:f>
        <x:v>-0.01252757638063776</x:v>
      </x:c>
      <x:c r="C254" s="100" t="n">
        <x:f>'Raw T'!L248</x:f>
        <x:v>-0.02235111228968617</x:v>
      </x:c>
      <x:c r="D254" s="100" t="n">
        <x:f>$B$2</x:f>
        <x:v>-0.01783376051078768</x:v>
      </x:c>
      <x:c r="E254" s="100" t="n">
        <x:f>C254-D254</x:f>
        <x:v>-0.00451735177889849</x:v>
      </x:c>
      <x:c r="F254" s="100" t="n">
        <x:f>E254-B254</x:f>
        <x:v>0.00801022460173927</x:v>
      </x:c>
      <x:c r="G254" s="100" t="n">
        <x:f>ABS(F254)</x:f>
        <x:v>0.00801022460173927</x:v>
      </x:c>
      <x:c r="H254" s="100" t="n">
        <x:f>'Raw T'!N248</x:f>
        <x:v>0.9825613947601076</x:v>
      </x:c>
      <x:c r="I254" t="b">
        <x:f>'Raw T'!O248</x:f>
        <x:v>1</x:v>
      </x:c>
      <x:c r="J254" s="100" t="n">
        <x:f>IF(I254,B254,"")</x:f>
        <x:v>-0.01252757638063776</x:v>
      </x:c>
      <x:c r="K254" s="100" t="n">
        <x:f>IF(I254,E254,"")</x:f>
        <x:v>-0.00451735177889849</x:v>
      </x:c>
      <x:c r="L254" s="100" t="n">
        <x:f>IF(I254,G254,"")</x:f>
        <x:v>0.00801022460173927</x:v>
      </x:c>
      <x:c r="M254" s="100" t="n">
        <x:f>IF(I254,F254^2,"")</x:f>
        <x:v>0.00006416369817030903</x:v>
      </x:c>
      <x:c r="N254" s="100" t="n">
        <x:f>IF(I254,F254,"")</x:f>
        <x:v>0.00801022460173927</x:v>
      </x:c>
      <x:c r="P254" t="n">
        <x:f>J254</x:f>
        <x:v>-0.01252757638063776</x:v>
      </x:c>
      <x:c r="Q254" t="n">
        <x:f>K254</x:f>
        <x:v>-0.00451735177889849</x:v>
      </x:c>
    </x:row>
    <x:row r="255">
      <x:c r="A255" s="99" t="str">
        <x:f>'Raw T'!B249</x:f>
        <x:v>00300</x:v>
      </x:c>
      <x:c r="B255" s="100" t="n">
        <x:f>INDEX('Raw Stations'!$D$2:$D$299,MATCH(A255,'Raw Stations'!$A$2:$A$299,0))</x:f>
        <x:v>-0.01129132602284214</x:v>
      </x:c>
      <x:c r="C255" s="100" t="n">
        <x:f>'Raw T'!L249</x:f>
        <x:v>-0.02653849416032122</x:v>
      </x:c>
      <x:c r="D255" s="100" t="n">
        <x:f>$B$2</x:f>
        <x:v>-0.01783376051078768</x:v>
      </x:c>
      <x:c r="E255" s="100" t="n">
        <x:f>C255-D255</x:f>
        <x:v>-0.00870473364953354</x:v>
      </x:c>
      <x:c r="F255" s="100" t="n">
        <x:f>E255-B255</x:f>
        <x:v>0.0025865923733085997</x:v>
      </x:c>
      <x:c r="G255" s="100" t="n">
        <x:f>ABS(F255)</x:f>
        <x:v>0.0025865923733085997</x:v>
      </x:c>
      <x:c r="H255" s="100" t="n">
        <x:f>'Raw T'!N249</x:f>
        <x:v>0.9816559746732745</x:v>
      </x:c>
      <x:c r="I255" t="b">
        <x:f>'Raw T'!O249</x:f>
        <x:v>1</x:v>
      </x:c>
      <x:c r="J255" s="100" t="n">
        <x:f>IF(I255,B255,"")</x:f>
        <x:v>-0.01129132602284214</x:v>
      </x:c>
      <x:c r="K255" s="100" t="n">
        <x:f>IF(I255,E255,"")</x:f>
        <x:v>-0.00870473364953354</x:v>
      </x:c>
      <x:c r="L255" s="100" t="n">
        <x:f>IF(I255,G255,"")</x:f>
        <x:v>0.0025865923733085997</x:v>
      </x:c>
      <x:c r="M255" s="100" t="n">
        <x:f>IF(I255,F255^2,"")</x:f>
        <x:v>0.000006690460105658214</x:v>
      </x:c>
      <x:c r="N255" s="100" t="n">
        <x:f>IF(I255,F255,"")</x:f>
        <x:v>0.0025865923733085997</x:v>
      </x:c>
      <x:c r="P255" t="n">
        <x:f>J255</x:f>
        <x:v>-0.01129132602284214</x:v>
      </x:c>
      <x:c r="Q255" t="n">
        <x:f>K255</x:f>
        <x:v>-0.00870473364953354</x:v>
      </x:c>
    </x:row>
    <x:row r="256">
      <x:c r="A256" s="99" t="str">
        <x:f>'Raw T'!B250</x:f>
        <x:v>00301</x:v>
      </x:c>
      <x:c r="B256" s="100" t="n">
        <x:f>INDEX('Raw Stations'!$D$2:$D$299,MATCH(A256,'Raw Stations'!$A$2:$A$299,0))</x:f>
        <x:v>-0.01427540765869766</x:v>
      </x:c>
      <x:c r="C256" s="100" t="n">
        <x:f>'Raw T'!L250</x:f>
        <x:v>-0.02974093425708862</x:v>
      </x:c>
      <x:c r="D256" s="100" t="n">
        <x:f>$B$2</x:f>
        <x:v>-0.01783376051078768</x:v>
      </x:c>
      <x:c r="E256" s="100" t="n">
        <x:f>C256-D256</x:f>
        <x:v>-0.011907173746300941</x:v>
      </x:c>
      <x:c r="F256" s="100" t="n">
        <x:f>E256-B256</x:f>
        <x:v>0.002368233912396718</x:v>
      </x:c>
      <x:c r="G256" s="100" t="n">
        <x:f>ABS(F256)</x:f>
        <x:v>0.002368233912396718</x:v>
      </x:c>
      <x:c r="H256" s="100" t="n">
        <x:f>'Raw T'!N250</x:f>
        <x:v>0.986052212834107</x:v>
      </x:c>
      <x:c r="I256" t="b">
        <x:f>'Raw T'!O250</x:f>
        <x:v>1</x:v>
      </x:c>
      <x:c r="J256" s="100" t="n">
        <x:f>IF(I256,B256,"")</x:f>
        <x:v>-0.01427540765869766</x:v>
      </x:c>
      <x:c r="K256" s="100" t="n">
        <x:f>IF(I256,E256,"")</x:f>
        <x:v>-0.011907173746300941</x:v>
      </x:c>
      <x:c r="L256" s="100" t="n">
        <x:f>IF(I256,G256,"")</x:f>
        <x:v>0.002368233912396718</x:v>
      </x:c>
      <x:c r="M256" s="100" t="n">
        <x:f>IF(I256,F256^2,"")</x:f>
        <x:v>0.000005608531863825866</x:v>
      </x:c>
      <x:c r="N256" s="100" t="n">
        <x:f>IF(I256,F256,"")</x:f>
        <x:v>0.002368233912396718</x:v>
      </x:c>
      <x:c r="P256" t="n">
        <x:f>J256</x:f>
        <x:v>-0.01427540765869766</x:v>
      </x:c>
      <x:c r="Q256" t="n">
        <x:f>K256</x:f>
        <x:v>-0.011907173746300941</x:v>
      </x:c>
    </x:row>
    <x:row r="257">
      <x:c r="A257" s="99" t="str">
        <x:f>'Raw T'!B251</x:f>
        <x:v>00302</x:v>
      </x:c>
      <x:c r="B257" s="100" t="n">
        <x:f>INDEX('Raw Stations'!$D$2:$D$299,MATCH(A257,'Raw Stations'!$A$2:$A$299,0))</x:f>
        <x:v>-0.007632152572161066</x:v>
      </x:c>
      <x:c r="C257" s="100" t="n">
        <x:f>'Raw T'!L251</x:f>
        <x:v>-0.01644173880697207</x:v>
      </x:c>
      <x:c r="D257" s="100" t="n">
        <x:f>$B$2</x:f>
        <x:v>-0.01783376051078768</x:v>
      </x:c>
      <x:c r="E257" s="100" t="n">
        <x:f>C257-D257</x:f>
        <x:v>0.0013920217038156102</x:v>
      </x:c>
      <x:c r="F257" s="100" t="n">
        <x:f>E257-B257</x:f>
        <x:v>0.009024174275976675</x:v>
      </x:c>
      <x:c r="G257" s="100" t="n">
        <x:f>ABS(F257)</x:f>
        <x:v>0.009024174275976675</x:v>
      </x:c>
      <x:c r="H257" s="100" t="n">
        <x:f>'Raw T'!N251</x:f>
        <x:v>0.9737779050727049</x:v>
      </x:c>
      <x:c r="I257" t="b">
        <x:f>'Raw T'!O251</x:f>
        <x:v>1</x:v>
      </x:c>
      <x:c r="J257" s="100" t="n">
        <x:f>IF(I257,B257,"")</x:f>
        <x:v>-0.007632152572161066</x:v>
      </x:c>
      <x:c r="K257" s="100" t="n">
        <x:f>IF(I257,E257,"")</x:f>
        <x:v>0.0013920217038156102</x:v>
      </x:c>
      <x:c r="L257" s="100" t="n">
        <x:f>IF(I257,G257,"")</x:f>
        <x:v>0.009024174275976675</x:v>
      </x:c>
      <x:c r="M257" s="100" t="n">
        <x:f>IF(I257,F257^2,"")</x:f>
        <x:v>0.00008143572136319915</x:v>
      </x:c>
      <x:c r="N257" s="100" t="n">
        <x:f>IF(I257,F257,"")</x:f>
        <x:v>0.009024174275976675</x:v>
      </x:c>
      <x:c r="P257" t="n">
        <x:f>J257</x:f>
        <x:v>-0.007632152572161066</x:v>
      </x:c>
      <x:c r="Q257" t="n">
        <x:f>K257</x:f>
        <x:v>0.0013920217038156102</x:v>
      </x:c>
    </x:row>
    <x:row r="258">
      <x:c r="A258" s="99" t="str">
        <x:f>'Raw T'!B252</x:f>
        <x:v>00304</x:v>
      </x:c>
      <x:c r="B258" s="100" t="n">
        <x:f>INDEX('Raw Stations'!$D$2:$D$299,MATCH(A258,'Raw Stations'!$A$2:$A$299,0))</x:f>
        <x:v>-0.009227897213839063</x:v>
      </x:c>
      <x:c r="C258" s="100" t="n">
        <x:f>'Raw T'!L252</x:f>
        <x:v>-0.03274289205374768</x:v>
      </x:c>
      <x:c r="D258" s="100" t="n">
        <x:f>$B$2</x:f>
        <x:v>-0.01783376051078768</x:v>
      </x:c>
      <x:c r="E258" s="100" t="n">
        <x:f>C258-D258</x:f>
        <x:v>-0.014909131542960002</x:v>
      </x:c>
      <x:c r="F258" s="100" t="n">
        <x:f>E258-B258</x:f>
        <x:v>-0.005681234329120939</x:v>
      </x:c>
      <x:c r="G258" s="100" t="n">
        <x:f>ABS(F258)</x:f>
        <x:v>0.005681234329120939</x:v>
      </x:c>
      <x:c r="H258" s="100" t="n">
        <x:f>'Raw T'!N252</x:f>
        <x:v>0.9542464234201901</x:v>
      </x:c>
      <x:c r="I258" t="b">
        <x:f>'Raw T'!O252</x:f>
        <x:v>1</x:v>
      </x:c>
      <x:c r="J258" s="100" t="n">
        <x:f>IF(I258,B258,"")</x:f>
        <x:v>-0.009227897213839063</x:v>
      </x:c>
      <x:c r="K258" s="100" t="n">
        <x:f>IF(I258,E258,"")</x:f>
        <x:v>-0.014909131542960002</x:v>
      </x:c>
      <x:c r="L258" s="100" t="n">
        <x:f>IF(I258,G258,"")</x:f>
        <x:v>0.005681234329120939</x:v>
      </x:c>
      <x:c r="M258" s="100" t="n">
        <x:f>IF(I258,F258^2,"")</x:f>
        <x:v>0.000032276423502382245</x:v>
      </x:c>
      <x:c r="N258" s="100" t="n">
        <x:f>IF(I258,F258,"")</x:f>
        <x:v>-0.005681234329120939</x:v>
      </x:c>
      <x:c r="P258" t="n">
        <x:f>J258</x:f>
        <x:v>-0.009227897213839063</x:v>
      </x:c>
      <x:c r="Q258" t="n">
        <x:f>K258</x:f>
        <x:v>-0.014909131542960002</x:v>
      </x:c>
    </x:row>
    <x:row r="259">
      <x:c r="A259" s="99" t="str">
        <x:f>'Raw T'!B253</x:f>
        <x:v>00305</x:v>
      </x:c>
      <x:c r="B259" s="100" t="n">
        <x:f>INDEX('Raw Stations'!$D$2:$D$299,MATCH(A259,'Raw Stations'!$A$2:$A$299,0))</x:f>
        <x:v>-0.007286080607572465</x:v>
      </x:c>
      <x:c r="C259" s="100" t="n">
        <x:f>'Raw T'!L253</x:f>
        <x:v>-0.03241347854407071</x:v>
      </x:c>
      <x:c r="D259" s="100" t="n">
        <x:f>$B$2</x:f>
        <x:v>-0.01783376051078768</x:v>
      </x:c>
      <x:c r="E259" s="100" t="n">
        <x:f>C259-D259</x:f>
        <x:v>-0.014579718033283028</x:v>
      </x:c>
      <x:c r="F259" s="100" t="n">
        <x:f>E259-B259</x:f>
        <x:v>-0.007293637425710563</x:v>
      </x:c>
      <x:c r="G259" s="100" t="n">
        <x:f>ABS(F259)</x:f>
        <x:v>0.007293637425710563</x:v>
      </x:c>
      <x:c r="H259" s="100" t="n">
        <x:f>'Raw T'!N253</x:f>
        <x:v>0.9173774778990016</x:v>
      </x:c>
      <x:c r="I259" t="b">
        <x:f>'Raw T'!O253</x:f>
        <x:v>1</x:v>
      </x:c>
      <x:c r="J259" s="100" t="n">
        <x:f>IF(I259,B259,"")</x:f>
        <x:v>-0.007286080607572465</x:v>
      </x:c>
      <x:c r="K259" s="100" t="n">
        <x:f>IF(I259,E259,"")</x:f>
        <x:v>-0.014579718033283028</x:v>
      </x:c>
      <x:c r="L259" s="100" t="n">
        <x:f>IF(I259,G259,"")</x:f>
        <x:v>0.007293637425710563</x:v>
      </x:c>
      <x:c r="M259" s="100" t="n">
        <x:f>IF(I259,F259^2,"")</x:f>
        <x:v>0.0000531971468977258</x:v>
      </x:c>
      <x:c r="N259" s="100" t="n">
        <x:f>IF(I259,F259,"")</x:f>
        <x:v>-0.007293637425710563</x:v>
      </x:c>
      <x:c r="P259" t="n">
        <x:f>J259</x:f>
        <x:v>-0.007286080607572465</x:v>
      </x:c>
      <x:c r="Q259" t="n">
        <x:f>K259</x:f>
        <x:v>-0.014579718033283028</x:v>
      </x:c>
    </x:row>
    <x:row r="260">
      <x:c r="A260" s="99" t="str">
        <x:f>'Raw T'!B254</x:f>
        <x:v>00306</x:v>
      </x:c>
      <x:c r="B260" s="100" t="n">
        <x:f>INDEX('Raw Stations'!$D$2:$D$299,MATCH(A260,'Raw Stations'!$A$2:$A$299,0))</x:f>
        <x:v>-0.005222604197269581</x:v>
      </x:c>
      <x:c r="C260" s="100" t="n">
        <x:f>'Raw T'!L254</x:f>
        <x:v>-0.03155196475027522</x:v>
      </x:c>
      <x:c r="D260" s="100" t="n">
        <x:f>$B$2</x:f>
        <x:v>-0.01783376051078768</x:v>
      </x:c>
      <x:c r="E260" s="100" t="n">
        <x:f>C260-D260</x:f>
        <x:v>-0.013718204239487539</x:v>
      </x:c>
      <x:c r="F260" s="100" t="n">
        <x:f>E260-B260</x:f>
        <x:v>-0.008495600042217957</x:v>
      </x:c>
      <x:c r="G260" s="100" t="n">
        <x:f>ABS(F260)</x:f>
        <x:v>0.008495600042217957</x:v>
      </x:c>
      <x:c r="H260" s="100" t="n">
        <x:f>'Raw T'!N254</x:f>
        <x:v>0.8927794732041898</x:v>
      </x:c>
      <x:c r="I260" t="b">
        <x:f>'Raw T'!O254</x:f>
        <x:v>1</x:v>
      </x:c>
      <x:c r="J260" s="100" t="n">
        <x:f>IF(I260,B260,"")</x:f>
        <x:v>-0.005222604197269581</x:v>
      </x:c>
      <x:c r="K260" s="100" t="n">
        <x:f>IF(I260,E260,"")</x:f>
        <x:v>-0.013718204239487539</x:v>
      </x:c>
      <x:c r="L260" s="100" t="n">
        <x:f>IF(I260,G260,"")</x:f>
        <x:v>0.008495600042217957</x:v>
      </x:c>
      <x:c r="M260" s="100" t="n">
        <x:f>IF(I260,F260^2,"")</x:f>
        <x:v>0.00007217522007733376</x:v>
      </x:c>
      <x:c r="N260" s="100" t="n">
        <x:f>IF(I260,F260,"")</x:f>
        <x:v>-0.008495600042217957</x:v>
      </x:c>
      <x:c r="P260" t="n">
        <x:f>J260</x:f>
        <x:v>-0.005222604197269581</x:v>
      </x:c>
      <x:c r="Q260" t="n">
        <x:f>K260</x:f>
        <x:v>-0.013718204239487539</x:v>
      </x:c>
    </x:row>
    <x:row r="261">
      <x:c r="A261" s="99" t="str">
        <x:f>'Raw T'!B255</x:f>
        <x:v>00307</x:v>
      </x:c>
      <x:c r="B261" s="100" t="n">
        <x:f>INDEX('Raw Stations'!$D$2:$D$299,MATCH(A261,'Raw Stations'!$A$2:$A$299,0))</x:f>
        <x:v>-0.006391860789787349</x:v>
      </x:c>
      <x:c r="C261" s="100" t="n">
        <x:f>'Raw T'!L255</x:f>
        <x:v>-0.01605857283004367</x:v>
      </x:c>
      <x:c r="D261" s="100" t="n">
        <x:f>$B$2</x:f>
        <x:v>-0.01783376051078768</x:v>
      </x:c>
      <x:c r="E261" s="100" t="n">
        <x:f>C261-D261</x:f>
        <x:v>0.0017751876807440108</x:v>
      </x:c>
      <x:c r="F261" s="100" t="n">
        <x:f>E261-B261</x:f>
        <x:v>0.00816704847053136</x:v>
      </x:c>
      <x:c r="G261" s="100" t="n">
        <x:f>ABS(F261)</x:f>
        <x:v>0.00816704847053136</x:v>
      </x:c>
      <x:c r="H261" s="100" t="n">
        <x:f>'Raw T'!N255</x:f>
        <x:v>0.9683541190757738</x:v>
      </x:c>
      <x:c r="I261" t="b">
        <x:f>'Raw T'!O255</x:f>
        <x:v>1</x:v>
      </x:c>
      <x:c r="J261" s="100" t="n">
        <x:f>IF(I261,B261,"")</x:f>
        <x:v>-0.006391860789787349</x:v>
      </x:c>
      <x:c r="K261" s="100" t="n">
        <x:f>IF(I261,E261,"")</x:f>
        <x:v>0.0017751876807440108</x:v>
      </x:c>
      <x:c r="L261" s="100" t="n">
        <x:f>IF(I261,G261,"")</x:f>
        <x:v>0.00816704847053136</x:v>
      </x:c>
      <x:c r="M261" s="100" t="n">
        <x:f>IF(I261,F261^2,"")</x:f>
        <x:v>0.00006670068072000862</x:v>
      </x:c>
      <x:c r="N261" s="100" t="n">
        <x:f>IF(I261,F261,"")</x:f>
        <x:v>0.00816704847053136</x:v>
      </x:c>
      <x:c r="P261" t="n">
        <x:f>J261</x:f>
        <x:v>-0.006391860789787349</x:v>
      </x:c>
      <x:c r="Q261" t="n">
        <x:f>K261</x:f>
        <x:v>0.0017751876807440108</x:v>
      </x:c>
    </x:row>
    <x:row r="262">
      <x:c r="A262" s="99" t="str">
        <x:f>'Raw T'!B256</x:f>
        <x:v>00308</x:v>
      </x:c>
      <x:c r="B262" s="100" t="n">
        <x:f>INDEX('Raw Stations'!$D$2:$D$299,MATCH(A262,'Raw Stations'!$A$2:$A$299,0))</x:f>
        <x:v>-0.008879709383879948</x:v>
      </x:c>
      <x:c r="C262" s="100" t="n">
        <x:f>'Raw T'!L256</x:f>
        <x:v>-0.02739005790941743</x:v>
      </x:c>
      <x:c r="D262" s="100" t="n">
        <x:f>$B$2</x:f>
        <x:v>-0.01783376051078768</x:v>
      </x:c>
      <x:c r="E262" s="100" t="n">
        <x:f>C262-D262</x:f>
        <x:v>-0.009556297398629749</x:v>
      </x:c>
      <x:c r="F262" s="100" t="n">
        <x:f>E262-B262</x:f>
        <x:v>-0.0006765880147498009</x:v>
      </x:c>
      <x:c r="G262" s="100" t="n">
        <x:f>ABS(F262)</x:f>
        <x:v>0.0006765880147498009</x:v>
      </x:c>
      <x:c r="H262" s="100" t="n">
        <x:f>'Raw T'!N256</x:f>
        <x:v>0.9529541299721135</x:v>
      </x:c>
      <x:c r="I262" t="b">
        <x:f>'Raw T'!O256</x:f>
        <x:v>1</x:v>
      </x:c>
      <x:c r="J262" s="100" t="n">
        <x:f>IF(I262,B262,"")</x:f>
        <x:v>-0.008879709383879948</x:v>
      </x:c>
      <x:c r="K262" s="100" t="n">
        <x:f>IF(I262,E262,"")</x:f>
        <x:v>-0.009556297398629749</x:v>
      </x:c>
      <x:c r="L262" s="100" t="n">
        <x:f>IF(I262,G262,"")</x:f>
        <x:v>0.0006765880147498009</x:v>
      </x:c>
      <x:c r="M262" s="100" t="n">
        <x:f>IF(I262,F262^2,"")</x:f>
        <x:v>4.577713417030768e-7</x:v>
      </x:c>
      <x:c r="N262" s="100" t="n">
        <x:f>IF(I262,F262,"")</x:f>
        <x:v>-0.0006765880147498009</x:v>
      </x:c>
      <x:c r="P262" t="n">
        <x:f>J262</x:f>
        <x:v>-0.008879709383879948</x:v>
      </x:c>
      <x:c r="Q262" t="n">
        <x:f>K262</x:f>
        <x:v>-0.009556297398629749</x:v>
      </x:c>
    </x:row>
    <x:row r="263">
      <x:c r="A263" s="99" t="str">
        <x:f>'Raw T'!B257</x:f>
        <x:v>00309</x:v>
      </x:c>
      <x:c r="B263" s="100" t="n">
        <x:f>INDEX('Raw Stations'!$D$2:$D$299,MATCH(A263,'Raw Stations'!$A$2:$A$299,0))</x:f>
        <x:v>-0.01297163802101553</x:v>
      </x:c>
      <x:c r="C263" s="100" t="n">
        <x:f>'Raw T'!L257</x:f>
        <x:v>-0.02421880615849462</x:v>
      </x:c>
      <x:c r="D263" s="100" t="n">
        <x:f>$B$2</x:f>
        <x:v>-0.01783376051078768</x:v>
      </x:c>
      <x:c r="E263" s="100" t="n">
        <x:f>C263-D263</x:f>
        <x:v>-0.006385045647706939</x:v>
      </x:c>
      <x:c r="F263" s="100" t="n">
        <x:f>E263-B263</x:f>
        <x:v>0.006586592373308591</x:v>
      </x:c>
      <x:c r="G263" s="100" t="n">
        <x:f>ABS(F263)</x:f>
        <x:v>0.006586592373308591</x:v>
      </x:c>
      <x:c r="H263" s="100" t="n">
        <x:f>'Raw T'!N257</x:f>
        <x:v>0.9460962104998514</x:v>
      </x:c>
      <x:c r="I263" t="b">
        <x:f>'Raw T'!O257</x:f>
        <x:v>1</x:v>
      </x:c>
      <x:c r="J263" s="100" t="n">
        <x:f>IF(I263,B263,"")</x:f>
        <x:v>-0.01297163802101553</x:v>
      </x:c>
      <x:c r="K263" s="100" t="n">
        <x:f>IF(I263,E263,"")</x:f>
        <x:v>-0.006385045647706939</x:v>
      </x:c>
      <x:c r="L263" s="100" t="n">
        <x:f>IF(I263,G263,"")</x:f>
        <x:v>0.006586592373308591</x:v>
      </x:c>
      <x:c r="M263" s="100" t="n">
        <x:f>IF(I263,F263^2,"")</x:f>
        <x:v>0.0000433831990921269</x:v>
      </x:c>
      <x:c r="N263" s="100" t="n">
        <x:f>IF(I263,F263,"")</x:f>
        <x:v>0.006586592373308591</x:v>
      </x:c>
      <x:c r="P263" t="n">
        <x:f>J263</x:f>
        <x:v>-0.01297163802101553</x:v>
      </x:c>
      <x:c r="Q263" t="n">
        <x:f>K263</x:f>
        <x:v>-0.006385045647706939</x:v>
      </x:c>
    </x:row>
    <x:row r="264">
      <x:c r="A264" s="99" t="str">
        <x:f>'Raw T'!B258</x:f>
        <x:v>00310</x:v>
      </x:c>
      <x:c r="B264" s="100" t="n">
        <x:f>INDEX('Raw Stations'!$D$2:$D$299,MATCH(A264,'Raw Stations'!$A$2:$A$299,0))</x:f>
        <x:v>-0.01048909489834837</x:v>
      </x:c>
      <x:c r="C264" s="100" t="n">
        <x:f>'Raw T'!L258</x:f>
        <x:v>-0.01166145398070934</x:v>
      </x:c>
      <x:c r="D264" s="100" t="n">
        <x:f>$B$2</x:f>
        <x:v>-0.01783376051078768</x:v>
      </x:c>
      <x:c r="E264" s="100" t="n">
        <x:f>C264-D264</x:f>
        <x:v>0.0061723065300783395</x:v>
      </x:c>
      <x:c r="F264" s="100" t="n">
        <x:f>E264-B264</x:f>
        <x:v>0.01666140142842671</x:v>
      </x:c>
      <x:c r="G264" s="100" t="n">
        <x:f>ABS(F264)</x:f>
        <x:v>0.01666140142842671</x:v>
      </x:c>
      <x:c r="H264" s="100" t="n">
        <x:f>'Raw T'!N258</x:f>
        <x:v>0.9927889296665664</x:v>
      </x:c>
      <x:c r="I264" t="b">
        <x:f>'Raw T'!O258</x:f>
        <x:v>1</x:v>
      </x:c>
      <x:c r="J264" s="100" t="n">
        <x:f>IF(I264,B264,"")</x:f>
        <x:v>-0.01048909489834837</x:v>
      </x:c>
      <x:c r="K264" s="100" t="n">
        <x:f>IF(I264,E264,"")</x:f>
        <x:v>0.0061723065300783395</x:v>
      </x:c>
      <x:c r="L264" s="100" t="n">
        <x:f>IF(I264,G264,"")</x:f>
        <x:v>0.01666140142842671</x:v>
      </x:c>
      <x:c r="M264" s="100" t="n">
        <x:f>IF(I264,F264^2,"")</x:f>
        <x:v>0.0002776022975591796</x:v>
      </x:c>
      <x:c r="N264" s="100" t="n">
        <x:f>IF(I264,F264,"")</x:f>
        <x:v>0.01666140142842671</x:v>
      </x:c>
      <x:c r="P264" t="n">
        <x:f>J264</x:f>
        <x:v>-0.01048909489834837</x:v>
      </x:c>
      <x:c r="Q264" t="n">
        <x:f>K264</x:f>
        <x:v>0.0061723065300783395</x:v>
      </x:c>
    </x:row>
    <x:row r="265">
      <x:c r="A265" s="99" t="str">
        <x:f>'Raw T'!B259</x:f>
        <x:v>00311</x:v>
      </x:c>
      <x:c r="B265" s="100" t="n">
        <x:f>INDEX('Raw Stations'!$D$2:$D$299,MATCH(A265,'Raw Stations'!$A$2:$A$299,0))</x:f>
        <x:v>-0.01217582325691082</x:v>
      </x:c>
      <x:c r="C265" s="100" t="n">
        <x:f>'Raw T'!L259</x:f>
        <x:v>-0.009185048244961524</x:v>
      </x:c>
      <x:c r="D265" s="100" t="n">
        <x:f>$B$2</x:f>
        <x:v>-0.01783376051078768</x:v>
      </x:c>
      <x:c r="E265" s="100" t="n">
        <x:f>C265-D265</x:f>
        <x:v>0.008648712265826156</x:v>
      </x:c>
      <x:c r="F265" s="100" t="n">
        <x:f>E265-B265</x:f>
        <x:v>0.020824535522736977</x:v>
      </x:c>
      <x:c r="G265" s="100" t="n">
        <x:f>ABS(F265)</x:f>
        <x:v>0.020824535522736977</x:v>
      </x:c>
      <x:c r="H265" s="100" t="n">
        <x:f>'Raw T'!N259</x:f>
        <x:v>0.8773094542537768</x:v>
      </x:c>
      <x:c r="I265" t="b">
        <x:f>'Raw T'!O259</x:f>
        <x:v>1</x:v>
      </x:c>
      <x:c r="J265" s="100" t="n">
        <x:f>IF(I265,B265,"")</x:f>
        <x:v>-0.01217582325691082</x:v>
      </x:c>
      <x:c r="K265" s="100" t="n">
        <x:f>IF(I265,E265,"")</x:f>
        <x:v>0.008648712265826156</x:v>
      </x:c>
      <x:c r="L265" s="100" t="n">
        <x:f>IF(I265,G265,"")</x:f>
        <x:v>0.020824535522736977</x:v>
      </x:c>
      <x:c r="M265" s="100" t="n">
        <x:f>IF(I265,F265^2,"")</x:f>
        <x:v>0.00043366127973773423</x:v>
      </x:c>
      <x:c r="N265" s="100" t="n">
        <x:f>IF(I265,F265,"")</x:f>
        <x:v>0.020824535522736977</x:v>
      </x:c>
      <x:c r="P265" t="n">
        <x:f>J265</x:f>
        <x:v>-0.01217582325691082</x:v>
      </x:c>
      <x:c r="Q265" t="n">
        <x:f>K265</x:f>
        <x:v>0.008648712265826156</x:v>
      </x:c>
    </x:row>
    <x:row r="266">
      <x:c r="A266" s="99" t="str">
        <x:f>'Raw T'!B260</x:f>
        <x:v>00313</x:v>
      </x:c>
      <x:c r="B266" s="100" t="n">
        <x:f>INDEX('Raw Stations'!$D$2:$D$299,MATCH(A266,'Raw Stations'!$A$2:$A$299,0))</x:f>
        <x:v>-0.01162155019804093</x:v>
      </x:c>
      <x:c r="C266" s="100" t="n">
        <x:f>'Raw T'!L260</x:f>
        <x:v>-0.01886871833552001</x:v>
      </x:c>
      <x:c r="D266" s="100" t="n">
        <x:f>$B$2</x:f>
        <x:v>-0.01783376051078768</x:v>
      </x:c>
      <x:c r="E266" s="100" t="n">
        <x:f>C266-D266</x:f>
        <x:v>-0.0010349578247323306</x:v>
      </x:c>
      <x:c r="F266" s="100" t="n">
        <x:f>E266-B266</x:f>
        <x:v>0.0105865923733086</x:v>
      </x:c>
      <x:c r="G266" s="100" t="n">
        <x:f>ABS(F266)</x:f>
        <x:v>0.0105865923733086</x:v>
      </x:c>
      <x:c r="H266" s="100" t="n">
        <x:f>'Raw T'!N260</x:f>
        <x:v>0.9371304062463522</x:v>
      </x:c>
      <x:c r="I266" t="b">
        <x:f>'Raw T'!O260</x:f>
        <x:v>1</x:v>
      </x:c>
      <x:c r="J266" s="100" t="n">
        <x:f>IF(I266,B266,"")</x:f>
        <x:v>-0.01162155019804093</x:v>
      </x:c>
      <x:c r="K266" s="100" t="n">
        <x:f>IF(I266,E266,"")</x:f>
        <x:v>-0.0010349578247323306</x:v>
      </x:c>
      <x:c r="L266" s="100" t="n">
        <x:f>IF(I266,G266,"")</x:f>
        <x:v>0.0105865923733086</x:v>
      </x:c>
      <x:c r="M266" s="100" t="n">
        <x:f>IF(I266,F266^2,"")</x:f>
        <x:v>0.00011207593807859581</x:v>
      </x:c>
      <x:c r="N266" s="100" t="n">
        <x:f>IF(I266,F266,"")</x:f>
        <x:v>0.0105865923733086</x:v>
      </x:c>
      <x:c r="P266" t="n">
        <x:f>J266</x:f>
        <x:v>-0.01162155019804093</x:v>
      </x:c>
      <x:c r="Q266" t="n">
        <x:f>K266</x:f>
        <x:v>-0.0010349578247323306</x:v>
      </x:c>
    </x:row>
    <x:row r="267">
      <x:c r="A267" s="99" t="str">
        <x:f>'Raw T'!B261</x:f>
        <x:v>00314</x:v>
      </x:c>
      <x:c r="B267" s="100" t="n">
        <x:f>INDEX('Raw Stations'!$D$2:$D$299,MATCH(A267,'Raw Stations'!$A$2:$A$299,0))</x:f>
        <x:v>-0.01232253564984412</x:v>
      </x:c>
      <x:c r="C267" s="100" t="n">
        <x:f>'Raw T'!L261</x:f>
        <x:v>-0.01414607155889255</x:v>
      </x:c>
      <x:c r="D267" s="100" t="n">
        <x:f>$B$2</x:f>
        <x:v>-0.01783376051078768</x:v>
      </x:c>
      <x:c r="E267" s="100" t="n">
        <x:f>C267-D267</x:f>
        <x:v>0.00368768895189513</x:v>
      </x:c>
      <x:c r="F267" s="100" t="n">
        <x:f>E267-B267</x:f>
        <x:v>0.016010224601739252</x:v>
      </x:c>
      <x:c r="G267" s="100" t="n">
        <x:f>ABS(F267)</x:f>
        <x:v>0.016010224601739252</x:v>
      </x:c>
      <x:c r="H267" s="100" t="n">
        <x:f>'Raw T'!N261</x:f>
        <x:v>0.9225404975663812</x:v>
      </x:c>
      <x:c r="I267" t="b">
        <x:f>'Raw T'!O261</x:f>
        <x:v>1</x:v>
      </x:c>
      <x:c r="J267" s="100" t="n">
        <x:f>IF(I267,B267,"")</x:f>
        <x:v>-0.01232253564984412</x:v>
      </x:c>
      <x:c r="K267" s="100" t="n">
        <x:f>IF(I267,E267,"")</x:f>
        <x:v>0.00368768895189513</x:v>
      </x:c>
      <x:c r="L267" s="100" t="n">
        <x:f>IF(I267,G267,"")</x:f>
        <x:v>0.016010224601739252</x:v>
      </x:c>
      <x:c r="M267" s="100" t="n">
        <x:f>IF(I267,F267^2,"")</x:f>
        <x:v>0.0002563272917981368</x:v>
      </x:c>
      <x:c r="N267" s="100" t="n">
        <x:f>IF(I267,F267,"")</x:f>
        <x:v>0.016010224601739252</x:v>
      </x:c>
      <x:c r="P267" t="n">
        <x:f>J267</x:f>
        <x:v>-0.01232253564984412</x:v>
      </x:c>
      <x:c r="Q267" t="n">
        <x:f>K267</x:f>
        <x:v>0.00368768895189513</x:v>
      </x:c>
    </x:row>
    <x:row r="268">
      <x:c r="A268" s="99" t="str">
        <x:f>'Raw T'!B262</x:f>
        <x:v>00315</x:v>
      </x:c>
      <x:c r="B268" s="100" t="n">
        <x:f>INDEX('Raw Stations'!$D$2:$D$299,MATCH(A268,'Raw Stations'!$A$2:$A$299,0))</x:f>
        <x:v>-0.0150380115223602</x:v>
      </x:c>
      <x:c r="C268" s="100" t="n">
        <x:f>'Raw T'!L262</x:f>
        <x:v>-0.02228517965983931</x:v>
      </x:c>
      <x:c r="D268" s="100" t="n">
        <x:f>$B$2</x:f>
        <x:v>-0.01783376051078768</x:v>
      </x:c>
      <x:c r="E268" s="100" t="n">
        <x:f>C268-D268</x:f>
        <x:v>-0.00445141914905163</x:v>
      </x:c>
      <x:c r="F268" s="100" t="n">
        <x:f>E268-B268</x:f>
        <x:v>0.01058659237330857</x:v>
      </x:c>
      <x:c r="G268" s="100" t="n">
        <x:f>ABS(F268)</x:f>
        <x:v>0.01058659237330857</x:v>
      </x:c>
      <x:c r="H268" s="100" t="n">
        <x:f>'Raw T'!N262</x:f>
        <x:v>0.9945859771744023</x:v>
      </x:c>
      <x:c r="I268" t="b">
        <x:f>'Raw T'!O262</x:f>
        <x:v>1</x:v>
      </x:c>
      <x:c r="J268" s="100" t="n">
        <x:f>IF(I268,B268,"")</x:f>
        <x:v>-0.0150380115223602</x:v>
      </x:c>
      <x:c r="K268" s="100" t="n">
        <x:f>IF(I268,E268,"")</x:f>
        <x:v>-0.00445141914905163</x:v>
      </x:c>
      <x:c r="L268" s="100" t="n">
        <x:f>IF(I268,G268,"")</x:f>
        <x:v>0.01058659237330857</x:v>
      </x:c>
      <x:c r="M268" s="100" t="n">
        <x:f>IF(I268,F268^2,"")</x:f>
        <x:v>0.00011207593807859519</x:v>
      </x:c>
      <x:c r="N268" s="100" t="n">
        <x:f>IF(I268,F268,"")</x:f>
        <x:v>0.01058659237330857</x:v>
      </x:c>
      <x:c r="P268" t="n">
        <x:f>J268</x:f>
        <x:v>-0.0150380115223602</x:v>
      </x:c>
      <x:c r="Q268" t="n">
        <x:f>K268</x:f>
        <x:v>-0.00445141914905163</x:v>
      </x:c>
    </x:row>
    <x:row r="269">
      <x:c r="A269" s="99" t="str">
        <x:f>'Raw T'!B263</x:f>
        <x:v>00316</x:v>
      </x:c>
      <x:c r="B269" s="100" t="n">
        <x:f>INDEX('Raw Stations'!$D$2:$D$299,MATCH(A269,'Raw Stations'!$A$2:$A$299,0))</x:f>
        <x:v>-0.01388372554994194</x:v>
      </x:c>
      <x:c r="C269" s="100" t="n">
        <x:f>'Raw T'!L263</x:f>
        <x:v>-0.02513089368742102</x:v>
      </x:c>
      <x:c r="D269" s="100" t="n">
        <x:f>$B$2</x:f>
        <x:v>-0.01783376051078768</x:v>
      </x:c>
      <x:c r="E269" s="100" t="n">
        <x:f>C269-D269</x:f>
        <x:v>-0.007297133176633341</x:v>
      </x:c>
      <x:c r="F269" s="100" t="n">
        <x:f>E269-B269</x:f>
        <x:v>0.0065865923733086</x:v>
      </x:c>
      <x:c r="G269" s="100" t="n">
        <x:f>ABS(F269)</x:f>
        <x:v>0.0065865923733086</x:v>
      </x:c>
      <x:c r="H269" s="100" t="n">
        <x:f>'Raw T'!N263</x:f>
        <x:v>0.9862701039349864</x:v>
      </x:c>
      <x:c r="I269" t="b">
        <x:f>'Raw T'!O263</x:f>
        <x:v>1</x:v>
      </x:c>
      <x:c r="J269" s="100" t="n">
        <x:f>IF(I269,B269,"")</x:f>
        <x:v>-0.01388372554994194</x:v>
      </x:c>
      <x:c r="K269" s="100" t="n">
        <x:f>IF(I269,E269,"")</x:f>
        <x:v>-0.007297133176633341</x:v>
      </x:c>
      <x:c r="L269" s="100" t="n">
        <x:f>IF(I269,G269,"")</x:f>
        <x:v>0.0065865923733086</x:v>
      </x:c>
      <x:c r="M269" s="100" t="n">
        <x:f>IF(I269,F269^2,"")</x:f>
        <x:v>0.000043383199092127016</x:v>
      </x:c>
      <x:c r="N269" s="100" t="n">
        <x:f>IF(I269,F269,"")</x:f>
        <x:v>0.0065865923733086</x:v>
      </x:c>
      <x:c r="P269" t="n">
        <x:f>J269</x:f>
        <x:v>-0.01388372554994194</x:v>
      </x:c>
      <x:c r="Q269" t="n">
        <x:f>K269</x:f>
        <x:v>-0.007297133176633341</x:v>
      </x:c>
    </x:row>
    <x:row r="270">
      <x:c r="A270" s="99" t="str">
        <x:f>'Raw T'!B264</x:f>
        <x:v>00317</x:v>
      </x:c>
      <x:c r="B270" s="100" t="n">
        <x:f>INDEX('Raw Stations'!$D$2:$D$299,MATCH(A270,'Raw Stations'!$A$2:$A$299,0))</x:f>
        <x:v>-0.01623471446340402</x:v>
      </x:c>
      <x:c r="C270" s="100" t="n">
        <x:f>'Raw T'!L264</x:f>
        <x:v>-0.03098611094205569</x:v>
      </x:c>
      <x:c r="D270" s="100" t="n">
        <x:f>$B$2</x:f>
        <x:v>-0.01783376051078768</x:v>
      </x:c>
      <x:c r="E270" s="100" t="n">
        <x:f>C270-D270</x:f>
        <x:v>-0.013152350431268011</x:v>
      </x:c>
      <x:c r="F270" s="100" t="n">
        <x:f>E270-B270</x:f>
        <x:v>0.0030823640321360098</x:v>
      </x:c>
      <x:c r="G270" s="100" t="n">
        <x:f>ABS(F270)</x:f>
        <x:v>0.0030823640321360098</x:v>
      </x:c>
      <x:c r="H270" s="100" t="n">
        <x:f>'Raw T'!N264</x:f>
        <x:v>0.9924008426281259</x:v>
      </x:c>
      <x:c r="I270" t="b">
        <x:f>'Raw T'!O264</x:f>
        <x:v>1</x:v>
      </x:c>
      <x:c r="J270" s="100" t="n">
        <x:f>IF(I270,B270,"")</x:f>
        <x:v>-0.01623471446340402</x:v>
      </x:c>
      <x:c r="K270" s="100" t="n">
        <x:f>IF(I270,E270,"")</x:f>
        <x:v>-0.013152350431268011</x:v>
      </x:c>
      <x:c r="L270" s="100" t="n">
        <x:f>IF(I270,G270,"")</x:f>
        <x:v>0.0030823640321360098</x:v>
      </x:c>
      <x:c r="M270" s="100" t="n">
        <x:f>IF(I270,F270^2,"")</x:f>
        <x:v>0.00000950096802660576</x:v>
      </x:c>
      <x:c r="N270" s="100" t="n">
        <x:f>IF(I270,F270,"")</x:f>
        <x:v>0.0030823640321360098</x:v>
      </x:c>
      <x:c r="P270" t="n">
        <x:f>J270</x:f>
        <x:v>-0.01623471446340402</x:v>
      </x:c>
      <x:c r="Q270" t="n">
        <x:f>K270</x:f>
        <x:v>-0.013152350431268011</x:v>
      </x:c>
    </x:row>
    <x:row r="271">
      <x:c r="A271" s="99" t="str">
        <x:f>'Raw T'!B265</x:f>
        <x:v>00318</x:v>
      </x:c>
      <x:c r="B271" s="100" t="n">
        <x:f>INDEX('Raw Stations'!$D$2:$D$299,MATCH(A271,'Raw Stations'!$A$2:$A$299,0))</x:f>
        <x:v>-0.006664318881921125</x:v>
      </x:c>
      <x:c r="C271" s="100" t="n">
        <x:f>'Raw T'!L265</x:f>
        <x:v>-0.01975369822117579</x:v>
      </x:c>
      <x:c r="D271" s="100" t="n">
        <x:f>$B$2</x:f>
        <x:v>-0.01783376051078768</x:v>
      </x:c>
      <x:c r="E271" s="100" t="n">
        <x:f>C271-D271</x:f>
        <x:v>-0.0019199377103881095</x:v>
      </x:c>
      <x:c r="F271" s="100" t="n">
        <x:f>E271-B271</x:f>
        <x:v>0.004744381171533016</x:v>
      </x:c>
      <x:c r="G271" s="100" t="n">
        <x:f>ABS(F271)</x:f>
        <x:v>0.004744381171533016</x:v>
      </x:c>
      <x:c r="H271" s="100" t="n">
        <x:f>'Raw T'!N265</x:f>
        <x:v>0.9697491590031826</x:v>
      </x:c>
      <x:c r="I271" t="b">
        <x:f>'Raw T'!O265</x:f>
        <x:v>1</x:v>
      </x:c>
      <x:c r="J271" s="100" t="n">
        <x:f>IF(I271,B271,"")</x:f>
        <x:v>-0.006664318881921125</x:v>
      </x:c>
      <x:c r="K271" s="100" t="n">
        <x:f>IF(I271,E271,"")</x:f>
        <x:v>-0.0019199377103881095</x:v>
      </x:c>
      <x:c r="L271" s="100" t="n">
        <x:f>IF(I271,G271,"")</x:f>
        <x:v>0.004744381171533016</x:v>
      </x:c>
      <x:c r="M271" s="100" t="n">
        <x:f>IF(I271,F271^2,"")</x:f>
        <x:v>0.00002250915270079699</x:v>
      </x:c>
      <x:c r="N271" s="100" t="n">
        <x:f>IF(I271,F271,"")</x:f>
        <x:v>0.004744381171533016</x:v>
      </x:c>
      <x:c r="P271" t="n">
        <x:f>J271</x:f>
        <x:v>-0.006664318881921125</x:v>
      </x:c>
      <x:c r="Q271" t="n">
        <x:f>K271</x:f>
        <x:v>-0.0019199377103881095</x:v>
      </x:c>
    </x:row>
    <x:row r="272">
      <x:c r="A272" s="99" t="str">
        <x:f>'Raw T'!B266</x:f>
        <x:v>00319</x:v>
      </x:c>
      <x:c r="B272" s="100" t="n">
        <x:f>INDEX('Raw Stations'!$D$2:$D$299,MATCH(A272,'Raw Stations'!$A$2:$A$299,0))</x:f>
        <x:v>0.01280611520055321</x:v>
      </x:c>
      <x:c r="C272" s="100" t="n">
        <x:f>'Raw T'!L266</x:f>
        <x:v>-0.003652428442786931</x:v>
      </x:c>
      <x:c r="D272" s="100" t="n">
        <x:f>$B$2</x:f>
        <x:v>-0.01783376051078768</x:v>
      </x:c>
      <x:c r="E272" s="100" t="n">
        <x:f>C272-D272</x:f>
        <x:v>0.014181332068000749</x:v>
      </x:c>
      <x:c r="F272" s="100" t="n">
        <x:f>E272-B272</x:f>
        <x:v>0.0013752168674475394</x:v>
      </x:c>
      <x:c r="G272" s="100" t="n">
        <x:f>ABS(F272)</x:f>
        <x:v>0.0013752168674475394</x:v>
      </x:c>
      <x:c r="H272" s="100" t="n">
        <x:f>'Raw T'!N266</x:f>
        <x:v>0.9566622629169316</x:v>
      </x:c>
      <x:c r="I272" t="b">
        <x:f>'Raw T'!O266</x:f>
        <x:v>1</x:v>
      </x:c>
      <x:c r="J272" s="100" t="n">
        <x:f>IF(I272,B272,"")</x:f>
        <x:v>0.01280611520055321</x:v>
      </x:c>
      <x:c r="K272" s="100" t="n">
        <x:f>IF(I272,E272,"")</x:f>
        <x:v>0.014181332068000749</x:v>
      </x:c>
      <x:c r="L272" s="100" t="n">
        <x:f>IF(I272,G272,"")</x:f>
        <x:v>0.0013752168674475394</x:v>
      </x:c>
      <x:c r="M272" s="100" t="n">
        <x:f>IF(I272,F272^2,"")</x:f>
        <x:v>0.0000018912214325122233</x:v>
      </x:c>
      <x:c r="N272" s="100" t="n">
        <x:f>IF(I272,F272,"")</x:f>
        <x:v>0.0013752168674475394</x:v>
      </x:c>
      <x:c r="P272" t="n">
        <x:f>J272</x:f>
        <x:v>0.01280611520055321</x:v>
      </x:c>
      <x:c r="Q272" t="n">
        <x:f>K272</x:f>
        <x:v>0.014181332068000749</x:v>
      </x:c>
    </x:row>
    <x:row r="273">
      <x:c r="A273" s="99" t="str">
        <x:f>'Raw T'!B267</x:f>
        <x:v>00320</x:v>
      </x:c>
      <x:c r="B273" s="100" t="n">
        <x:f>INDEX('Raw Stations'!$D$2:$D$299,MATCH(A273,'Raw Stations'!$A$2:$A$299,0))</x:f>
        <x:v>0.01875491672152585</x:v>
      </x:c>
      <x:c r="C273" s="100" t="n">
        <x:f>'Raw T'!L267</x:f>
        <x:v>-0.01041049981221601</x:v>
      </x:c>
      <x:c r="D273" s="100" t="n">
        <x:f>$B$2</x:f>
        <x:v>-0.01783376051078768</x:v>
      </x:c>
      <x:c r="E273" s="100" t="n">
        <x:f>C273-D273</x:f>
        <x:v>0.00742326069857167</x:v>
      </x:c>
      <x:c r="F273" s="100" t="n">
        <x:f>E273-B273</x:f>
        <x:v>-0.01133165602295418</x:v>
      </x:c>
      <x:c r="G273" s="100" t="n">
        <x:f>ABS(F273)</x:f>
        <x:v>0.01133165602295418</x:v>
      </x:c>
      <x:c r="H273" s="100" t="n">
        <x:f>'Raw T'!N267</x:f>
        <x:v>0.9663995525003538</x:v>
      </x:c>
      <x:c r="I273" t="b">
        <x:f>'Raw T'!O267</x:f>
        <x:v>1</x:v>
      </x:c>
      <x:c r="J273" s="100" t="n">
        <x:f>IF(I273,B273,"")</x:f>
        <x:v>0.01875491672152585</x:v>
      </x:c>
      <x:c r="K273" s="100" t="n">
        <x:f>IF(I273,E273,"")</x:f>
        <x:v>0.00742326069857167</x:v>
      </x:c>
      <x:c r="L273" s="100" t="n">
        <x:f>IF(I273,G273,"")</x:f>
        <x:v>0.01133165602295418</x:v>
      </x:c>
      <x:c r="M273" s="100" t="n">
        <x:f>IF(I273,F273^2,"")</x:f>
        <x:v>0.00012840642822255373</x:v>
      </x:c>
      <x:c r="N273" s="100" t="n">
        <x:f>IF(I273,F273,"")</x:f>
        <x:v>-0.01133165602295418</x:v>
      </x:c>
      <x:c r="P273" t="n">
        <x:f>J273</x:f>
        <x:v>0.01875491672152585</x:v>
      </x:c>
      <x:c r="Q273" t="n">
        <x:f>K273</x:f>
        <x:v>0.00742326069857167</x:v>
      </x:c>
    </x:row>
    <x:row r="274">
      <x:c r="A274" s="99" t="str">
        <x:f>'Raw T'!B268</x:f>
        <x:v>00321</x:v>
      </x:c>
      <x:c r="B274" s="100" t="n">
        <x:f>INDEX('Raw Stations'!$D$2:$D$299,MATCH(A274,'Raw Stations'!$A$2:$A$299,0))</x:f>
        <x:v>0.01576642139596362</x:v>
      </x:c>
      <x:c r="C274" s="100" t="n">
        <x:f>'Raw T'!L268</x:f>
        <x:v>-0.01074392712957387</x:v>
      </x:c>
      <x:c r="D274" s="100" t="n">
        <x:f>$B$2</x:f>
        <x:v>-0.01783376051078768</x:v>
      </x:c>
      <x:c r="E274" s="100" t="n">
        <x:f>C274-D274</x:f>
        <x:v>0.007089833381213811</x:v>
      </x:c>
      <x:c r="F274" s="100" t="n">
        <x:f>E274-B274</x:f>
        <x:v>-0.008676588014749808</x:v>
      </x:c>
      <x:c r="G274" s="100" t="n">
        <x:f>ABS(F274)</x:f>
        <x:v>0.008676588014749808</x:v>
      </x:c>
      <x:c r="H274" s="100" t="n">
        <x:f>'Raw T'!N268</x:f>
        <x:v>0.9625433694856628</x:v>
      </x:c>
      <x:c r="I274" t="b">
        <x:f>'Raw T'!O268</x:f>
        <x:v>1</x:v>
      </x:c>
      <x:c r="J274" s="100" t="n">
        <x:f>IF(I274,B274,"")</x:f>
        <x:v>0.01576642139596362</x:v>
      </x:c>
      <x:c r="K274" s="100" t="n">
        <x:f>IF(I274,E274,"")</x:f>
        <x:v>0.007089833381213811</x:v>
      </x:c>
      <x:c r="L274" s="100" t="n">
        <x:f>IF(I274,G274,"")</x:f>
        <x:v>0.008676588014749808</x:v>
      </x:c>
      <x:c r="M274" s="100" t="n">
        <x:f>IF(I274,F274^2,"")</x:f>
        <x:v>0.00007528317957770002</x:v>
      </x:c>
      <x:c r="N274" s="100" t="n">
        <x:f>IF(I274,F274,"")</x:f>
        <x:v>-0.008676588014749808</x:v>
      </x:c>
      <x:c r="P274" t="n">
        <x:f>J274</x:f>
        <x:v>0.01576642139596362</x:v>
      </x:c>
      <x:c r="Q274" t="n">
        <x:f>K274</x:f>
        <x:v>0.007089833381213811</x:v>
      </x:c>
    </x:row>
    <x:row r="275">
      <x:c r="A275" s="99" t="str">
        <x:f>'Raw T'!B269</x:f>
        <x:v>00322</x:v>
      </x:c>
      <x:c r="B275" s="100" t="n">
        <x:f>INDEX('Raw Stations'!$D$2:$D$299,MATCH(A275,'Raw Stations'!$A$2:$A$299,0))</x:f>
        <x:v>-0.0006372080181001293</x:v>
      </x:c>
      <x:c r="C275" s="100" t="n">
        <x:f>'Raw T'!L269</x:f>
        <x:v>-0.01851034852553748</x:v>
      </x:c>
      <x:c r="D275" s="100" t="n">
        <x:f>$B$2</x:f>
        <x:v>-0.01783376051078768</x:v>
      </x:c>
      <x:c r="E275" s="100" t="n">
        <x:f>C275-D275</x:f>
        <x:v>-0.0006765880147498009</x:v>
      </x:c>
      <x:c r="F275" s="100" t="n">
        <x:f>E275-B275</x:f>
        <x:v>-0.00003937999664967162</x:v>
      </x:c>
      <x:c r="G275" s="100" t="n">
        <x:f>ABS(F275)</x:f>
        <x:v>0.00003937999664967162</x:v>
      </x:c>
      <x:c r="H275" s="100" t="n">
        <x:f>'Raw T'!N269</x:f>
        <x:v>0.9734909154477317</x:v>
      </x:c>
      <x:c r="I275" t="b">
        <x:f>'Raw T'!O269</x:f>
        <x:v>1</x:v>
      </x:c>
      <x:c r="J275" s="100" t="n">
        <x:f>IF(I275,B275,"")</x:f>
        <x:v>-0.0006372080181001293</x:v>
      </x:c>
      <x:c r="K275" s="100" t="n">
        <x:f>IF(I275,E275,"")</x:f>
        <x:v>-0.0006765880147498009</x:v>
      </x:c>
      <x:c r="L275" s="100" t="n">
        <x:f>IF(I275,G275,"")</x:f>
        <x:v>0.00003937999664967162</x:v>
      </x:c>
      <x:c r="M275" s="100" t="n">
        <x:f>IF(I275,F275^2,"")</x:f>
        <x:v>1.5507841361281482e-9</x:v>
      </x:c>
      <x:c r="N275" s="100" t="n">
        <x:f>IF(I275,F275,"")</x:f>
        <x:v>-0.00003937999664967162</x:v>
      </x:c>
      <x:c r="P275" t="n">
        <x:f>J275</x:f>
        <x:v>-0.0006372080181001293</x:v>
      </x:c>
      <x:c r="Q275" t="n">
        <x:f>K275</x:f>
        <x:v>-0.0006765880147498009</x:v>
      </x:c>
    </x:row>
    <x:row r="276">
      <x:c r="A276" s="99" t="str">
        <x:f>'Raw T'!B270</x:f>
        <x:v>00323</x:v>
      </x:c>
      <x:c r="B276" s="100" t="n">
        <x:f>INDEX('Raw Stations'!$D$2:$D$299,MATCH(A276,'Raw Stations'!$A$2:$A$299,0))</x:f>
        <x:v>-0.01034861347295235</x:v>
      </x:c>
      <x:c r="C276" s="100" t="n">
        <x:f>'Raw T'!L270</x:f>
        <x:v>-0.02765972890430804</x:v>
      </x:c>
      <x:c r="D276" s="100" t="n">
        <x:f>$B$2</x:f>
        <x:v>-0.01783376051078768</x:v>
      </x:c>
      <x:c r="E276" s="100" t="n">
        <x:f>C276-D276</x:f>
        <x:v>-0.00982596839352036</x:v>
      </x:c>
      <x:c r="F276" s="100" t="n">
        <x:f>E276-B276</x:f>
        <x:v>0.0005226450794319909</x:v>
      </x:c>
      <x:c r="G276" s="100" t="n">
        <x:f>ABS(F276)</x:f>
        <x:v>0.0005226450794319909</x:v>
      </x:c>
      <x:c r="H276" s="100" t="n">
        <x:f>'Raw T'!N270</x:f>
        <x:v>0.9415637992822986</x:v>
      </x:c>
      <x:c r="I276" t="b">
        <x:f>'Raw T'!O270</x:f>
        <x:v>1</x:v>
      </x:c>
      <x:c r="J276" s="100" t="n">
        <x:f>IF(I276,B276,"")</x:f>
        <x:v>-0.01034861347295235</x:v>
      </x:c>
      <x:c r="K276" s="100" t="n">
        <x:f>IF(I276,E276,"")</x:f>
        <x:v>-0.00982596839352036</x:v>
      </x:c>
      <x:c r="L276" s="100" t="n">
        <x:f>IF(I276,G276,"")</x:f>
        <x:v>0.0005226450794319909</x:v>
      </x:c>
      <x:c r="M276" s="100" t="n">
        <x:f>IF(I276,F276^2,"")</x:f>
        <x:v>2.731578790544721e-7</x:v>
      </x:c>
      <x:c r="N276" s="100" t="n">
        <x:f>IF(I276,F276,"")</x:f>
        <x:v>0.0005226450794319909</x:v>
      </x:c>
      <x:c r="P276" t="n">
        <x:f>J276</x:f>
        <x:v>-0.01034861347295235</x:v>
      </x:c>
      <x:c r="Q276" t="n">
        <x:f>K276</x:f>
        <x:v>-0.00982596839352036</x:v>
      </x:c>
    </x:row>
    <x:row r="277">
      <x:c r="A277" s="99" t="str">
        <x:f>'Raw T'!B271</x:f>
        <x:v>00324</x:v>
      </x:c>
      <x:c r="B277" s="100" t="n">
        <x:f>INDEX('Raw Stations'!$D$2:$D$299,MATCH(A277,'Raw Stations'!$A$2:$A$299,0))</x:f>
        <x:v>-0.01445806259092991</x:v>
      </x:c>
      <x:c r="C277" s="100" t="n">
        <x:f>'Raw T'!L271</x:f>
        <x:v>-0.03633120309836727</x:v>
      </x:c>
      <x:c r="D277" s="100" t="n">
        <x:f>$B$2</x:f>
        <x:v>-0.01783376051078768</x:v>
      </x:c>
      <x:c r="E277" s="100" t="n">
        <x:f>C277-D277</x:f>
        <x:v>-0.018497442587579592</x:v>
      </x:c>
      <x:c r="F277" s="100" t="n">
        <x:f>E277-B277</x:f>
        <x:v>-0.004039379996649682</x:v>
      </x:c>
      <x:c r="G277" s="100" t="n">
        <x:f>ABS(F277)</x:f>
        <x:v>0.004039379996649682</x:v>
      </x:c>
      <x:c r="H277" s="100" t="n">
        <x:f>'Raw T'!N271</x:f>
        <x:v>0.9000449696373415</x:v>
      </x:c>
      <x:c r="I277" t="b">
        <x:f>'Raw T'!O271</x:f>
        <x:v>1</x:v>
      </x:c>
      <x:c r="J277" s="100" t="n">
        <x:f>IF(I277,B277,"")</x:f>
        <x:v>-0.01445806259092991</x:v>
      </x:c>
      <x:c r="K277" s="100" t="n">
        <x:f>IF(I277,E277,"")</x:f>
        <x:v>-0.018497442587579592</x:v>
      </x:c>
      <x:c r="L277" s="100" t="n">
        <x:f>IF(I277,G277,"")</x:f>
        <x:v>0.004039379996649682</x:v>
      </x:c>
      <x:c r="M277" s="100" t="n">
        <x:f>IF(I277,F277^2,"")</x:f>
        <x:v>0.000016316590757333586</x:v>
      </x:c>
      <x:c r="N277" s="100" t="n">
        <x:f>IF(I277,F277,"")</x:f>
        <x:v>-0.004039379996649682</x:v>
      </x:c>
      <x:c r="P277" t="n">
        <x:f>J277</x:f>
        <x:v>-0.01445806259092991</x:v>
      </x:c>
      <x:c r="Q277" t="n">
        <x:f>K277</x:f>
        <x:v>-0.018497442587579592</x:v>
      </x:c>
    </x:row>
    <x:row r="278">
      <x:c r="A278" s="99" t="str">
        <x:f>'Raw T'!B272</x:f>
        <x:v>00325</x:v>
      </x:c>
      <x:c r="B278" s="100" t="n">
        <x:f>INDEX('Raw Stations'!$D$2:$D$299,MATCH(A278,'Raw Stations'!$A$2:$A$299,0))</x:f>
        <x:v>-0.01907000131197036</x:v>
      </x:c>
      <x:c r="C278" s="100" t="n">
        <x:f>'Raw T'!L272</x:f>
        <x:v>-0.03453552791036132</x:v>
      </x:c>
      <x:c r="D278" s="100" t="n">
        <x:f>$B$2</x:f>
        <x:v>-0.01783376051078768</x:v>
      </x:c>
      <x:c r="E278" s="100" t="n">
        <x:f>C278-D278</x:f>
        <x:v>-0.016701767399573637</x:v>
      </x:c>
      <x:c r="F278" s="100" t="n">
        <x:f>E278-B278</x:f>
        <x:v>0.0023682339123967215</x:v>
      </x:c>
      <x:c r="G278" s="100" t="n">
        <x:f>ABS(F278)</x:f>
        <x:v>0.0023682339123967215</x:v>
      </x:c>
      <x:c r="H278" s="100" t="n">
        <x:f>'Raw T'!N272</x:f>
        <x:v>0.8956232828446383</x:v>
      </x:c>
      <x:c r="I278" t="b">
        <x:f>'Raw T'!O272</x:f>
        <x:v>1</x:v>
      </x:c>
      <x:c r="J278" s="100" t="n">
        <x:f>IF(I278,B278,"")</x:f>
        <x:v>-0.01907000131197036</x:v>
      </x:c>
      <x:c r="K278" s="100" t="n">
        <x:f>IF(I278,E278,"")</x:f>
        <x:v>-0.016701767399573637</x:v>
      </x:c>
      <x:c r="L278" s="100" t="n">
        <x:f>IF(I278,G278,"")</x:f>
        <x:v>0.0023682339123967215</x:v>
      </x:c>
      <x:c r="M278" s="100" t="n">
        <x:f>IF(I278,F278^2,"")</x:f>
        <x:v>0.000005608531863825882</x:v>
      </x:c>
      <x:c r="N278" s="100" t="n">
        <x:f>IF(I278,F278,"")</x:f>
        <x:v>0.0023682339123967215</x:v>
      </x:c>
      <x:c r="P278" t="n">
        <x:f>J278</x:f>
        <x:v>-0.01907000131197036</x:v>
      </x:c>
      <x:c r="Q278" t="n">
        <x:f>K278</x:f>
        <x:v>-0.016701767399573637</x:v>
      </x:c>
    </x:row>
    <x:row r="279">
      <x:c r="A279" s="99" t="str">
        <x:f>'Raw T'!B273</x:f>
        <x:v>00326</x:v>
      </x:c>
      <x:c r="B279" s="100" t="n">
        <x:f>INDEX('Raw Stations'!$D$2:$D$299,MATCH(A279,'Raw Stations'!$A$2:$A$299,0))</x:f>
        <x:v>-0.01950310810635052</x:v>
      </x:c>
      <x:c r="C279" s="100" t="n">
        <x:f>'Raw T'!L273</x:f>
        <x:v>-0.02296863470474148</x:v>
      </x:c>
      <x:c r="D279" s="100" t="n">
        <x:f>$B$2</x:f>
        <x:v>-0.01783376051078768</x:v>
      </x:c>
      <x:c r="E279" s="100" t="n">
        <x:f>C279-D279</x:f>
        <x:v>-0.0051348741939537985</x:v>
      </x:c>
      <x:c r="F279" s="100" t="n">
        <x:f>E279-B279</x:f>
        <x:v>0.014368233912396722</x:v>
      </x:c>
      <x:c r="G279" s="100" t="n">
        <x:f>ABS(F279)</x:f>
        <x:v>0.014368233912396722</x:v>
      </x:c>
      <x:c r="H279" s="100" t="n">
        <x:f>'Raw T'!N273</x:f>
        <x:v>0.8655553552151501</x:v>
      </x:c>
      <x:c r="I279" t="b">
        <x:f>'Raw T'!O273</x:f>
        <x:v>1</x:v>
      </x:c>
      <x:c r="J279" s="100" t="n">
        <x:f>IF(I279,B279,"")</x:f>
        <x:v>-0.01950310810635052</x:v>
      </x:c>
      <x:c r="K279" s="100" t="n">
        <x:f>IF(I279,E279,"")</x:f>
        <x:v>-0.0051348741939537985</x:v>
      </x:c>
      <x:c r="L279" s="100" t="n">
        <x:f>IF(I279,G279,"")</x:f>
        <x:v>0.014368233912396722</x:v>
      </x:c>
      <x:c r="M279" s="100" t="n">
        <x:f>IF(I279,F279^2,"")</x:f>
        <x:v>0.00020644614576134721</x:v>
      </x:c>
      <x:c r="N279" s="100" t="n">
        <x:f>IF(I279,F279,"")</x:f>
        <x:v>0.014368233912396722</x:v>
      </x:c>
      <x:c r="P279" t="n">
        <x:f>J279</x:f>
        <x:v>-0.01950310810635052</x:v>
      </x:c>
      <x:c r="Q279" t="n">
        <x:f>K279</x:f>
        <x:v>-0.0051348741939537985</x:v>
      </x:c>
    </x:row>
    <x:row r="280">
      <x:c r="A280" s="99" t="str">
        <x:f>'Raw T'!B274</x:f>
        <x:v>00327</x:v>
      </x:c>
      <x:c r="B280" s="100" t="n">
        <x:f>INDEX('Raw Stations'!$D$2:$D$299,MATCH(A280,'Raw Stations'!$A$2:$A$299,0))</x:f>
        <x:v>-0.01476917863632569</x:v>
      </x:c>
      <x:c r="C280" s="100" t="n">
        <x:f>'Raw T'!L274</x:f>
        <x:v>-0.01087874514226092</x:v>
      </x:c>
      <x:c r="D280" s="100" t="n">
        <x:f>$B$2</x:f>
        <x:v>-0.01783376051078768</x:v>
      </x:c>
      <x:c r="E280" s="100" t="n">
        <x:f>C280-D280</x:f>
        <x:v>0.00695501536852676</x:v>
      </x:c>
      <x:c r="F280" s="100" t="n">
        <x:f>E280-B280</x:f>
        <x:v>0.021724194004852447</x:v>
      </x:c>
      <x:c r="G280" s="100" t="n">
        <x:f>ABS(F280)</x:f>
        <x:v>0.021724194004852447</x:v>
      </x:c>
      <x:c r="H280" s="100" t="n">
        <x:f>'Raw T'!N274</x:f>
        <x:v>0.9819133508395868</x:v>
      </x:c>
      <x:c r="I280" t="b">
        <x:f>'Raw T'!O274</x:f>
        <x:v>1</x:v>
      </x:c>
      <x:c r="J280" s="100" t="n">
        <x:f>IF(I280,B280,"")</x:f>
        <x:v>-0.01476917863632569</x:v>
      </x:c>
      <x:c r="K280" s="100" t="n">
        <x:f>IF(I280,E280,"")</x:f>
        <x:v>0.00695501536852676</x:v>
      </x:c>
      <x:c r="L280" s="100" t="n">
        <x:f>IF(I280,G280,"")</x:f>
        <x:v>0.021724194004852447</x:v>
      </x:c>
      <x:c r="M280" s="100" t="n">
        <x:f>IF(I280,F280^2,"")</x:f>
        <x:v>0.000471940605160467</x:v>
      </x:c>
      <x:c r="N280" s="100" t="n">
        <x:f>IF(I280,F280,"")</x:f>
        <x:v>0.021724194004852447</x:v>
      </x:c>
      <x:c r="P280" t="n">
        <x:f>J280</x:f>
        <x:v>-0.01476917863632569</x:v>
      </x:c>
      <x:c r="Q280" t="n">
        <x:f>K280</x:f>
        <x:v>0.00695501536852676</x:v>
      </x:c>
    </x:row>
    <x:row r="281">
      <x:c r="A281" s="99" t="str">
        <x:f>'Raw T'!B275</x:f>
        <x:v>00328</x:v>
      </x:c>
      <x:c r="B281" s="100" t="n">
        <x:f>INDEX('Raw Stations'!$D$2:$D$299,MATCH(A281,'Raw Stations'!$A$2:$A$299,0))</x:f>
        <x:v>-0.01066612394828562</x:v>
      </x:c>
      <x:c r="C281" s="100" t="n">
        <x:f>'Raw T'!L275</x:f>
        <x:v>-0.009913292085764719</x:v>
      </x:c>
      <x:c r="D281" s="100" t="n">
        <x:f>$B$2</x:f>
        <x:v>-0.01783376051078768</x:v>
      </x:c>
      <x:c r="E281" s="100" t="n">
        <x:f>C281-D281</x:f>
        <x:v>0.007920468425022961</x:v>
      </x:c>
      <x:c r="F281" s="100" t="n">
        <x:f>E281-B281</x:f>
        <x:v>0.01858659237330858</x:v>
      </x:c>
      <x:c r="G281" s="100" t="n">
        <x:f>ABS(F281)</x:f>
        <x:v>0.01858659237330858</x:v>
      </x:c>
      <x:c r="H281" s="100" t="n">
        <x:f>'Raw T'!N275</x:f>
        <x:v>0.9754087700941414</x:v>
      </x:c>
      <x:c r="I281" t="b">
        <x:f>'Raw T'!O275</x:f>
        <x:v>1</x:v>
      </x:c>
      <x:c r="J281" s="100" t="n">
        <x:f>IF(I281,B281,"")</x:f>
        <x:v>-0.01066612394828562</x:v>
      </x:c>
      <x:c r="K281" s="100" t="n">
        <x:f>IF(I281,E281,"")</x:f>
        <x:v>0.007920468425022961</x:v>
      </x:c>
      <x:c r="L281" s="100" t="n">
        <x:f>IF(I281,G281,"")</x:f>
        <x:v>0.01858659237330858</x:v>
      </x:c>
      <x:c r="M281" s="100" t="n">
        <x:f>IF(I281,F281^2,"")</x:f>
        <x:v>0.0003454614160515327</x:v>
      </x:c>
      <x:c r="N281" s="100" t="n">
        <x:f>IF(I281,F281,"")</x:f>
        <x:v>0.01858659237330858</x:v>
      </x:c>
      <x:c r="P281" t="n">
        <x:f>J281</x:f>
        <x:v>-0.01066612394828562</x:v>
      </x:c>
      <x:c r="Q281" t="n">
        <x:f>K281</x:f>
        <x:v>0.007920468425022961</x:v>
      </x:c>
    </x:row>
    <x:row r="282">
      <x:c r="A282" s="99" t="str">
        <x:f>'Raw T'!B276</x:f>
        <x:v>00329</x:v>
      </x:c>
      <x:c r="B282" s="100" t="n">
        <x:f>INDEX('Raw Stations'!$D$2:$D$299,MATCH(A282,'Raw Stations'!$A$2:$A$299,0))</x:f>
        <x:v>-0.01773332950701884</x:v>
      </x:c>
      <x:c r="C282" s="100" t="n">
        <x:f>'Raw T'!L276</x:f>
        <x:v>-0.02357357816740421</x:v>
      </x:c>
      <x:c r="D282" s="100" t="n">
        <x:f>$B$2</x:f>
        <x:v>-0.01783376051078768</x:v>
      </x:c>
      <x:c r="E282" s="100" t="n">
        <x:f>C282-D282</x:f>
        <x:v>-0.00573981765661653</x:v>
      </x:c>
      <x:c r="F282" s="100" t="n">
        <x:f>E282-B282</x:f>
        <x:v>0.01199351185040231</x:v>
      </x:c>
      <x:c r="G282" s="100" t="n">
        <x:f>ABS(F282)</x:f>
        <x:v>0.01199351185040231</x:v>
      </x:c>
      <x:c r="H282" s="100" t="n">
        <x:f>'Raw T'!N276</x:f>
        <x:v>0.9484316903393993</x:v>
      </x:c>
      <x:c r="I282" t="b">
        <x:f>'Raw T'!O276</x:f>
        <x:v>1</x:v>
      </x:c>
      <x:c r="J282" s="100" t="n">
        <x:f>IF(I282,B282,"")</x:f>
        <x:v>-0.01773332950701884</x:v>
      </x:c>
      <x:c r="K282" s="100" t="n">
        <x:f>IF(I282,E282,"")</x:f>
        <x:v>-0.00573981765661653</x:v>
      </x:c>
      <x:c r="L282" s="100" t="n">
        <x:f>IF(I282,G282,"")</x:f>
        <x:v>0.01199351185040231</x:v>
      </x:c>
      <x:c r="M282" s="100" t="n">
        <x:f>IF(I282,F282^2,"")</x:f>
        <x:v>0.00014384432650574062</x:v>
      </x:c>
      <x:c r="N282" s="100" t="n">
        <x:f>IF(I282,F282,"")</x:f>
        <x:v>0.01199351185040231</x:v>
      </x:c>
      <x:c r="P282" t="n">
        <x:f>J282</x:f>
        <x:v>-0.01773332950701884</x:v>
      </x:c>
      <x:c r="Q282" t="n">
        <x:f>K282</x:f>
        <x:v>-0.00573981765661653</x:v>
      </x:c>
    </x:row>
    <x:row r="283">
      <x:c r="A283" s="99" t="str">
        <x:f>'Raw T'!B277</x:f>
        <x:v>00330</x:v>
      </x:c>
      <x:c r="B283" s="100" t="n">
        <x:f>INDEX('Raw Stations'!$D$2:$D$299,MATCH(A283,'Raw Stations'!$A$2:$A$299,0))</x:f>
        <x:v>-0.01004028401482076</x:v>
      </x:c>
      <x:c r="C283" s="100" t="n">
        <x:f>'Raw T'!L277</x:f>
        <x:v>-0.01279168049347243</x:v>
      </x:c>
      <x:c r="D283" s="100" t="n">
        <x:f>$B$2</x:f>
        <x:v>-0.01783376051078768</x:v>
      </x:c>
      <x:c r="E283" s="100" t="n">
        <x:f>C283-D283</x:f>
        <x:v>0.005042080017315251</x:v>
      </x:c>
      <x:c r="F283" s="100" t="n">
        <x:f>E283-B283</x:f>
        <x:v>0.01508236403213601</x:v>
      </x:c>
      <x:c r="G283" s="100" t="n">
        <x:f>ABS(F283)</x:f>
        <x:v>0.01508236403213601</x:v>
      </x:c>
      <x:c r="H283" s="100" t="n">
        <x:f>'Raw T'!N277</x:f>
        <x:v>0.965309905258786</x:v>
      </x:c>
      <x:c r="I283" t="b">
        <x:f>'Raw T'!O277</x:f>
        <x:v>1</x:v>
      </x:c>
      <x:c r="J283" s="100" t="n">
        <x:f>IF(I283,B283,"")</x:f>
        <x:v>-0.01004028401482076</x:v>
      </x:c>
      <x:c r="K283" s="100" t="n">
        <x:f>IF(I283,E283,"")</x:f>
        <x:v>0.005042080017315251</x:v>
      </x:c>
      <x:c r="L283" s="100" t="n">
        <x:f>IF(I283,G283,"")</x:f>
        <x:v>0.01508236403213601</x:v>
      </x:c>
      <x:c r="M283" s="100" t="n">
        <x:f>IF(I283,F283^2,"")</x:f>
        <x:v>0.00022747770479787</x:v>
      </x:c>
      <x:c r="N283" s="100" t="n">
        <x:f>IF(I283,F283,"")</x:f>
        <x:v>0.01508236403213601</x:v>
      </x:c>
      <x:c r="P283" t="n">
        <x:f>J283</x:f>
        <x:v>-0.01004028401482076</x:v>
      </x:c>
      <x:c r="Q283" t="n">
        <x:f>K283</x:f>
        <x:v>0.005042080017315251</x:v>
      </x:c>
    </x:row>
    <x:row r="284">
      <x:c r="A284" s="99" t="str">
        <x:f>'Raw T'!B278</x:f>
        <x:v>00332</x:v>
      </x:c>
      <x:c r="B284" s="100" t="n">
        <x:f>INDEX('Raw Stations'!$D$2:$D$299,MATCH(A284,'Raw Stations'!$A$2:$A$299,0))</x:f>
        <x:v>-0.01415398331025103</x:v>
      </x:c>
      <x:c r="C284" s="100" t="n">
        <x:f>'Raw T'!L278</x:f>
        <x:v>-0.02490537978890273</x:v>
      </x:c>
      <x:c r="D284" s="100" t="n">
        <x:f>$B$2</x:f>
        <x:v>-0.01783376051078768</x:v>
      </x:c>
      <x:c r="E284" s="100" t="n">
        <x:f>C284-D284</x:f>
        <x:v>-0.0070716192781150496</x:v>
      </x:c>
      <x:c r="F284" s="100" t="n">
        <x:f>E284-B284</x:f>
        <x:v>0.00708236403213598</x:v>
      </x:c>
      <x:c r="G284" s="100" t="n">
        <x:f>ABS(F284)</x:f>
        <x:v>0.00708236403213598</x:v>
      </x:c>
      <x:c r="H284" s="100" t="n">
        <x:f>'Raw T'!N278</x:f>
        <x:v>0.9934821855356589</x:v>
      </x:c>
      <x:c r="I284" t="b">
        <x:f>'Raw T'!O278</x:f>
        <x:v>1</x:v>
      </x:c>
      <x:c r="J284" s="100" t="n">
        <x:f>IF(I284,B284,"")</x:f>
        <x:v>-0.01415398331025103</x:v>
      </x:c>
      <x:c r="K284" s="100" t="n">
        <x:f>IF(I284,E284,"")</x:f>
        <x:v>-0.0070716192781150496</x:v>
      </x:c>
      <x:c r="L284" s="100" t="n">
        <x:f>IF(I284,G284,"")</x:f>
        <x:v>0.00708236403213598</x:v>
      </x:c>
      <x:c r="M284" s="100" t="n">
        <x:f>IF(I284,F284^2,"")</x:f>
        <x:v>0.000050159880283693424</x:v>
      </x:c>
      <x:c r="N284" s="100" t="n">
        <x:f>IF(I284,F284,"")</x:f>
        <x:v>0.00708236403213598</x:v>
      </x:c>
      <x:c r="P284" t="n">
        <x:f>J284</x:f>
        <x:v>-0.01415398331025103</x:v>
      </x:c>
      <x:c r="Q284" t="n">
        <x:f>K284</x:f>
        <x:v>-0.0070716192781150496</x:v>
      </x:c>
    </x:row>
    <x:row r="285">
      <x:c r="A285" s="99" t="str">
        <x:f>'Raw T'!B279</x:f>
        <x:v>00333</x:v>
      </x:c>
      <x:c r="B285" s="100" t="n">
        <x:f>INDEX('Raw Stations'!$D$2:$D$299,MATCH(A285,'Raw Stations'!$A$2:$A$299,0))</x:f>
        <x:v>-0.01646721276301886</x:v>
      </x:c>
      <x:c r="C285" s="100" t="n">
        <x:f>'Raw T'!L279</x:f>
        <x:v>-0.03097756128855633</x:v>
      </x:c>
      <x:c r="D285" s="100" t="n">
        <x:f>$B$2</x:f>
        <x:v>-0.01783376051078768</x:v>
      </x:c>
      <x:c r="E285" s="100" t="n">
        <x:f>C285-D285</x:f>
        <x:v>-0.013143800777768649</x:v>
      </x:c>
      <x:c r="F285" s="100" t="n">
        <x:f>E285-B285</x:f>
        <x:v>0.0033234119852502096</x:v>
      </x:c>
      <x:c r="G285" s="100" t="n">
        <x:f>ABS(F285)</x:f>
        <x:v>0.0033234119852502096</x:v>
      </x:c>
      <x:c r="H285" s="100" t="n">
        <x:f>'Raw T'!N279</x:f>
        <x:v>0.9959756670584275</x:v>
      </x:c>
      <x:c r="I285" t="b">
        <x:f>'Raw T'!O279</x:f>
        <x:v>1</x:v>
      </x:c>
      <x:c r="J285" s="100" t="n">
        <x:f>IF(I285,B285,"")</x:f>
        <x:v>-0.01646721276301886</x:v>
      </x:c>
      <x:c r="K285" s="100" t="n">
        <x:f>IF(I285,E285,"")</x:f>
        <x:v>-0.013143800777768649</x:v>
      </x:c>
      <x:c r="L285" s="100" t="n">
        <x:f>IF(I285,G285,"")</x:f>
        <x:v>0.0033234119852502096</x:v>
      </x:c>
      <x:c r="M285" s="100" t="n">
        <x:f>IF(I285,F285^2,"")</x:f>
        <x:v>0.000011045067223704739</x:v>
      </x:c>
      <x:c r="N285" s="100" t="n">
        <x:f>IF(I285,F285,"")</x:f>
        <x:v>0.0033234119852502096</x:v>
      </x:c>
      <x:c r="P285" t="n">
        <x:f>J285</x:f>
        <x:v>-0.01646721276301886</x:v>
      </x:c>
      <x:c r="Q285" t="n">
        <x:f>K285</x:f>
        <x:v>-0.013143800777768649</x:v>
      </x:c>
    </x:row>
  </x:sheetData>
  <x:mergeCells>
    <x:mergeCell ref="A1:I1"/>
    <x:mergeCell ref="A5:I5"/>
  </x:mergeCells>
  <x:conditionalFormatting sqref="G8:G285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8ea08d45e53c4d8d"/>
  <x:tableParts count="1">
    <x:tablePart xmlns:r="http://schemas.openxmlformats.org/officeDocument/2006/relationships" r:id="Rb3c59992855e4477"/>
  </x:tableParts>
</x:worksheet>
</file>